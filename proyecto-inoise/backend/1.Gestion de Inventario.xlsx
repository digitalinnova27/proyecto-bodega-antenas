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arlosalvarez/Desktop/VCLAMP/"/>
    </mc:Choice>
  </mc:AlternateContent>
  <xr:revisionPtr revIDLastSave="0" documentId="13_ncr:80001_{53F8C61D-66FB-FB4D-8097-73A1DDA88432}" xr6:coauthVersionLast="37" xr6:coauthVersionMax="37" xr10:uidLastSave="{00000000-0000-0000-0000-000000000000}"/>
  <bookViews>
    <workbookView xWindow="0" yWindow="760" windowWidth="30240" windowHeight="17680" activeTab="2" xr2:uid="{00000000-000D-0000-FFFF-FFFF00000000}"/>
  </bookViews>
  <sheets>
    <sheet name="Scan to Sheets" sheetId="1" state="hidden" r:id="rId1"/>
    <sheet name="Cod_Gen" sheetId="2" r:id="rId2"/>
    <sheet name="Cod_Ind" sheetId="8" r:id="rId3"/>
    <sheet name="Inventario" sheetId="4" state="hidden" r:id="rId4"/>
    <sheet name="Registro_Histo" sheetId="5" state="hidden" r:id="rId5"/>
    <sheet name="Inv_Clasif" sheetId="6" state="hidden" r:id="rId6"/>
    <sheet name="Estadisticas" sheetId="7" state="hidden" r:id="rId7"/>
  </sheets>
  <definedNames>
    <definedName name="_xlnm._FilterDatabase" localSheetId="1" hidden="1">Cod_Gen!$A$1:$H$94</definedName>
    <definedName name="_xlnm._FilterDatabase" localSheetId="2" hidden="1">Cod_Ind!$A$1:$I$325</definedName>
    <definedName name="_xlnm._FilterDatabase" localSheetId="6" hidden="1">Estadisticas!$A$2:$B$284</definedName>
    <definedName name="_xlnm._FilterDatabase" localSheetId="3" hidden="1">Inventario!$A$1:$H$320</definedName>
    <definedName name="_xlnm._FilterDatabase" localSheetId="4" hidden="1">Registro_Histo!$A$1:$N$903</definedName>
  </definedNames>
  <calcPr calcId="179021"/>
  <pivotCaches>
    <pivotCache cacheId="29" r:id="rId8"/>
  </pivotCaches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7" i="4"/>
  <c r="B38" i="4"/>
  <c r="B39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11" i="4"/>
  <c r="B112" i="4"/>
  <c r="B113" i="4"/>
  <c r="B117" i="4"/>
  <c r="B125" i="4"/>
  <c r="B126" i="4"/>
  <c r="B127" i="4"/>
  <c r="B130" i="4"/>
  <c r="B131" i="4"/>
  <c r="B132" i="4"/>
  <c r="B133" i="4"/>
  <c r="B134" i="4"/>
  <c r="B135" i="4"/>
  <c r="B136" i="4"/>
  <c r="B137" i="4"/>
  <c r="B138" i="4"/>
  <c r="B139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3" i="4"/>
  <c r="B204" i="4"/>
  <c r="B205" i="4"/>
  <c r="B206" i="4"/>
  <c r="B207" i="4"/>
  <c r="B208" i="4"/>
  <c r="B209" i="4"/>
  <c r="B210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2" i="4"/>
  <c r="B315" i="8"/>
  <c r="B316" i="8"/>
  <c r="B317" i="8"/>
  <c r="B318" i="8"/>
  <c r="B319" i="8"/>
  <c r="B320" i="8"/>
  <c r="B309" i="8"/>
  <c r="B310" i="8"/>
  <c r="B311" i="8"/>
  <c r="B312" i="8"/>
  <c r="B313" i="8"/>
  <c r="B305" i="8"/>
  <c r="B306" i="8"/>
  <c r="B307" i="8"/>
  <c r="B295" i="8"/>
  <c r="B296" i="8"/>
  <c r="B297" i="8"/>
  <c r="B298" i="8"/>
  <c r="B299" i="8"/>
  <c r="B300" i="8"/>
  <c r="B301" i="8"/>
  <c r="B302" i="8"/>
  <c r="B303" i="8"/>
  <c r="B293" i="8"/>
  <c r="B291" i="8"/>
  <c r="B288" i="8"/>
  <c r="B286" i="8"/>
  <c r="B279" i="8"/>
  <c r="B280" i="8"/>
  <c r="B281" i="8"/>
  <c r="B282" i="8"/>
  <c r="B271" i="8"/>
  <c r="B272" i="8"/>
  <c r="B273" i="8"/>
  <c r="B274" i="8"/>
  <c r="B275" i="8"/>
  <c r="B276" i="8"/>
  <c r="B263" i="8"/>
  <c r="B264" i="8"/>
  <c r="B265" i="8"/>
  <c r="B266" i="8"/>
  <c r="B267" i="8"/>
  <c r="B268" i="8"/>
  <c r="B269" i="8"/>
  <c r="B261" i="8"/>
  <c r="B255" i="8"/>
  <c r="B256" i="8"/>
  <c r="B257" i="8"/>
  <c r="B258" i="8"/>
  <c r="B259" i="8"/>
  <c r="B251" i="8"/>
  <c r="B252" i="8"/>
  <c r="B253" i="8"/>
  <c r="B242" i="8"/>
  <c r="B243" i="8"/>
  <c r="B244" i="8"/>
  <c r="B245" i="8"/>
  <c r="B246" i="8"/>
  <c r="B247" i="8"/>
  <c r="B248" i="8"/>
  <c r="B249" i="8"/>
  <c r="B241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17" i="8"/>
  <c r="B215" i="8"/>
  <c r="B210" i="8"/>
  <c r="B206" i="8"/>
  <c r="B199" i="8"/>
  <c r="B200" i="8"/>
  <c r="B201" i="8"/>
  <c r="B193" i="8"/>
  <c r="B194" i="8"/>
  <c r="B195" i="8"/>
  <c r="B183" i="8"/>
  <c r="B184" i="8"/>
  <c r="B185" i="8"/>
  <c r="B186" i="8"/>
  <c r="B187" i="8"/>
  <c r="B188" i="8"/>
  <c r="B189" i="8"/>
  <c r="B190" i="8"/>
  <c r="B191" i="8"/>
  <c r="B180" i="8"/>
  <c r="B181" i="8"/>
  <c r="B182" i="8"/>
  <c r="B192" i="8"/>
  <c r="B196" i="8"/>
  <c r="B197" i="8"/>
  <c r="B198" i="8"/>
  <c r="B202" i="8"/>
  <c r="B202" i="4" s="1"/>
  <c r="B203" i="8"/>
  <c r="B204" i="8"/>
  <c r="B205" i="8"/>
  <c r="B207" i="8"/>
  <c r="B208" i="8"/>
  <c r="B209" i="8"/>
  <c r="B211" i="8"/>
  <c r="B211" i="4" s="1"/>
  <c r="B212" i="8"/>
  <c r="B213" i="8"/>
  <c r="B214" i="8"/>
  <c r="B216" i="8"/>
  <c r="B218" i="8"/>
  <c r="B250" i="8"/>
  <c r="B254" i="8"/>
  <c r="B260" i="8"/>
  <c r="B262" i="8"/>
  <c r="B270" i="8"/>
  <c r="B277" i="8"/>
  <c r="B278" i="8"/>
  <c r="B283" i="8"/>
  <c r="B284" i="8"/>
  <c r="B285" i="8"/>
  <c r="B287" i="8"/>
  <c r="B289" i="8"/>
  <c r="B290" i="8"/>
  <c r="B292" i="8"/>
  <c r="B294" i="8"/>
  <c r="B304" i="8"/>
  <c r="B308" i="8"/>
  <c r="B314" i="8"/>
  <c r="B177" i="8"/>
  <c r="B178" i="8"/>
  <c r="B179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60" i="8"/>
  <c r="B159" i="8"/>
  <c r="B155" i="8"/>
  <c r="B156" i="8"/>
  <c r="B157" i="8"/>
  <c r="B158" i="8"/>
  <c r="B153" i="8"/>
  <c r="B154" i="8"/>
  <c r="B151" i="8"/>
  <c r="B152" i="8"/>
  <c r="B149" i="8"/>
  <c r="B150" i="8"/>
  <c r="B143" i="8"/>
  <c r="B144" i="8"/>
  <c r="B145" i="8"/>
  <c r="B146" i="8"/>
  <c r="B147" i="8"/>
  <c r="B148" i="8"/>
  <c r="B141" i="8"/>
  <c r="B142" i="8"/>
  <c r="B140" i="8"/>
  <c r="B140" i="4" s="1"/>
  <c r="B130" i="8"/>
  <c r="B131" i="8"/>
  <c r="B132" i="8"/>
  <c r="B133" i="8"/>
  <c r="B134" i="8"/>
  <c r="B135" i="8"/>
  <c r="B136" i="8"/>
  <c r="B137" i="8"/>
  <c r="B138" i="8"/>
  <c r="B139" i="8"/>
  <c r="B109" i="8"/>
  <c r="B109" i="4" s="1"/>
  <c r="B110" i="8"/>
  <c r="B110" i="4" s="1"/>
  <c r="B111" i="8"/>
  <c r="B112" i="8"/>
  <c r="B113" i="8"/>
  <c r="B114" i="8"/>
  <c r="B114" i="4" s="1"/>
  <c r="B115" i="8"/>
  <c r="B115" i="4" s="1"/>
  <c r="B116" i="8"/>
  <c r="B116" i="4" s="1"/>
  <c r="B117" i="8"/>
  <c r="B118" i="8"/>
  <c r="B118" i="4" s="1"/>
  <c r="B119" i="8"/>
  <c r="B119" i="4" s="1"/>
  <c r="B120" i="8"/>
  <c r="B120" i="4" s="1"/>
  <c r="B121" i="8"/>
  <c r="B121" i="4" s="1"/>
  <c r="B122" i="8"/>
  <c r="B122" i="4" s="1"/>
  <c r="B123" i="8"/>
  <c r="B123" i="4" s="1"/>
  <c r="B124" i="8"/>
  <c r="B124" i="4" s="1"/>
  <c r="B125" i="8"/>
  <c r="B126" i="8"/>
  <c r="B127" i="8"/>
  <c r="B128" i="8"/>
  <c r="B128" i="4" s="1"/>
  <c r="B129" i="8"/>
  <c r="B129" i="4" s="1"/>
  <c r="B100" i="8"/>
  <c r="B101" i="8"/>
  <c r="B102" i="8"/>
  <c r="B103" i="8"/>
  <c r="B104" i="8"/>
  <c r="B105" i="8"/>
  <c r="B106" i="8"/>
  <c r="B107" i="8"/>
  <c r="B108" i="8"/>
  <c r="B99" i="8"/>
  <c r="B95" i="8"/>
  <c r="B96" i="8"/>
  <c r="B97" i="8"/>
  <c r="B98" i="8"/>
  <c r="B85" i="8"/>
  <c r="B86" i="8"/>
  <c r="B87" i="8"/>
  <c r="B88" i="8"/>
  <c r="B89" i="8"/>
  <c r="B90" i="8"/>
  <c r="B91" i="8"/>
  <c r="B92" i="8"/>
  <c r="B93" i="8"/>
  <c r="B94" i="8"/>
  <c r="B76" i="8"/>
  <c r="B77" i="8"/>
  <c r="B78" i="8"/>
  <c r="B79" i="8"/>
  <c r="B80" i="8"/>
  <c r="B81" i="8"/>
  <c r="B82" i="8"/>
  <c r="B83" i="8"/>
  <c r="B84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50" i="8"/>
  <c r="B51" i="8"/>
  <c r="B52" i="8"/>
  <c r="B53" i="8"/>
  <c r="B54" i="8"/>
  <c r="B55" i="8"/>
  <c r="B46" i="8"/>
  <c r="B47" i="8"/>
  <c r="B48" i="8"/>
  <c r="B49" i="8"/>
  <c r="B42" i="8"/>
  <c r="B43" i="8"/>
  <c r="B44" i="8"/>
  <c r="B45" i="8"/>
  <c r="B34" i="8"/>
  <c r="B35" i="8"/>
  <c r="B35" i="4" s="1"/>
  <c r="B36" i="8"/>
  <c r="B36" i="4" s="1"/>
  <c r="B37" i="8"/>
  <c r="B38" i="8"/>
  <c r="B39" i="8"/>
  <c r="B40" i="8"/>
  <c r="B40" i="4" s="1"/>
  <c r="B41" i="8"/>
  <c r="B41" i="4" s="1"/>
  <c r="B30" i="8"/>
  <c r="B31" i="8"/>
  <c r="B32" i="8"/>
  <c r="B33" i="8"/>
  <c r="B24" i="8"/>
  <c r="B25" i="8"/>
  <c r="B26" i="8"/>
  <c r="B27" i="8"/>
  <c r="B28" i="8"/>
  <c r="B29" i="8"/>
  <c r="B22" i="8"/>
  <c r="B23" i="8"/>
  <c r="B21" i="8"/>
  <c r="B12" i="8"/>
  <c r="B13" i="8"/>
  <c r="B14" i="8"/>
  <c r="B15" i="8"/>
  <c r="B16" i="8"/>
  <c r="B17" i="8"/>
  <c r="B18" i="8"/>
  <c r="B19" i="8"/>
  <c r="B20" i="8"/>
  <c r="B4" i="8"/>
  <c r="B5" i="8"/>
  <c r="B6" i="8"/>
  <c r="B7" i="8"/>
  <c r="B8" i="8"/>
  <c r="B9" i="8"/>
  <c r="B10" i="8"/>
  <c r="B11" i="8"/>
  <c r="B2" i="8"/>
  <c r="B3" i="8"/>
  <c r="B325" i="8"/>
  <c r="B324" i="8"/>
  <c r="B323" i="8"/>
  <c r="B322" i="8"/>
  <c r="B321" i="8"/>
  <c r="B8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3" i="2"/>
  <c r="B74" i="2"/>
  <c r="B75" i="2"/>
  <c r="B76" i="2"/>
  <c r="B77" i="2"/>
  <c r="B78" i="2"/>
  <c r="B79" i="2"/>
  <c r="B80" i="2"/>
  <c r="B82" i="2"/>
  <c r="B83" i="2"/>
  <c r="B84" i="2"/>
  <c r="B85" i="2"/>
  <c r="B86" i="2"/>
  <c r="B87" i="2"/>
  <c r="B88" i="2"/>
  <c r="B89" i="2"/>
  <c r="B72" i="2"/>
  <c r="B284" i="7" l="1"/>
  <c r="B283" i="7"/>
  <c r="B282" i="7"/>
  <c r="B281" i="7"/>
  <c r="B280" i="7"/>
  <c r="B279" i="7"/>
  <c r="B278" i="7"/>
  <c r="B277" i="7"/>
  <c r="B276" i="7"/>
  <c r="B275" i="7"/>
  <c r="B274" i="7"/>
  <c r="B273" i="7"/>
  <c r="B272" i="7"/>
  <c r="B271" i="7"/>
  <c r="B270" i="7"/>
  <c r="B269" i="7"/>
  <c r="B268" i="7"/>
  <c r="B267" i="7"/>
  <c r="B266" i="7"/>
  <c r="B265" i="7"/>
  <c r="B264" i="7"/>
  <c r="B263" i="7"/>
  <c r="B262" i="7"/>
  <c r="B261" i="7"/>
  <c r="B260" i="7"/>
  <c r="B259" i="7"/>
  <c r="B258" i="7"/>
  <c r="B257" i="7"/>
  <c r="B256" i="7"/>
  <c r="B255" i="7"/>
  <c r="B254" i="7"/>
  <c r="B253" i="7"/>
  <c r="B252" i="7"/>
  <c r="B251" i="7"/>
  <c r="B250" i="7"/>
  <c r="B249" i="7"/>
  <c r="B248" i="7"/>
  <c r="B247" i="7"/>
  <c r="B246" i="7"/>
  <c r="B245" i="7"/>
  <c r="B244" i="7"/>
  <c r="B243" i="7"/>
  <c r="B242" i="7"/>
  <c r="B241" i="7"/>
  <c r="B240" i="7"/>
  <c r="B239" i="7"/>
  <c r="B238" i="7"/>
  <c r="B237" i="7"/>
  <c r="B236" i="7"/>
  <c r="B235" i="7"/>
  <c r="B234" i="7"/>
  <c r="B233" i="7"/>
  <c r="B232" i="7"/>
  <c r="B231" i="7"/>
  <c r="B230" i="7"/>
  <c r="B229" i="7"/>
  <c r="B228" i="7"/>
  <c r="B227" i="7"/>
  <c r="B226" i="7"/>
  <c r="B225" i="7"/>
  <c r="B224" i="7"/>
  <c r="B223" i="7"/>
  <c r="B222" i="7"/>
  <c r="B221" i="7"/>
  <c r="B220" i="7"/>
  <c r="B219" i="7"/>
  <c r="B218" i="7"/>
  <c r="B217" i="7"/>
  <c r="B216" i="7"/>
  <c r="B215" i="7"/>
  <c r="B214" i="7"/>
  <c r="B213" i="7"/>
  <c r="B212" i="7"/>
  <c r="B211" i="7"/>
  <c r="B210" i="7"/>
  <c r="B209" i="7"/>
  <c r="B208" i="7"/>
  <c r="B207" i="7"/>
  <c r="B206" i="7"/>
  <c r="B205" i="7"/>
  <c r="B204" i="7"/>
  <c r="B203" i="7"/>
  <c r="B202" i="7"/>
  <c r="B201" i="7"/>
  <c r="B200" i="7"/>
  <c r="B199" i="7"/>
  <c r="B198" i="7"/>
  <c r="B197" i="7"/>
  <c r="B196" i="7"/>
  <c r="B195" i="7"/>
  <c r="B194" i="7"/>
  <c r="B193" i="7"/>
  <c r="B192" i="7"/>
  <c r="B191" i="7"/>
  <c r="B190" i="7"/>
  <c r="B189" i="7"/>
  <c r="B188" i="7"/>
  <c r="B187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9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2" i="7"/>
  <c r="B151" i="7"/>
  <c r="B150" i="7"/>
  <c r="B149" i="7"/>
  <c r="B148" i="7"/>
  <c r="B147" i="7"/>
  <c r="B146" i="7"/>
  <c r="B145" i="7"/>
  <c r="B144" i="7"/>
  <c r="B143" i="7"/>
  <c r="B142" i="7"/>
  <c r="B141" i="7"/>
  <c r="B140" i="7"/>
  <c r="B139" i="7"/>
  <c r="B138" i="7"/>
  <c r="B137" i="7"/>
  <c r="B136" i="7"/>
  <c r="B135" i="7"/>
  <c r="B134" i="7"/>
  <c r="B133" i="7"/>
  <c r="B132" i="7"/>
  <c r="B131" i="7"/>
  <c r="B130" i="7"/>
  <c r="B129" i="7"/>
  <c r="B128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E10" i="7"/>
  <c r="B10" i="7"/>
  <c r="E9" i="7"/>
  <c r="B9" i="7"/>
  <c r="B8" i="7"/>
  <c r="B7" i="7"/>
  <c r="B6" i="7"/>
  <c r="E5" i="7"/>
  <c r="B5" i="7"/>
  <c r="E4" i="7"/>
  <c r="B4" i="7"/>
  <c r="E3" i="7"/>
  <c r="B3" i="7"/>
  <c r="M903" i="5"/>
  <c r="N903" i="5" s="1"/>
  <c r="H903" i="5"/>
  <c r="G903" i="5"/>
  <c r="F903" i="5"/>
  <c r="E903" i="5"/>
  <c r="D903" i="5"/>
  <c r="C903" i="5"/>
  <c r="B903" i="5"/>
  <c r="A903" i="5"/>
  <c r="D902" i="5"/>
  <c r="C902" i="5"/>
  <c r="F902" i="5" s="1"/>
  <c r="B902" i="5"/>
  <c r="A902" i="5"/>
  <c r="M902" i="5" s="1"/>
  <c r="N902" i="5" s="1"/>
  <c r="M901" i="5"/>
  <c r="N901" i="5" s="1"/>
  <c r="H901" i="5"/>
  <c r="F901" i="5"/>
  <c r="E901" i="5"/>
  <c r="D901" i="5"/>
  <c r="C901" i="5"/>
  <c r="G901" i="5" s="1"/>
  <c r="B901" i="5"/>
  <c r="A901" i="5"/>
  <c r="H900" i="5"/>
  <c r="G900" i="5"/>
  <c r="F900" i="5"/>
  <c r="E900" i="5"/>
  <c r="D900" i="5"/>
  <c r="C900" i="5"/>
  <c r="B900" i="5"/>
  <c r="A900" i="5"/>
  <c r="M900" i="5" s="1"/>
  <c r="N900" i="5" s="1"/>
  <c r="M899" i="5"/>
  <c r="N899" i="5" s="1"/>
  <c r="D899" i="5"/>
  <c r="C899" i="5"/>
  <c r="H899" i="5" s="1"/>
  <c r="B899" i="5"/>
  <c r="A899" i="5"/>
  <c r="D898" i="5"/>
  <c r="C898" i="5"/>
  <c r="E898" i="5" s="1"/>
  <c r="B898" i="5"/>
  <c r="A898" i="5"/>
  <c r="M898" i="5" s="1"/>
  <c r="N898" i="5" s="1"/>
  <c r="D897" i="5"/>
  <c r="C897" i="5"/>
  <c r="E897" i="5" s="1"/>
  <c r="B897" i="5"/>
  <c r="A897" i="5"/>
  <c r="M897" i="5" s="1"/>
  <c r="N897" i="5" s="1"/>
  <c r="M896" i="5"/>
  <c r="N896" i="5" s="1"/>
  <c r="G896" i="5"/>
  <c r="F896" i="5"/>
  <c r="E896" i="5"/>
  <c r="D896" i="5"/>
  <c r="C896" i="5"/>
  <c r="H896" i="5" s="1"/>
  <c r="B896" i="5"/>
  <c r="A896" i="5"/>
  <c r="M895" i="5"/>
  <c r="N895" i="5" s="1"/>
  <c r="H895" i="5"/>
  <c r="G895" i="5"/>
  <c r="E895" i="5"/>
  <c r="D895" i="5"/>
  <c r="C895" i="5"/>
  <c r="F895" i="5" s="1"/>
  <c r="B895" i="5"/>
  <c r="A895" i="5"/>
  <c r="D894" i="5"/>
  <c r="C894" i="5"/>
  <c r="G894" i="5" s="1"/>
  <c r="B894" i="5"/>
  <c r="A894" i="5"/>
  <c r="M894" i="5" s="1"/>
  <c r="N894" i="5" s="1"/>
  <c r="M893" i="5"/>
  <c r="N893" i="5" s="1"/>
  <c r="H893" i="5"/>
  <c r="G893" i="5"/>
  <c r="F893" i="5"/>
  <c r="E893" i="5"/>
  <c r="D893" i="5"/>
  <c r="C893" i="5"/>
  <c r="B893" i="5"/>
  <c r="A893" i="5"/>
  <c r="M892" i="5"/>
  <c r="N892" i="5" s="1"/>
  <c r="G892" i="5"/>
  <c r="F892" i="5"/>
  <c r="E892" i="5"/>
  <c r="D892" i="5"/>
  <c r="C892" i="5"/>
  <c r="H892" i="5" s="1"/>
  <c r="B892" i="5"/>
  <c r="A892" i="5"/>
  <c r="D891" i="5"/>
  <c r="C891" i="5"/>
  <c r="B891" i="5"/>
  <c r="A891" i="5"/>
  <c r="M891" i="5" s="1"/>
  <c r="N891" i="5" s="1"/>
  <c r="M890" i="5"/>
  <c r="N890" i="5" s="1"/>
  <c r="H890" i="5"/>
  <c r="G890" i="5"/>
  <c r="F890" i="5"/>
  <c r="D890" i="5"/>
  <c r="C890" i="5"/>
  <c r="E890" i="5" s="1"/>
  <c r="B890" i="5"/>
  <c r="A890" i="5"/>
  <c r="M889" i="5"/>
  <c r="N889" i="5" s="1"/>
  <c r="D889" i="5"/>
  <c r="C889" i="5"/>
  <c r="B889" i="5"/>
  <c r="A889" i="5"/>
  <c r="M888" i="5"/>
  <c r="N888" i="5" s="1"/>
  <c r="H888" i="5"/>
  <c r="D888" i="5"/>
  <c r="C888" i="5"/>
  <c r="F888" i="5" s="1"/>
  <c r="B888" i="5"/>
  <c r="A888" i="5"/>
  <c r="M887" i="5"/>
  <c r="N887" i="5" s="1"/>
  <c r="D887" i="5"/>
  <c r="C887" i="5"/>
  <c r="B887" i="5"/>
  <c r="A887" i="5"/>
  <c r="H886" i="5"/>
  <c r="G886" i="5"/>
  <c r="F886" i="5"/>
  <c r="E886" i="5"/>
  <c r="D886" i="5"/>
  <c r="C886" i="5"/>
  <c r="B886" i="5"/>
  <c r="A886" i="5"/>
  <c r="M886" i="5" s="1"/>
  <c r="N886" i="5" s="1"/>
  <c r="M885" i="5"/>
  <c r="N885" i="5" s="1"/>
  <c r="G885" i="5"/>
  <c r="D885" i="5"/>
  <c r="C885" i="5"/>
  <c r="H885" i="5" s="1"/>
  <c r="B885" i="5"/>
  <c r="A885" i="5"/>
  <c r="H884" i="5"/>
  <c r="G884" i="5"/>
  <c r="D884" i="5"/>
  <c r="C884" i="5"/>
  <c r="B884" i="5"/>
  <c r="A884" i="5"/>
  <c r="M884" i="5" s="1"/>
  <c r="N884" i="5" s="1"/>
  <c r="M883" i="5"/>
  <c r="N883" i="5" s="1"/>
  <c r="G883" i="5"/>
  <c r="D883" i="5"/>
  <c r="C883" i="5"/>
  <c r="B883" i="5"/>
  <c r="A883" i="5"/>
  <c r="M882" i="5"/>
  <c r="N882" i="5" s="1"/>
  <c r="G882" i="5"/>
  <c r="F882" i="5"/>
  <c r="D882" i="5"/>
  <c r="C882" i="5"/>
  <c r="H882" i="5" s="1"/>
  <c r="B882" i="5"/>
  <c r="A882" i="5"/>
  <c r="M881" i="5"/>
  <c r="N881" i="5" s="1"/>
  <c r="H881" i="5"/>
  <c r="G881" i="5"/>
  <c r="D881" i="5"/>
  <c r="C881" i="5"/>
  <c r="F881" i="5" s="1"/>
  <c r="B881" i="5"/>
  <c r="A881" i="5"/>
  <c r="E880" i="5"/>
  <c r="D880" i="5"/>
  <c r="C880" i="5"/>
  <c r="G880" i="5" s="1"/>
  <c r="B880" i="5"/>
  <c r="A880" i="5"/>
  <c r="M880" i="5" s="1"/>
  <c r="N880" i="5" s="1"/>
  <c r="H879" i="5"/>
  <c r="G879" i="5"/>
  <c r="F879" i="5"/>
  <c r="E879" i="5"/>
  <c r="D879" i="5"/>
  <c r="C879" i="5"/>
  <c r="B879" i="5"/>
  <c r="A879" i="5"/>
  <c r="M879" i="5" s="1"/>
  <c r="N879" i="5" s="1"/>
  <c r="M878" i="5"/>
  <c r="N878" i="5" s="1"/>
  <c r="G878" i="5"/>
  <c r="F878" i="5"/>
  <c r="D878" i="5"/>
  <c r="C878" i="5"/>
  <c r="H878" i="5" s="1"/>
  <c r="B878" i="5"/>
  <c r="A878" i="5"/>
  <c r="E877" i="5"/>
  <c r="D877" i="5"/>
  <c r="C877" i="5"/>
  <c r="H877" i="5" s="1"/>
  <c r="B877" i="5"/>
  <c r="A877" i="5"/>
  <c r="M877" i="5" s="1"/>
  <c r="N877" i="5" s="1"/>
  <c r="M876" i="5"/>
  <c r="N876" i="5" s="1"/>
  <c r="H876" i="5"/>
  <c r="G876" i="5"/>
  <c r="F876" i="5"/>
  <c r="D876" i="5"/>
  <c r="C876" i="5"/>
  <c r="E876" i="5" s="1"/>
  <c r="B876" i="5"/>
  <c r="A876" i="5"/>
  <c r="M875" i="5"/>
  <c r="N875" i="5" s="1"/>
  <c r="F875" i="5"/>
  <c r="E875" i="5"/>
  <c r="D875" i="5"/>
  <c r="C875" i="5"/>
  <c r="B875" i="5"/>
  <c r="A875" i="5"/>
  <c r="D874" i="5"/>
  <c r="C874" i="5"/>
  <c r="F874" i="5" s="1"/>
  <c r="B874" i="5"/>
  <c r="A874" i="5"/>
  <c r="M874" i="5" s="1"/>
  <c r="N874" i="5" s="1"/>
  <c r="H873" i="5"/>
  <c r="E873" i="5"/>
  <c r="D873" i="5"/>
  <c r="C873" i="5"/>
  <c r="G873" i="5" s="1"/>
  <c r="B873" i="5"/>
  <c r="A873" i="5"/>
  <c r="M873" i="5" s="1"/>
  <c r="N873" i="5" s="1"/>
  <c r="H872" i="5"/>
  <c r="G872" i="5"/>
  <c r="F872" i="5"/>
  <c r="E872" i="5"/>
  <c r="D872" i="5"/>
  <c r="C872" i="5"/>
  <c r="B872" i="5"/>
  <c r="A872" i="5"/>
  <c r="M872" i="5" s="1"/>
  <c r="N872" i="5" s="1"/>
  <c r="M871" i="5"/>
  <c r="N871" i="5" s="1"/>
  <c r="D871" i="5"/>
  <c r="C871" i="5"/>
  <c r="H871" i="5" s="1"/>
  <c r="B871" i="5"/>
  <c r="A871" i="5"/>
  <c r="G870" i="5"/>
  <c r="E870" i="5"/>
  <c r="D870" i="5"/>
  <c r="C870" i="5"/>
  <c r="B870" i="5"/>
  <c r="A870" i="5"/>
  <c r="M870" i="5" s="1"/>
  <c r="N870" i="5" s="1"/>
  <c r="M869" i="5"/>
  <c r="N869" i="5" s="1"/>
  <c r="H869" i="5"/>
  <c r="G869" i="5"/>
  <c r="F869" i="5"/>
  <c r="D869" i="5"/>
  <c r="C869" i="5"/>
  <c r="E869" i="5" s="1"/>
  <c r="B869" i="5"/>
  <c r="A869" i="5"/>
  <c r="M868" i="5"/>
  <c r="N868" i="5" s="1"/>
  <c r="G868" i="5"/>
  <c r="D868" i="5"/>
  <c r="C868" i="5"/>
  <c r="B868" i="5"/>
  <c r="A868" i="5"/>
  <c r="M867" i="5"/>
  <c r="N867" i="5" s="1"/>
  <c r="G867" i="5"/>
  <c r="D867" i="5"/>
  <c r="C867" i="5"/>
  <c r="F867" i="5" s="1"/>
  <c r="B867" i="5"/>
  <c r="A867" i="5"/>
  <c r="D866" i="5"/>
  <c r="C866" i="5"/>
  <c r="B866" i="5"/>
  <c r="A866" i="5"/>
  <c r="M866" i="5" s="1"/>
  <c r="N866" i="5" s="1"/>
  <c r="M865" i="5"/>
  <c r="N865" i="5" s="1"/>
  <c r="H865" i="5"/>
  <c r="G865" i="5"/>
  <c r="F865" i="5"/>
  <c r="E865" i="5"/>
  <c r="D865" i="5"/>
  <c r="C865" i="5"/>
  <c r="B865" i="5"/>
  <c r="A865" i="5"/>
  <c r="M864" i="5"/>
  <c r="N864" i="5" s="1"/>
  <c r="F864" i="5"/>
  <c r="D864" i="5"/>
  <c r="C864" i="5"/>
  <c r="H864" i="5" s="1"/>
  <c r="B864" i="5"/>
  <c r="A864" i="5"/>
  <c r="G863" i="5"/>
  <c r="D863" i="5"/>
  <c r="C863" i="5"/>
  <c r="B863" i="5"/>
  <c r="A863" i="5"/>
  <c r="M863" i="5" s="1"/>
  <c r="N863" i="5" s="1"/>
  <c r="M862" i="5"/>
  <c r="N862" i="5" s="1"/>
  <c r="H862" i="5"/>
  <c r="G862" i="5"/>
  <c r="D862" i="5"/>
  <c r="C862" i="5"/>
  <c r="E862" i="5" s="1"/>
  <c r="B862" i="5"/>
  <c r="A862" i="5"/>
  <c r="M861" i="5"/>
  <c r="N861" i="5" s="1"/>
  <c r="D861" i="5"/>
  <c r="C861" i="5"/>
  <c r="B861" i="5"/>
  <c r="A861" i="5"/>
  <c r="M860" i="5"/>
  <c r="N860" i="5" s="1"/>
  <c r="D860" i="5"/>
  <c r="C860" i="5"/>
  <c r="B860" i="5"/>
  <c r="A860" i="5"/>
  <c r="H859" i="5"/>
  <c r="E859" i="5"/>
  <c r="D859" i="5"/>
  <c r="C859" i="5"/>
  <c r="B859" i="5"/>
  <c r="A859" i="5"/>
  <c r="M859" i="5" s="1"/>
  <c r="N859" i="5" s="1"/>
  <c r="M858" i="5"/>
  <c r="N858" i="5" s="1"/>
  <c r="H858" i="5"/>
  <c r="G858" i="5"/>
  <c r="F858" i="5"/>
  <c r="E858" i="5"/>
  <c r="D858" i="5"/>
  <c r="C858" i="5"/>
  <c r="B858" i="5"/>
  <c r="A858" i="5"/>
  <c r="M857" i="5"/>
  <c r="N857" i="5" s="1"/>
  <c r="D857" i="5"/>
  <c r="C857" i="5"/>
  <c r="B857" i="5"/>
  <c r="A857" i="5"/>
  <c r="E856" i="5"/>
  <c r="D856" i="5"/>
  <c r="C856" i="5"/>
  <c r="B856" i="5"/>
  <c r="A856" i="5"/>
  <c r="M856" i="5" s="1"/>
  <c r="N856" i="5" s="1"/>
  <c r="M855" i="5"/>
  <c r="N855" i="5" s="1"/>
  <c r="H855" i="5"/>
  <c r="G855" i="5"/>
  <c r="D855" i="5"/>
  <c r="C855" i="5"/>
  <c r="E855" i="5" s="1"/>
  <c r="B855" i="5"/>
  <c r="A855" i="5"/>
  <c r="M854" i="5"/>
  <c r="N854" i="5" s="1"/>
  <c r="E854" i="5"/>
  <c r="D854" i="5"/>
  <c r="C854" i="5"/>
  <c r="B854" i="5"/>
  <c r="A854" i="5"/>
  <c r="M853" i="5"/>
  <c r="N853" i="5" s="1"/>
  <c r="H853" i="5"/>
  <c r="G853" i="5"/>
  <c r="E853" i="5"/>
  <c r="D853" i="5"/>
  <c r="C853" i="5"/>
  <c r="F853" i="5" s="1"/>
  <c r="B853" i="5"/>
  <c r="A853" i="5"/>
  <c r="H852" i="5"/>
  <c r="F852" i="5"/>
  <c r="D852" i="5"/>
  <c r="C852" i="5"/>
  <c r="B852" i="5"/>
  <c r="A852" i="5"/>
  <c r="M852" i="5" s="1"/>
  <c r="N852" i="5" s="1"/>
  <c r="H851" i="5"/>
  <c r="G851" i="5"/>
  <c r="F851" i="5"/>
  <c r="E851" i="5"/>
  <c r="D851" i="5"/>
  <c r="C851" i="5"/>
  <c r="B851" i="5"/>
  <c r="A851" i="5"/>
  <c r="M851" i="5" s="1"/>
  <c r="N851" i="5" s="1"/>
  <c r="M850" i="5"/>
  <c r="N850" i="5" s="1"/>
  <c r="F850" i="5"/>
  <c r="E850" i="5"/>
  <c r="D850" i="5"/>
  <c r="C850" i="5"/>
  <c r="H850" i="5" s="1"/>
  <c r="B850" i="5"/>
  <c r="A850" i="5"/>
  <c r="D849" i="5"/>
  <c r="C849" i="5"/>
  <c r="B849" i="5"/>
  <c r="A849" i="5"/>
  <c r="M849" i="5" s="1"/>
  <c r="N849" i="5" s="1"/>
  <c r="G848" i="5"/>
  <c r="D848" i="5"/>
  <c r="C848" i="5"/>
  <c r="E848" i="5" s="1"/>
  <c r="B848" i="5"/>
  <c r="A848" i="5"/>
  <c r="M848" i="5" s="1"/>
  <c r="N848" i="5" s="1"/>
  <c r="M847" i="5"/>
  <c r="N847" i="5" s="1"/>
  <c r="G847" i="5"/>
  <c r="E847" i="5"/>
  <c r="D847" i="5"/>
  <c r="C847" i="5"/>
  <c r="B847" i="5"/>
  <c r="A847" i="5"/>
  <c r="M846" i="5"/>
  <c r="N846" i="5" s="1"/>
  <c r="H846" i="5"/>
  <c r="G846" i="5"/>
  <c r="E846" i="5"/>
  <c r="D846" i="5"/>
  <c r="C846" i="5"/>
  <c r="F846" i="5" s="1"/>
  <c r="B846" i="5"/>
  <c r="A846" i="5"/>
  <c r="D845" i="5"/>
  <c r="C845" i="5"/>
  <c r="B845" i="5"/>
  <c r="A845" i="5"/>
  <c r="M845" i="5" s="1"/>
  <c r="N845" i="5" s="1"/>
  <c r="M844" i="5"/>
  <c r="N844" i="5" s="1"/>
  <c r="H844" i="5"/>
  <c r="G844" i="5"/>
  <c r="F844" i="5"/>
  <c r="E844" i="5"/>
  <c r="D844" i="5"/>
  <c r="C844" i="5"/>
  <c r="B844" i="5"/>
  <c r="A844" i="5"/>
  <c r="M843" i="5"/>
  <c r="N843" i="5" s="1"/>
  <c r="G843" i="5"/>
  <c r="F843" i="5"/>
  <c r="E843" i="5"/>
  <c r="D843" i="5"/>
  <c r="C843" i="5"/>
  <c r="H843" i="5" s="1"/>
  <c r="B843" i="5"/>
  <c r="A843" i="5"/>
  <c r="E842" i="5"/>
  <c r="D842" i="5"/>
  <c r="C842" i="5"/>
  <c r="B842" i="5"/>
  <c r="A842" i="5"/>
  <c r="M842" i="5" s="1"/>
  <c r="N842" i="5" s="1"/>
  <c r="M841" i="5"/>
  <c r="N841" i="5" s="1"/>
  <c r="G841" i="5"/>
  <c r="D841" i="5"/>
  <c r="C841" i="5"/>
  <c r="E841" i="5" s="1"/>
  <c r="B841" i="5"/>
  <c r="A841" i="5"/>
  <c r="M840" i="5"/>
  <c r="N840" i="5" s="1"/>
  <c r="E840" i="5"/>
  <c r="D840" i="5"/>
  <c r="C840" i="5"/>
  <c r="B840" i="5"/>
  <c r="A840" i="5"/>
  <c r="M839" i="5"/>
  <c r="N839" i="5" s="1"/>
  <c r="H839" i="5"/>
  <c r="G839" i="5"/>
  <c r="E839" i="5"/>
  <c r="D839" i="5"/>
  <c r="C839" i="5"/>
  <c r="F839" i="5" s="1"/>
  <c r="B839" i="5"/>
  <c r="A839" i="5"/>
  <c r="H838" i="5"/>
  <c r="E838" i="5"/>
  <c r="D838" i="5"/>
  <c r="C838" i="5"/>
  <c r="B838" i="5"/>
  <c r="A838" i="5"/>
  <c r="M838" i="5" s="1"/>
  <c r="N838" i="5" s="1"/>
  <c r="H837" i="5"/>
  <c r="G837" i="5"/>
  <c r="F837" i="5"/>
  <c r="E837" i="5"/>
  <c r="D837" i="5"/>
  <c r="C837" i="5"/>
  <c r="B837" i="5"/>
  <c r="A837" i="5"/>
  <c r="M837" i="5" s="1"/>
  <c r="N837" i="5" s="1"/>
  <c r="M836" i="5"/>
  <c r="N836" i="5" s="1"/>
  <c r="G836" i="5"/>
  <c r="F836" i="5"/>
  <c r="E836" i="5"/>
  <c r="D836" i="5"/>
  <c r="C836" i="5"/>
  <c r="H836" i="5" s="1"/>
  <c r="B836" i="5"/>
  <c r="A836" i="5"/>
  <c r="D835" i="5"/>
  <c r="C835" i="5"/>
  <c r="B835" i="5"/>
  <c r="A835" i="5"/>
  <c r="M835" i="5" s="1"/>
  <c r="N835" i="5" s="1"/>
  <c r="M834" i="5"/>
  <c r="N834" i="5" s="1"/>
  <c r="G834" i="5"/>
  <c r="D834" i="5"/>
  <c r="C834" i="5"/>
  <c r="B834" i="5"/>
  <c r="A834" i="5"/>
  <c r="M833" i="5"/>
  <c r="N833" i="5" s="1"/>
  <c r="D833" i="5"/>
  <c r="C833" i="5"/>
  <c r="B833" i="5"/>
  <c r="A833" i="5"/>
  <c r="M832" i="5"/>
  <c r="N832" i="5" s="1"/>
  <c r="H832" i="5"/>
  <c r="G832" i="5"/>
  <c r="D832" i="5"/>
  <c r="C832" i="5"/>
  <c r="F832" i="5" s="1"/>
  <c r="B832" i="5"/>
  <c r="A832" i="5"/>
  <c r="D831" i="5"/>
  <c r="C831" i="5"/>
  <c r="B831" i="5"/>
  <c r="A831" i="5"/>
  <c r="M831" i="5" s="1"/>
  <c r="N831" i="5" s="1"/>
  <c r="M830" i="5"/>
  <c r="N830" i="5" s="1"/>
  <c r="H830" i="5"/>
  <c r="G830" i="5"/>
  <c r="F830" i="5"/>
  <c r="E830" i="5"/>
  <c r="D830" i="5"/>
  <c r="C830" i="5"/>
  <c r="B830" i="5"/>
  <c r="A830" i="5"/>
  <c r="G829" i="5"/>
  <c r="F829" i="5"/>
  <c r="D829" i="5"/>
  <c r="C829" i="5"/>
  <c r="H829" i="5" s="1"/>
  <c r="B829" i="5"/>
  <c r="A829" i="5"/>
  <c r="M829" i="5" s="1"/>
  <c r="N829" i="5" s="1"/>
  <c r="D828" i="5"/>
  <c r="C828" i="5"/>
  <c r="B828" i="5"/>
  <c r="A828" i="5"/>
  <c r="M828" i="5" s="1"/>
  <c r="N828" i="5" s="1"/>
  <c r="M827" i="5"/>
  <c r="N827" i="5" s="1"/>
  <c r="G827" i="5"/>
  <c r="F827" i="5"/>
  <c r="D827" i="5"/>
  <c r="C827" i="5"/>
  <c r="E827" i="5" s="1"/>
  <c r="B827" i="5"/>
  <c r="A827" i="5"/>
  <c r="M826" i="5"/>
  <c r="N826" i="5" s="1"/>
  <c r="G826" i="5"/>
  <c r="E826" i="5"/>
  <c r="D826" i="5"/>
  <c r="C826" i="5"/>
  <c r="H826" i="5" s="1"/>
  <c r="B826" i="5"/>
  <c r="A826" i="5"/>
  <c r="M825" i="5"/>
  <c r="N825" i="5" s="1"/>
  <c r="G825" i="5"/>
  <c r="D825" i="5"/>
  <c r="C825" i="5"/>
  <c r="F825" i="5" s="1"/>
  <c r="B825" i="5"/>
  <c r="A825" i="5"/>
  <c r="E824" i="5"/>
  <c r="D824" i="5"/>
  <c r="C824" i="5"/>
  <c r="B824" i="5"/>
  <c r="A824" i="5"/>
  <c r="M824" i="5" s="1"/>
  <c r="N824" i="5" s="1"/>
  <c r="M823" i="5"/>
  <c r="N823" i="5" s="1"/>
  <c r="H823" i="5"/>
  <c r="G823" i="5"/>
  <c r="F823" i="5"/>
  <c r="E823" i="5"/>
  <c r="D823" i="5"/>
  <c r="C823" i="5"/>
  <c r="B823" i="5"/>
  <c r="A823" i="5"/>
  <c r="F822" i="5"/>
  <c r="D822" i="5"/>
  <c r="C822" i="5"/>
  <c r="H822" i="5" s="1"/>
  <c r="B822" i="5"/>
  <c r="A822" i="5"/>
  <c r="M822" i="5" s="1"/>
  <c r="N822" i="5" s="1"/>
  <c r="D821" i="5"/>
  <c r="C821" i="5"/>
  <c r="B821" i="5"/>
  <c r="A821" i="5"/>
  <c r="M821" i="5" s="1"/>
  <c r="N821" i="5" s="1"/>
  <c r="M820" i="5"/>
  <c r="N820" i="5" s="1"/>
  <c r="H820" i="5"/>
  <c r="G820" i="5"/>
  <c r="F820" i="5"/>
  <c r="D820" i="5"/>
  <c r="C820" i="5"/>
  <c r="E820" i="5" s="1"/>
  <c r="B820" i="5"/>
  <c r="A820" i="5"/>
  <c r="M819" i="5"/>
  <c r="N819" i="5" s="1"/>
  <c r="H819" i="5"/>
  <c r="G819" i="5"/>
  <c r="E819" i="5"/>
  <c r="D819" i="5"/>
  <c r="C819" i="5"/>
  <c r="F819" i="5" s="1"/>
  <c r="B819" i="5"/>
  <c r="A819" i="5"/>
  <c r="M818" i="5"/>
  <c r="N818" i="5" s="1"/>
  <c r="D818" i="5"/>
  <c r="C818" i="5"/>
  <c r="B818" i="5"/>
  <c r="A818" i="5"/>
  <c r="D817" i="5"/>
  <c r="C817" i="5"/>
  <c r="B817" i="5"/>
  <c r="A817" i="5"/>
  <c r="M817" i="5" s="1"/>
  <c r="N817" i="5" s="1"/>
  <c r="H816" i="5"/>
  <c r="G816" i="5"/>
  <c r="F816" i="5"/>
  <c r="E816" i="5"/>
  <c r="D816" i="5"/>
  <c r="C816" i="5"/>
  <c r="B816" i="5"/>
  <c r="A816" i="5"/>
  <c r="M816" i="5" s="1"/>
  <c r="N816" i="5" s="1"/>
  <c r="M815" i="5"/>
  <c r="N815" i="5" s="1"/>
  <c r="F815" i="5"/>
  <c r="D815" i="5"/>
  <c r="C815" i="5"/>
  <c r="B815" i="5"/>
  <c r="A815" i="5"/>
  <c r="D814" i="5"/>
  <c r="C814" i="5"/>
  <c r="B814" i="5"/>
  <c r="A814" i="5"/>
  <c r="M814" i="5" s="1"/>
  <c r="N814" i="5" s="1"/>
  <c r="H813" i="5"/>
  <c r="G813" i="5"/>
  <c r="F813" i="5"/>
  <c r="D813" i="5"/>
  <c r="C813" i="5"/>
  <c r="E813" i="5" s="1"/>
  <c r="B813" i="5"/>
  <c r="A813" i="5"/>
  <c r="M813" i="5" s="1"/>
  <c r="N813" i="5" s="1"/>
  <c r="M812" i="5"/>
  <c r="N812" i="5" s="1"/>
  <c r="H812" i="5"/>
  <c r="G812" i="5"/>
  <c r="E812" i="5"/>
  <c r="D812" i="5"/>
  <c r="C812" i="5"/>
  <c r="F812" i="5" s="1"/>
  <c r="B812" i="5"/>
  <c r="A812" i="5"/>
  <c r="M811" i="5"/>
  <c r="N811" i="5" s="1"/>
  <c r="D811" i="5"/>
  <c r="C811" i="5"/>
  <c r="B811" i="5"/>
  <c r="A811" i="5"/>
  <c r="H810" i="5"/>
  <c r="F810" i="5"/>
  <c r="E810" i="5"/>
  <c r="D810" i="5"/>
  <c r="C810" i="5"/>
  <c r="G810" i="5" s="1"/>
  <c r="B810" i="5"/>
  <c r="A810" i="5"/>
  <c r="M810" i="5" s="1"/>
  <c r="N810" i="5" s="1"/>
  <c r="H809" i="5"/>
  <c r="G809" i="5"/>
  <c r="F809" i="5"/>
  <c r="E809" i="5"/>
  <c r="D809" i="5"/>
  <c r="C809" i="5"/>
  <c r="B809" i="5"/>
  <c r="A809" i="5"/>
  <c r="M809" i="5" s="1"/>
  <c r="N809" i="5" s="1"/>
  <c r="M808" i="5"/>
  <c r="N808" i="5" s="1"/>
  <c r="F808" i="5"/>
  <c r="E808" i="5"/>
  <c r="D808" i="5"/>
  <c r="C808" i="5"/>
  <c r="B808" i="5"/>
  <c r="A808" i="5"/>
  <c r="D807" i="5"/>
  <c r="C807" i="5"/>
  <c r="B807" i="5"/>
  <c r="A807" i="5"/>
  <c r="M807" i="5" s="1"/>
  <c r="N807" i="5" s="1"/>
  <c r="M806" i="5"/>
  <c r="N806" i="5" s="1"/>
  <c r="H806" i="5"/>
  <c r="G806" i="5"/>
  <c r="D806" i="5"/>
  <c r="C806" i="5"/>
  <c r="E806" i="5" s="1"/>
  <c r="B806" i="5"/>
  <c r="A806" i="5"/>
  <c r="M805" i="5"/>
  <c r="N805" i="5" s="1"/>
  <c r="D805" i="5"/>
  <c r="C805" i="5"/>
  <c r="B805" i="5"/>
  <c r="A805" i="5"/>
  <c r="M804" i="5"/>
  <c r="N804" i="5" s="1"/>
  <c r="G804" i="5"/>
  <c r="E804" i="5"/>
  <c r="D804" i="5"/>
  <c r="C804" i="5"/>
  <c r="F804" i="5" s="1"/>
  <c r="B804" i="5"/>
  <c r="A804" i="5"/>
  <c r="M803" i="5"/>
  <c r="N803" i="5" s="1"/>
  <c r="H803" i="5"/>
  <c r="F803" i="5"/>
  <c r="E803" i="5"/>
  <c r="D803" i="5"/>
  <c r="C803" i="5"/>
  <c r="G803" i="5" s="1"/>
  <c r="B803" i="5"/>
  <c r="A803" i="5"/>
  <c r="H802" i="5"/>
  <c r="G802" i="5"/>
  <c r="F802" i="5"/>
  <c r="E802" i="5"/>
  <c r="D802" i="5"/>
  <c r="C802" i="5"/>
  <c r="B802" i="5"/>
  <c r="A802" i="5"/>
  <c r="M802" i="5" s="1"/>
  <c r="N802" i="5" s="1"/>
  <c r="M801" i="5"/>
  <c r="N801" i="5" s="1"/>
  <c r="F801" i="5"/>
  <c r="E801" i="5"/>
  <c r="D801" i="5"/>
  <c r="C801" i="5"/>
  <c r="H801" i="5" s="1"/>
  <c r="B801" i="5"/>
  <c r="A801" i="5"/>
  <c r="H800" i="5"/>
  <c r="D800" i="5"/>
  <c r="C800" i="5"/>
  <c r="G800" i="5" s="1"/>
  <c r="B800" i="5"/>
  <c r="A800" i="5"/>
  <c r="M800" i="5" s="1"/>
  <c r="N800" i="5" s="1"/>
  <c r="G799" i="5"/>
  <c r="D799" i="5"/>
  <c r="C799" i="5"/>
  <c r="B799" i="5"/>
  <c r="A799" i="5"/>
  <c r="M799" i="5" s="1"/>
  <c r="N799" i="5" s="1"/>
  <c r="M798" i="5"/>
  <c r="N798" i="5" s="1"/>
  <c r="D798" i="5"/>
  <c r="C798" i="5"/>
  <c r="B798" i="5"/>
  <c r="A798" i="5"/>
  <c r="M797" i="5"/>
  <c r="N797" i="5" s="1"/>
  <c r="H797" i="5"/>
  <c r="G797" i="5"/>
  <c r="E797" i="5"/>
  <c r="D797" i="5"/>
  <c r="C797" i="5"/>
  <c r="F797" i="5" s="1"/>
  <c r="B797" i="5"/>
  <c r="A797" i="5"/>
  <c r="H796" i="5"/>
  <c r="E796" i="5"/>
  <c r="D796" i="5"/>
  <c r="C796" i="5"/>
  <c r="B796" i="5"/>
  <c r="A796" i="5"/>
  <c r="M796" i="5" s="1"/>
  <c r="N796" i="5" s="1"/>
  <c r="H795" i="5"/>
  <c r="G795" i="5"/>
  <c r="F795" i="5"/>
  <c r="E795" i="5"/>
  <c r="D795" i="5"/>
  <c r="C795" i="5"/>
  <c r="B795" i="5"/>
  <c r="A795" i="5"/>
  <c r="M795" i="5" s="1"/>
  <c r="N795" i="5" s="1"/>
  <c r="M794" i="5"/>
  <c r="N794" i="5" s="1"/>
  <c r="G794" i="5"/>
  <c r="F794" i="5"/>
  <c r="E794" i="5"/>
  <c r="D794" i="5"/>
  <c r="C794" i="5"/>
  <c r="H794" i="5" s="1"/>
  <c r="B794" i="5"/>
  <c r="A794" i="5"/>
  <c r="H793" i="5"/>
  <c r="G793" i="5"/>
  <c r="E793" i="5"/>
  <c r="D793" i="5"/>
  <c r="C793" i="5"/>
  <c r="F793" i="5" s="1"/>
  <c r="B793" i="5"/>
  <c r="A793" i="5"/>
  <c r="M793" i="5" s="1"/>
  <c r="N793" i="5" s="1"/>
  <c r="M792" i="5"/>
  <c r="N792" i="5" s="1"/>
  <c r="G792" i="5"/>
  <c r="D792" i="5"/>
  <c r="C792" i="5"/>
  <c r="B792" i="5"/>
  <c r="A792" i="5"/>
  <c r="M791" i="5"/>
  <c r="N791" i="5" s="1"/>
  <c r="D791" i="5"/>
  <c r="C791" i="5"/>
  <c r="B791" i="5"/>
  <c r="A791" i="5"/>
  <c r="M790" i="5"/>
  <c r="N790" i="5" s="1"/>
  <c r="H790" i="5"/>
  <c r="G790" i="5"/>
  <c r="E790" i="5"/>
  <c r="D790" i="5"/>
  <c r="C790" i="5"/>
  <c r="F790" i="5" s="1"/>
  <c r="B790" i="5"/>
  <c r="A790" i="5"/>
  <c r="M789" i="5"/>
  <c r="N789" i="5" s="1"/>
  <c r="D789" i="5"/>
  <c r="C789" i="5"/>
  <c r="B789" i="5"/>
  <c r="A789" i="5"/>
  <c r="H788" i="5"/>
  <c r="G788" i="5"/>
  <c r="F788" i="5"/>
  <c r="E788" i="5"/>
  <c r="D788" i="5"/>
  <c r="C788" i="5"/>
  <c r="B788" i="5"/>
  <c r="A788" i="5"/>
  <c r="M788" i="5" s="1"/>
  <c r="N788" i="5" s="1"/>
  <c r="G787" i="5"/>
  <c r="F787" i="5"/>
  <c r="E787" i="5"/>
  <c r="D787" i="5"/>
  <c r="C787" i="5"/>
  <c r="H787" i="5" s="1"/>
  <c r="B787" i="5"/>
  <c r="A787" i="5"/>
  <c r="M787" i="5" s="1"/>
  <c r="N787" i="5" s="1"/>
  <c r="H786" i="5"/>
  <c r="G786" i="5"/>
  <c r="E786" i="5"/>
  <c r="D786" i="5"/>
  <c r="C786" i="5"/>
  <c r="F786" i="5" s="1"/>
  <c r="B786" i="5"/>
  <c r="A786" i="5"/>
  <c r="M786" i="5" s="1"/>
  <c r="N786" i="5" s="1"/>
  <c r="M785" i="5"/>
  <c r="N785" i="5" s="1"/>
  <c r="G785" i="5"/>
  <c r="F785" i="5"/>
  <c r="D785" i="5"/>
  <c r="C785" i="5"/>
  <c r="B785" i="5"/>
  <c r="A785" i="5"/>
  <c r="M784" i="5"/>
  <c r="N784" i="5" s="1"/>
  <c r="G784" i="5"/>
  <c r="F784" i="5"/>
  <c r="E784" i="5"/>
  <c r="D784" i="5"/>
  <c r="C784" i="5"/>
  <c r="H784" i="5" s="1"/>
  <c r="B784" i="5"/>
  <c r="A784" i="5"/>
  <c r="H783" i="5"/>
  <c r="G783" i="5"/>
  <c r="D783" i="5"/>
  <c r="C783" i="5"/>
  <c r="F783" i="5" s="1"/>
  <c r="B783" i="5"/>
  <c r="A783" i="5"/>
  <c r="M783" i="5" s="1"/>
  <c r="N783" i="5" s="1"/>
  <c r="H782" i="5"/>
  <c r="E782" i="5"/>
  <c r="D782" i="5"/>
  <c r="C782" i="5"/>
  <c r="B782" i="5"/>
  <c r="A782" i="5"/>
  <c r="M782" i="5" s="1"/>
  <c r="N782" i="5" s="1"/>
  <c r="H781" i="5"/>
  <c r="G781" i="5"/>
  <c r="F781" i="5"/>
  <c r="E781" i="5"/>
  <c r="D781" i="5"/>
  <c r="C781" i="5"/>
  <c r="B781" i="5"/>
  <c r="A781" i="5"/>
  <c r="M781" i="5" s="1"/>
  <c r="N781" i="5" s="1"/>
  <c r="M780" i="5"/>
  <c r="N780" i="5" s="1"/>
  <c r="G780" i="5"/>
  <c r="F780" i="5"/>
  <c r="D780" i="5"/>
  <c r="C780" i="5"/>
  <c r="H780" i="5" s="1"/>
  <c r="B780" i="5"/>
  <c r="A780" i="5"/>
  <c r="E779" i="5"/>
  <c r="D779" i="5"/>
  <c r="C779" i="5"/>
  <c r="B779" i="5"/>
  <c r="A779" i="5"/>
  <c r="M779" i="5" s="1"/>
  <c r="N779" i="5" s="1"/>
  <c r="M778" i="5"/>
  <c r="N778" i="5" s="1"/>
  <c r="G778" i="5"/>
  <c r="F778" i="5"/>
  <c r="D778" i="5"/>
  <c r="C778" i="5"/>
  <c r="E778" i="5" s="1"/>
  <c r="B778" i="5"/>
  <c r="A778" i="5"/>
  <c r="M777" i="5"/>
  <c r="N777" i="5" s="1"/>
  <c r="E777" i="5"/>
  <c r="D777" i="5"/>
  <c r="C777" i="5"/>
  <c r="B777" i="5"/>
  <c r="A777" i="5"/>
  <c r="M776" i="5"/>
  <c r="N776" i="5" s="1"/>
  <c r="G776" i="5"/>
  <c r="D776" i="5"/>
  <c r="C776" i="5"/>
  <c r="B776" i="5"/>
  <c r="A776" i="5"/>
  <c r="D775" i="5"/>
  <c r="C775" i="5"/>
  <c r="B775" i="5"/>
  <c r="A775" i="5"/>
  <c r="M775" i="5" s="1"/>
  <c r="N775" i="5" s="1"/>
  <c r="H774" i="5"/>
  <c r="G774" i="5"/>
  <c r="F774" i="5"/>
  <c r="E774" i="5"/>
  <c r="D774" i="5"/>
  <c r="C774" i="5"/>
  <c r="B774" i="5"/>
  <c r="A774" i="5"/>
  <c r="M774" i="5" s="1"/>
  <c r="N774" i="5" s="1"/>
  <c r="D773" i="5"/>
  <c r="C773" i="5"/>
  <c r="B773" i="5"/>
  <c r="A773" i="5"/>
  <c r="M773" i="5" s="1"/>
  <c r="N773" i="5" s="1"/>
  <c r="D772" i="5"/>
  <c r="C772" i="5"/>
  <c r="B772" i="5"/>
  <c r="A772" i="5"/>
  <c r="M772" i="5" s="1"/>
  <c r="N772" i="5" s="1"/>
  <c r="M771" i="5"/>
  <c r="N771" i="5" s="1"/>
  <c r="H771" i="5"/>
  <c r="G771" i="5"/>
  <c r="F771" i="5"/>
  <c r="D771" i="5"/>
  <c r="C771" i="5"/>
  <c r="E771" i="5" s="1"/>
  <c r="B771" i="5"/>
  <c r="A771" i="5"/>
  <c r="M770" i="5"/>
  <c r="N770" i="5" s="1"/>
  <c r="G770" i="5"/>
  <c r="D770" i="5"/>
  <c r="C770" i="5"/>
  <c r="B770" i="5"/>
  <c r="A770" i="5"/>
  <c r="M769" i="5"/>
  <c r="N769" i="5" s="1"/>
  <c r="G769" i="5"/>
  <c r="D769" i="5"/>
  <c r="C769" i="5"/>
  <c r="B769" i="5"/>
  <c r="A769" i="5"/>
  <c r="D768" i="5"/>
  <c r="C768" i="5"/>
  <c r="B768" i="5"/>
  <c r="A768" i="5"/>
  <c r="M768" i="5" s="1"/>
  <c r="N768" i="5" s="1"/>
  <c r="H767" i="5"/>
  <c r="G767" i="5"/>
  <c r="F767" i="5"/>
  <c r="E767" i="5"/>
  <c r="D767" i="5"/>
  <c r="C767" i="5"/>
  <c r="B767" i="5"/>
  <c r="A767" i="5"/>
  <c r="M767" i="5" s="1"/>
  <c r="N767" i="5" s="1"/>
  <c r="M766" i="5"/>
  <c r="N766" i="5" s="1"/>
  <c r="F766" i="5"/>
  <c r="D766" i="5"/>
  <c r="C766" i="5"/>
  <c r="B766" i="5"/>
  <c r="A766" i="5"/>
  <c r="G765" i="5"/>
  <c r="D765" i="5"/>
  <c r="C765" i="5"/>
  <c r="B765" i="5"/>
  <c r="A765" i="5"/>
  <c r="M765" i="5" s="1"/>
  <c r="N765" i="5" s="1"/>
  <c r="M764" i="5"/>
  <c r="N764" i="5" s="1"/>
  <c r="H764" i="5"/>
  <c r="G764" i="5"/>
  <c r="F764" i="5"/>
  <c r="D764" i="5"/>
  <c r="C764" i="5"/>
  <c r="E764" i="5" s="1"/>
  <c r="B764" i="5"/>
  <c r="A764" i="5"/>
  <c r="M763" i="5"/>
  <c r="N763" i="5" s="1"/>
  <c r="E763" i="5"/>
  <c r="D763" i="5"/>
  <c r="C763" i="5"/>
  <c r="B763" i="5"/>
  <c r="A763" i="5"/>
  <c r="M762" i="5"/>
  <c r="N762" i="5" s="1"/>
  <c r="E762" i="5"/>
  <c r="D762" i="5"/>
  <c r="C762" i="5"/>
  <c r="B762" i="5"/>
  <c r="A762" i="5"/>
  <c r="E761" i="5"/>
  <c r="D761" i="5"/>
  <c r="C761" i="5"/>
  <c r="B761" i="5"/>
  <c r="A761" i="5"/>
  <c r="M761" i="5" s="1"/>
  <c r="N761" i="5" s="1"/>
  <c r="H760" i="5"/>
  <c r="G760" i="5"/>
  <c r="F760" i="5"/>
  <c r="E760" i="5"/>
  <c r="D760" i="5"/>
  <c r="C760" i="5"/>
  <c r="B760" i="5"/>
  <c r="A760" i="5"/>
  <c r="M760" i="5" s="1"/>
  <c r="N760" i="5" s="1"/>
  <c r="M759" i="5"/>
  <c r="N759" i="5" s="1"/>
  <c r="F759" i="5"/>
  <c r="E759" i="5"/>
  <c r="D759" i="5"/>
  <c r="C759" i="5"/>
  <c r="B759" i="5"/>
  <c r="A759" i="5"/>
  <c r="G758" i="5"/>
  <c r="D758" i="5"/>
  <c r="C758" i="5"/>
  <c r="B758" i="5"/>
  <c r="A758" i="5"/>
  <c r="M758" i="5" s="1"/>
  <c r="N758" i="5" s="1"/>
  <c r="M757" i="5"/>
  <c r="N757" i="5" s="1"/>
  <c r="H757" i="5"/>
  <c r="G757" i="5"/>
  <c r="D757" i="5"/>
  <c r="C757" i="5"/>
  <c r="E757" i="5" s="1"/>
  <c r="B757" i="5"/>
  <c r="A757" i="5"/>
  <c r="M756" i="5"/>
  <c r="N756" i="5" s="1"/>
  <c r="D756" i="5"/>
  <c r="C756" i="5"/>
  <c r="B756" i="5"/>
  <c r="A756" i="5"/>
  <c r="M755" i="5"/>
  <c r="N755" i="5" s="1"/>
  <c r="G755" i="5"/>
  <c r="E755" i="5"/>
  <c r="D755" i="5"/>
  <c r="C755" i="5"/>
  <c r="F755" i="5" s="1"/>
  <c r="B755" i="5"/>
  <c r="A755" i="5"/>
  <c r="D754" i="5"/>
  <c r="C754" i="5"/>
  <c r="B754" i="5"/>
  <c r="A754" i="5"/>
  <c r="M754" i="5" s="1"/>
  <c r="N754" i="5" s="1"/>
  <c r="H753" i="5"/>
  <c r="G753" i="5"/>
  <c r="F753" i="5"/>
  <c r="E753" i="5"/>
  <c r="D753" i="5"/>
  <c r="C753" i="5"/>
  <c r="B753" i="5"/>
  <c r="A753" i="5"/>
  <c r="M753" i="5" s="1"/>
  <c r="N753" i="5" s="1"/>
  <c r="M752" i="5"/>
  <c r="N752" i="5" s="1"/>
  <c r="F752" i="5"/>
  <c r="D752" i="5"/>
  <c r="C752" i="5"/>
  <c r="B752" i="5"/>
  <c r="A752" i="5"/>
  <c r="G751" i="5"/>
  <c r="D751" i="5"/>
  <c r="C751" i="5"/>
  <c r="B751" i="5"/>
  <c r="A751" i="5"/>
  <c r="M751" i="5" s="1"/>
  <c r="N751" i="5" s="1"/>
  <c r="M750" i="5"/>
  <c r="N750" i="5" s="1"/>
  <c r="G750" i="5"/>
  <c r="D750" i="5"/>
  <c r="C750" i="5"/>
  <c r="B750" i="5"/>
  <c r="A750" i="5"/>
  <c r="M749" i="5"/>
  <c r="N749" i="5" s="1"/>
  <c r="E749" i="5"/>
  <c r="D749" i="5"/>
  <c r="C749" i="5"/>
  <c r="B749" i="5"/>
  <c r="A749" i="5"/>
  <c r="M748" i="5"/>
  <c r="N748" i="5" s="1"/>
  <c r="H748" i="5"/>
  <c r="G748" i="5"/>
  <c r="E748" i="5"/>
  <c r="D748" i="5"/>
  <c r="C748" i="5"/>
  <c r="F748" i="5" s="1"/>
  <c r="B748" i="5"/>
  <c r="A748" i="5"/>
  <c r="E747" i="5"/>
  <c r="D747" i="5"/>
  <c r="C747" i="5"/>
  <c r="B747" i="5"/>
  <c r="A747" i="5"/>
  <c r="M747" i="5" s="1"/>
  <c r="N747" i="5" s="1"/>
  <c r="M746" i="5"/>
  <c r="N746" i="5" s="1"/>
  <c r="H746" i="5"/>
  <c r="G746" i="5"/>
  <c r="F746" i="5"/>
  <c r="E746" i="5"/>
  <c r="D746" i="5"/>
  <c r="C746" i="5"/>
  <c r="B746" i="5"/>
  <c r="A746" i="5"/>
  <c r="M745" i="5"/>
  <c r="N745" i="5" s="1"/>
  <c r="G745" i="5"/>
  <c r="F745" i="5"/>
  <c r="E745" i="5"/>
  <c r="D745" i="5"/>
  <c r="C745" i="5"/>
  <c r="H745" i="5" s="1"/>
  <c r="B745" i="5"/>
  <c r="A745" i="5"/>
  <c r="G744" i="5"/>
  <c r="F744" i="5"/>
  <c r="E744" i="5"/>
  <c r="D744" i="5"/>
  <c r="C744" i="5"/>
  <c r="H744" i="5" s="1"/>
  <c r="B744" i="5"/>
  <c r="A744" i="5"/>
  <c r="M744" i="5" s="1"/>
  <c r="N744" i="5" s="1"/>
  <c r="M743" i="5"/>
  <c r="N743" i="5" s="1"/>
  <c r="D743" i="5"/>
  <c r="C743" i="5"/>
  <c r="G743" i="5" s="1"/>
  <c r="B743" i="5"/>
  <c r="A743" i="5"/>
  <c r="M742" i="5"/>
  <c r="N742" i="5" s="1"/>
  <c r="G742" i="5"/>
  <c r="E742" i="5"/>
  <c r="D742" i="5"/>
  <c r="C742" i="5"/>
  <c r="B742" i="5"/>
  <c r="A742" i="5"/>
  <c r="M741" i="5"/>
  <c r="N741" i="5" s="1"/>
  <c r="H741" i="5"/>
  <c r="G741" i="5"/>
  <c r="E741" i="5"/>
  <c r="D741" i="5"/>
  <c r="C741" i="5"/>
  <c r="F741" i="5" s="1"/>
  <c r="B741" i="5"/>
  <c r="A741" i="5"/>
  <c r="E740" i="5"/>
  <c r="D740" i="5"/>
  <c r="C740" i="5"/>
  <c r="B740" i="5"/>
  <c r="A740" i="5"/>
  <c r="M740" i="5" s="1"/>
  <c r="N740" i="5" s="1"/>
  <c r="M739" i="5"/>
  <c r="N739" i="5" s="1"/>
  <c r="H739" i="5"/>
  <c r="G739" i="5"/>
  <c r="F739" i="5"/>
  <c r="E739" i="5"/>
  <c r="D739" i="5"/>
  <c r="C739" i="5"/>
  <c r="B739" i="5"/>
  <c r="A739" i="5"/>
  <c r="M738" i="5"/>
  <c r="N738" i="5" s="1"/>
  <c r="G738" i="5"/>
  <c r="F738" i="5"/>
  <c r="E738" i="5"/>
  <c r="D738" i="5"/>
  <c r="C738" i="5"/>
  <c r="H738" i="5" s="1"/>
  <c r="B738" i="5"/>
  <c r="A738" i="5"/>
  <c r="H737" i="5"/>
  <c r="D737" i="5"/>
  <c r="C737" i="5"/>
  <c r="B737" i="5"/>
  <c r="A737" i="5"/>
  <c r="M737" i="5" s="1"/>
  <c r="N737" i="5" s="1"/>
  <c r="M736" i="5"/>
  <c r="N736" i="5" s="1"/>
  <c r="G736" i="5"/>
  <c r="F736" i="5"/>
  <c r="D736" i="5"/>
  <c r="C736" i="5"/>
  <c r="B736" i="5"/>
  <c r="A736" i="5"/>
  <c r="M735" i="5"/>
  <c r="N735" i="5" s="1"/>
  <c r="G735" i="5"/>
  <c r="E735" i="5"/>
  <c r="D735" i="5"/>
  <c r="C735" i="5"/>
  <c r="B735" i="5"/>
  <c r="A735" i="5"/>
  <c r="H734" i="5"/>
  <c r="G734" i="5"/>
  <c r="D734" i="5"/>
  <c r="C734" i="5"/>
  <c r="F734" i="5" s="1"/>
  <c r="B734" i="5"/>
  <c r="A734" i="5"/>
  <c r="M734" i="5" s="1"/>
  <c r="N734" i="5" s="1"/>
  <c r="M733" i="5"/>
  <c r="N733" i="5" s="1"/>
  <c r="H733" i="5"/>
  <c r="E733" i="5"/>
  <c r="D733" i="5"/>
  <c r="C733" i="5"/>
  <c r="B733" i="5"/>
  <c r="A733" i="5"/>
  <c r="H732" i="5"/>
  <c r="G732" i="5"/>
  <c r="F732" i="5"/>
  <c r="E732" i="5"/>
  <c r="D732" i="5"/>
  <c r="C732" i="5"/>
  <c r="B732" i="5"/>
  <c r="A732" i="5"/>
  <c r="M732" i="5" s="1"/>
  <c r="N732" i="5" s="1"/>
  <c r="M731" i="5"/>
  <c r="N731" i="5" s="1"/>
  <c r="G731" i="5"/>
  <c r="F731" i="5"/>
  <c r="D731" i="5"/>
  <c r="C731" i="5"/>
  <c r="H731" i="5" s="1"/>
  <c r="B731" i="5"/>
  <c r="A731" i="5"/>
  <c r="D730" i="5"/>
  <c r="C730" i="5"/>
  <c r="B730" i="5"/>
  <c r="A730" i="5"/>
  <c r="M730" i="5" s="1"/>
  <c r="N730" i="5" s="1"/>
  <c r="M729" i="5"/>
  <c r="N729" i="5" s="1"/>
  <c r="G729" i="5"/>
  <c r="F729" i="5"/>
  <c r="D729" i="5"/>
  <c r="C729" i="5"/>
  <c r="B729" i="5"/>
  <c r="A729" i="5"/>
  <c r="M728" i="5"/>
  <c r="N728" i="5" s="1"/>
  <c r="E728" i="5"/>
  <c r="D728" i="5"/>
  <c r="C728" i="5"/>
  <c r="F728" i="5" s="1"/>
  <c r="B728" i="5"/>
  <c r="A728" i="5"/>
  <c r="D727" i="5"/>
  <c r="C727" i="5"/>
  <c r="B727" i="5"/>
  <c r="A727" i="5"/>
  <c r="M727" i="5" s="1"/>
  <c r="N727" i="5" s="1"/>
  <c r="H726" i="5"/>
  <c r="D726" i="5"/>
  <c r="C726" i="5"/>
  <c r="B726" i="5"/>
  <c r="A726" i="5"/>
  <c r="M726" i="5" s="1"/>
  <c r="N726" i="5" s="1"/>
  <c r="H725" i="5"/>
  <c r="G725" i="5"/>
  <c r="F725" i="5"/>
  <c r="E725" i="5"/>
  <c r="D725" i="5"/>
  <c r="C725" i="5"/>
  <c r="B725" i="5"/>
  <c r="A725" i="5"/>
  <c r="M725" i="5" s="1"/>
  <c r="N725" i="5" s="1"/>
  <c r="G724" i="5"/>
  <c r="F724" i="5"/>
  <c r="D724" i="5"/>
  <c r="C724" i="5"/>
  <c r="B724" i="5"/>
  <c r="A724" i="5"/>
  <c r="M724" i="5" s="1"/>
  <c r="N724" i="5" s="1"/>
  <c r="D723" i="5"/>
  <c r="C723" i="5"/>
  <c r="B723" i="5"/>
  <c r="A723" i="5"/>
  <c r="M723" i="5" s="1"/>
  <c r="N723" i="5" s="1"/>
  <c r="M722" i="5"/>
  <c r="N722" i="5" s="1"/>
  <c r="H722" i="5"/>
  <c r="G722" i="5"/>
  <c r="F722" i="5"/>
  <c r="D722" i="5"/>
  <c r="C722" i="5"/>
  <c r="E722" i="5" s="1"/>
  <c r="B722" i="5"/>
  <c r="A722" i="5"/>
  <c r="M721" i="5"/>
  <c r="N721" i="5" s="1"/>
  <c r="H721" i="5"/>
  <c r="G721" i="5"/>
  <c r="F721" i="5"/>
  <c r="E721" i="5"/>
  <c r="D721" i="5"/>
  <c r="C721" i="5"/>
  <c r="B721" i="5"/>
  <c r="A721" i="5"/>
  <c r="D720" i="5"/>
  <c r="C720" i="5"/>
  <c r="B720" i="5"/>
  <c r="A720" i="5"/>
  <c r="M720" i="5" s="1"/>
  <c r="N720" i="5" s="1"/>
  <c r="H719" i="5"/>
  <c r="F719" i="5"/>
  <c r="D719" i="5"/>
  <c r="C719" i="5"/>
  <c r="G719" i="5" s="1"/>
  <c r="B719" i="5"/>
  <c r="A719" i="5"/>
  <c r="M719" i="5" s="1"/>
  <c r="N719" i="5" s="1"/>
  <c r="H718" i="5"/>
  <c r="G718" i="5"/>
  <c r="F718" i="5"/>
  <c r="E718" i="5"/>
  <c r="D718" i="5"/>
  <c r="C718" i="5"/>
  <c r="B718" i="5"/>
  <c r="A718" i="5"/>
  <c r="M718" i="5" s="1"/>
  <c r="N718" i="5" s="1"/>
  <c r="M717" i="5"/>
  <c r="N717" i="5" s="1"/>
  <c r="F717" i="5"/>
  <c r="D717" i="5"/>
  <c r="C717" i="5"/>
  <c r="B717" i="5"/>
  <c r="A717" i="5"/>
  <c r="G716" i="5"/>
  <c r="F716" i="5"/>
  <c r="D716" i="5"/>
  <c r="C716" i="5"/>
  <c r="H716" i="5" s="1"/>
  <c r="B716" i="5"/>
  <c r="A716" i="5"/>
  <c r="M716" i="5" s="1"/>
  <c r="N716" i="5" s="1"/>
  <c r="H715" i="5"/>
  <c r="G715" i="5"/>
  <c r="F715" i="5"/>
  <c r="D715" i="5"/>
  <c r="C715" i="5"/>
  <c r="E715" i="5" s="1"/>
  <c r="B715" i="5"/>
  <c r="A715" i="5"/>
  <c r="M715" i="5" s="1"/>
  <c r="N715" i="5" s="1"/>
  <c r="M714" i="5"/>
  <c r="N714" i="5" s="1"/>
  <c r="D714" i="5"/>
  <c r="C714" i="5"/>
  <c r="B714" i="5"/>
  <c r="A714" i="5"/>
  <c r="M713" i="5"/>
  <c r="N713" i="5" s="1"/>
  <c r="E713" i="5"/>
  <c r="D713" i="5"/>
  <c r="C713" i="5"/>
  <c r="B713" i="5"/>
  <c r="A713" i="5"/>
  <c r="D712" i="5"/>
  <c r="C712" i="5"/>
  <c r="B712" i="5"/>
  <c r="A712" i="5"/>
  <c r="M712" i="5" s="1"/>
  <c r="N712" i="5" s="1"/>
  <c r="H711" i="5"/>
  <c r="G711" i="5"/>
  <c r="F711" i="5"/>
  <c r="E711" i="5"/>
  <c r="D711" i="5"/>
  <c r="C711" i="5"/>
  <c r="B711" i="5"/>
  <c r="A711" i="5"/>
  <c r="M711" i="5" s="1"/>
  <c r="N711" i="5" s="1"/>
  <c r="M710" i="5"/>
  <c r="N710" i="5" s="1"/>
  <c r="G710" i="5"/>
  <c r="F710" i="5"/>
  <c r="D710" i="5"/>
  <c r="C710" i="5"/>
  <c r="B710" i="5"/>
  <c r="A710" i="5"/>
  <c r="G709" i="5"/>
  <c r="F709" i="5"/>
  <c r="D709" i="5"/>
  <c r="C709" i="5"/>
  <c r="H709" i="5" s="1"/>
  <c r="B709" i="5"/>
  <c r="A709" i="5"/>
  <c r="M709" i="5" s="1"/>
  <c r="N709" i="5" s="1"/>
  <c r="H708" i="5"/>
  <c r="G708" i="5"/>
  <c r="D708" i="5"/>
  <c r="C708" i="5"/>
  <c r="E708" i="5" s="1"/>
  <c r="B708" i="5"/>
  <c r="A708" i="5"/>
  <c r="M708" i="5" s="1"/>
  <c r="N708" i="5" s="1"/>
  <c r="M707" i="5"/>
  <c r="N707" i="5" s="1"/>
  <c r="D707" i="5"/>
  <c r="C707" i="5"/>
  <c r="B707" i="5"/>
  <c r="A707" i="5"/>
  <c r="M706" i="5"/>
  <c r="N706" i="5" s="1"/>
  <c r="F706" i="5"/>
  <c r="E706" i="5"/>
  <c r="D706" i="5"/>
  <c r="C706" i="5"/>
  <c r="B706" i="5"/>
  <c r="A706" i="5"/>
  <c r="M705" i="5"/>
  <c r="N705" i="5" s="1"/>
  <c r="D705" i="5"/>
  <c r="C705" i="5"/>
  <c r="B705" i="5"/>
  <c r="A705" i="5"/>
  <c r="M704" i="5"/>
  <c r="N704" i="5" s="1"/>
  <c r="H704" i="5"/>
  <c r="G704" i="5"/>
  <c r="F704" i="5"/>
  <c r="D704" i="5"/>
  <c r="C704" i="5"/>
  <c r="E704" i="5" s="1"/>
  <c r="B704" i="5"/>
  <c r="A704" i="5"/>
  <c r="D703" i="5"/>
  <c r="C703" i="5"/>
  <c r="B703" i="5"/>
  <c r="A703" i="5"/>
  <c r="M703" i="5" s="1"/>
  <c r="N703" i="5" s="1"/>
  <c r="M702" i="5"/>
  <c r="N702" i="5" s="1"/>
  <c r="G702" i="5"/>
  <c r="E702" i="5"/>
  <c r="D702" i="5"/>
  <c r="C702" i="5"/>
  <c r="B702" i="5"/>
  <c r="A702" i="5"/>
  <c r="M701" i="5"/>
  <c r="N701" i="5" s="1"/>
  <c r="D701" i="5"/>
  <c r="C701" i="5"/>
  <c r="B701" i="5"/>
  <c r="A701" i="5"/>
  <c r="M700" i="5"/>
  <c r="N700" i="5" s="1"/>
  <c r="D700" i="5"/>
  <c r="C700" i="5"/>
  <c r="B700" i="5"/>
  <c r="A700" i="5"/>
  <c r="G699" i="5"/>
  <c r="F699" i="5"/>
  <c r="D699" i="5"/>
  <c r="C699" i="5"/>
  <c r="B699" i="5"/>
  <c r="A699" i="5"/>
  <c r="M699" i="5" s="1"/>
  <c r="N699" i="5" s="1"/>
  <c r="D698" i="5"/>
  <c r="C698" i="5"/>
  <c r="B698" i="5"/>
  <c r="A698" i="5"/>
  <c r="M698" i="5" s="1"/>
  <c r="N698" i="5" s="1"/>
  <c r="M697" i="5"/>
  <c r="N697" i="5" s="1"/>
  <c r="H697" i="5"/>
  <c r="G697" i="5"/>
  <c r="F697" i="5"/>
  <c r="E697" i="5"/>
  <c r="D697" i="5"/>
  <c r="C697" i="5"/>
  <c r="B697" i="5"/>
  <c r="A697" i="5"/>
  <c r="D696" i="5"/>
  <c r="C696" i="5"/>
  <c r="B696" i="5"/>
  <c r="A696" i="5"/>
  <c r="M696" i="5" s="1"/>
  <c r="N696" i="5" s="1"/>
  <c r="M695" i="5"/>
  <c r="N695" i="5" s="1"/>
  <c r="F695" i="5"/>
  <c r="E695" i="5"/>
  <c r="D695" i="5"/>
  <c r="C695" i="5"/>
  <c r="B695" i="5"/>
  <c r="A695" i="5"/>
  <c r="M694" i="5"/>
  <c r="N694" i="5" s="1"/>
  <c r="H694" i="5"/>
  <c r="G694" i="5"/>
  <c r="F694" i="5"/>
  <c r="E694" i="5"/>
  <c r="D694" i="5"/>
  <c r="C694" i="5"/>
  <c r="B694" i="5"/>
  <c r="A694" i="5"/>
  <c r="E693" i="5"/>
  <c r="D693" i="5"/>
  <c r="C693" i="5"/>
  <c r="B693" i="5"/>
  <c r="A693" i="5"/>
  <c r="M693" i="5" s="1"/>
  <c r="N693" i="5" s="1"/>
  <c r="M692" i="5"/>
  <c r="N692" i="5" s="1"/>
  <c r="H692" i="5"/>
  <c r="F692" i="5"/>
  <c r="E692" i="5"/>
  <c r="D692" i="5"/>
  <c r="C692" i="5"/>
  <c r="G692" i="5" s="1"/>
  <c r="B692" i="5"/>
  <c r="A692" i="5"/>
  <c r="M691" i="5"/>
  <c r="N691" i="5" s="1"/>
  <c r="H691" i="5"/>
  <c r="D691" i="5"/>
  <c r="C691" i="5"/>
  <c r="B691" i="5"/>
  <c r="A691" i="5"/>
  <c r="H690" i="5"/>
  <c r="F690" i="5"/>
  <c r="D690" i="5"/>
  <c r="C690" i="5"/>
  <c r="B690" i="5"/>
  <c r="A690" i="5"/>
  <c r="M690" i="5" s="1"/>
  <c r="N690" i="5" s="1"/>
  <c r="M689" i="5"/>
  <c r="N689" i="5" s="1"/>
  <c r="H689" i="5"/>
  <c r="G689" i="5"/>
  <c r="F689" i="5"/>
  <c r="E689" i="5"/>
  <c r="D689" i="5"/>
  <c r="C689" i="5"/>
  <c r="B689" i="5"/>
  <c r="A689" i="5"/>
  <c r="D688" i="5"/>
  <c r="C688" i="5"/>
  <c r="B688" i="5"/>
  <c r="A688" i="5"/>
  <c r="M688" i="5" s="1"/>
  <c r="N688" i="5" s="1"/>
  <c r="M687" i="5"/>
  <c r="N687" i="5" s="1"/>
  <c r="G687" i="5"/>
  <c r="F687" i="5"/>
  <c r="D687" i="5"/>
  <c r="C687" i="5"/>
  <c r="B687" i="5"/>
  <c r="A687" i="5"/>
  <c r="M686" i="5"/>
  <c r="N686" i="5" s="1"/>
  <c r="F686" i="5"/>
  <c r="E686" i="5"/>
  <c r="D686" i="5"/>
  <c r="C686" i="5"/>
  <c r="G686" i="5" s="1"/>
  <c r="B686" i="5"/>
  <c r="A686" i="5"/>
  <c r="D685" i="5"/>
  <c r="C685" i="5"/>
  <c r="B685" i="5"/>
  <c r="A685" i="5"/>
  <c r="M685" i="5" s="1"/>
  <c r="N685" i="5" s="1"/>
  <c r="H684" i="5"/>
  <c r="G684" i="5"/>
  <c r="E684" i="5"/>
  <c r="D684" i="5"/>
  <c r="C684" i="5"/>
  <c r="F684" i="5" s="1"/>
  <c r="B684" i="5"/>
  <c r="A684" i="5"/>
  <c r="M684" i="5" s="1"/>
  <c r="N684" i="5" s="1"/>
  <c r="M683" i="5"/>
  <c r="N683" i="5" s="1"/>
  <c r="D683" i="5"/>
  <c r="C683" i="5"/>
  <c r="B683" i="5"/>
  <c r="A683" i="5"/>
  <c r="M682" i="5"/>
  <c r="N682" i="5" s="1"/>
  <c r="D682" i="5"/>
  <c r="C682" i="5"/>
  <c r="B682" i="5"/>
  <c r="A682" i="5"/>
  <c r="M681" i="5"/>
  <c r="N681" i="5" s="1"/>
  <c r="D681" i="5"/>
  <c r="C681" i="5"/>
  <c r="H681" i="5" s="1"/>
  <c r="B681" i="5"/>
  <c r="A681" i="5"/>
  <c r="M680" i="5"/>
  <c r="N680" i="5" s="1"/>
  <c r="D680" i="5"/>
  <c r="C680" i="5"/>
  <c r="B680" i="5"/>
  <c r="A680" i="5"/>
  <c r="M679" i="5"/>
  <c r="N679" i="5" s="1"/>
  <c r="H679" i="5"/>
  <c r="G679" i="5"/>
  <c r="F679" i="5"/>
  <c r="D679" i="5"/>
  <c r="C679" i="5"/>
  <c r="E679" i="5" s="1"/>
  <c r="B679" i="5"/>
  <c r="A679" i="5"/>
  <c r="M678" i="5"/>
  <c r="N678" i="5" s="1"/>
  <c r="H678" i="5"/>
  <c r="F678" i="5"/>
  <c r="D678" i="5"/>
  <c r="C678" i="5"/>
  <c r="G678" i="5" s="1"/>
  <c r="B678" i="5"/>
  <c r="A678" i="5"/>
  <c r="D677" i="5"/>
  <c r="C677" i="5"/>
  <c r="B677" i="5"/>
  <c r="A677" i="5"/>
  <c r="M677" i="5" s="1"/>
  <c r="N677" i="5" s="1"/>
  <c r="M676" i="5"/>
  <c r="N676" i="5" s="1"/>
  <c r="G676" i="5"/>
  <c r="F676" i="5"/>
  <c r="E676" i="5"/>
  <c r="D676" i="5"/>
  <c r="C676" i="5"/>
  <c r="H676" i="5" s="1"/>
  <c r="B676" i="5"/>
  <c r="A676" i="5"/>
  <c r="D675" i="5"/>
  <c r="C675" i="5"/>
  <c r="E675" i="5" s="1"/>
  <c r="B675" i="5"/>
  <c r="A675" i="5"/>
  <c r="M675" i="5" s="1"/>
  <c r="N675" i="5" s="1"/>
  <c r="M674" i="5"/>
  <c r="N674" i="5" s="1"/>
  <c r="G674" i="5"/>
  <c r="E674" i="5"/>
  <c r="D674" i="5"/>
  <c r="C674" i="5"/>
  <c r="B674" i="5"/>
  <c r="A674" i="5"/>
  <c r="M673" i="5"/>
  <c r="N673" i="5" s="1"/>
  <c r="D673" i="5"/>
  <c r="C673" i="5"/>
  <c r="B673" i="5"/>
  <c r="A673" i="5"/>
  <c r="H672" i="5"/>
  <c r="F672" i="5"/>
  <c r="E672" i="5"/>
  <c r="D672" i="5"/>
  <c r="C672" i="5"/>
  <c r="G672" i="5" s="1"/>
  <c r="B672" i="5"/>
  <c r="A672" i="5"/>
  <c r="M672" i="5" s="1"/>
  <c r="N672" i="5" s="1"/>
  <c r="M671" i="5"/>
  <c r="N671" i="5" s="1"/>
  <c r="H671" i="5"/>
  <c r="F671" i="5"/>
  <c r="E671" i="5"/>
  <c r="D671" i="5"/>
  <c r="C671" i="5"/>
  <c r="G671" i="5" s="1"/>
  <c r="B671" i="5"/>
  <c r="A671" i="5"/>
  <c r="D670" i="5"/>
  <c r="C670" i="5"/>
  <c r="B670" i="5"/>
  <c r="A670" i="5"/>
  <c r="M670" i="5" s="1"/>
  <c r="N670" i="5" s="1"/>
  <c r="H669" i="5"/>
  <c r="G669" i="5"/>
  <c r="F669" i="5"/>
  <c r="E669" i="5"/>
  <c r="D669" i="5"/>
  <c r="C669" i="5"/>
  <c r="B669" i="5"/>
  <c r="A669" i="5"/>
  <c r="M669" i="5" s="1"/>
  <c r="N669" i="5" s="1"/>
  <c r="M668" i="5"/>
  <c r="N668" i="5" s="1"/>
  <c r="D668" i="5"/>
  <c r="C668" i="5"/>
  <c r="H668" i="5" s="1"/>
  <c r="B668" i="5"/>
  <c r="A668" i="5"/>
  <c r="G667" i="5"/>
  <c r="F667" i="5"/>
  <c r="E667" i="5"/>
  <c r="D667" i="5"/>
  <c r="C667" i="5"/>
  <c r="H667" i="5" s="1"/>
  <c r="B667" i="5"/>
  <c r="A667" i="5"/>
  <c r="M667" i="5" s="1"/>
  <c r="N667" i="5" s="1"/>
  <c r="H666" i="5"/>
  <c r="G666" i="5"/>
  <c r="F666" i="5"/>
  <c r="E666" i="5"/>
  <c r="D666" i="5"/>
  <c r="C666" i="5"/>
  <c r="B666" i="5"/>
  <c r="A666" i="5"/>
  <c r="M666" i="5" s="1"/>
  <c r="N666" i="5" s="1"/>
  <c r="G665" i="5"/>
  <c r="F665" i="5"/>
  <c r="E665" i="5"/>
  <c r="D665" i="5"/>
  <c r="C665" i="5"/>
  <c r="H665" i="5" s="1"/>
  <c r="B665" i="5"/>
  <c r="A665" i="5"/>
  <c r="M665" i="5" s="1"/>
  <c r="N665" i="5" s="1"/>
  <c r="H664" i="5"/>
  <c r="E664" i="5"/>
  <c r="D664" i="5"/>
  <c r="C664" i="5"/>
  <c r="B664" i="5"/>
  <c r="A664" i="5"/>
  <c r="M664" i="5" s="1"/>
  <c r="N664" i="5" s="1"/>
  <c r="H663" i="5"/>
  <c r="G663" i="5"/>
  <c r="E663" i="5"/>
  <c r="D663" i="5"/>
  <c r="C663" i="5"/>
  <c r="F663" i="5" s="1"/>
  <c r="B663" i="5"/>
  <c r="A663" i="5"/>
  <c r="M663" i="5" s="1"/>
  <c r="N663" i="5" s="1"/>
  <c r="H662" i="5"/>
  <c r="G662" i="5"/>
  <c r="F662" i="5"/>
  <c r="E662" i="5"/>
  <c r="D662" i="5"/>
  <c r="C662" i="5"/>
  <c r="B662" i="5"/>
  <c r="A662" i="5"/>
  <c r="M662" i="5" s="1"/>
  <c r="N662" i="5" s="1"/>
  <c r="H661" i="5"/>
  <c r="F661" i="5"/>
  <c r="D661" i="5"/>
  <c r="C661" i="5"/>
  <c r="B661" i="5"/>
  <c r="A661" i="5"/>
  <c r="M661" i="5" s="1"/>
  <c r="N661" i="5" s="1"/>
  <c r="M660" i="5"/>
  <c r="N660" i="5" s="1"/>
  <c r="D660" i="5"/>
  <c r="C660" i="5"/>
  <c r="B660" i="5"/>
  <c r="A660" i="5"/>
  <c r="G659" i="5"/>
  <c r="E659" i="5"/>
  <c r="D659" i="5"/>
  <c r="C659" i="5"/>
  <c r="B659" i="5"/>
  <c r="A659" i="5"/>
  <c r="M659" i="5" s="1"/>
  <c r="N659" i="5" s="1"/>
  <c r="M658" i="5"/>
  <c r="N658" i="5" s="1"/>
  <c r="H658" i="5"/>
  <c r="G658" i="5"/>
  <c r="D658" i="5"/>
  <c r="C658" i="5"/>
  <c r="B658" i="5"/>
  <c r="A658" i="5"/>
  <c r="M657" i="5"/>
  <c r="N657" i="5" s="1"/>
  <c r="D657" i="5"/>
  <c r="C657" i="5"/>
  <c r="B657" i="5"/>
  <c r="A657" i="5"/>
  <c r="M656" i="5"/>
  <c r="N656" i="5" s="1"/>
  <c r="D656" i="5"/>
  <c r="C656" i="5"/>
  <c r="B656" i="5"/>
  <c r="A656" i="5"/>
  <c r="E655" i="5"/>
  <c r="D655" i="5"/>
  <c r="C655" i="5"/>
  <c r="B655" i="5"/>
  <c r="A655" i="5"/>
  <c r="M655" i="5" s="1"/>
  <c r="N655" i="5" s="1"/>
  <c r="D654" i="5"/>
  <c r="C654" i="5"/>
  <c r="B654" i="5"/>
  <c r="A654" i="5"/>
  <c r="M654" i="5" s="1"/>
  <c r="N654" i="5" s="1"/>
  <c r="M653" i="5"/>
  <c r="N653" i="5" s="1"/>
  <c r="H653" i="5"/>
  <c r="G653" i="5"/>
  <c r="F653" i="5"/>
  <c r="E653" i="5"/>
  <c r="D653" i="5"/>
  <c r="C653" i="5"/>
  <c r="B653" i="5"/>
  <c r="A653" i="5"/>
  <c r="M652" i="5"/>
  <c r="N652" i="5" s="1"/>
  <c r="G652" i="5"/>
  <c r="D652" i="5"/>
  <c r="C652" i="5"/>
  <c r="B652" i="5"/>
  <c r="A652" i="5"/>
  <c r="M651" i="5"/>
  <c r="N651" i="5" s="1"/>
  <c r="E651" i="5"/>
  <c r="D651" i="5"/>
  <c r="C651" i="5"/>
  <c r="B651" i="5"/>
  <c r="A651" i="5"/>
  <c r="H650" i="5"/>
  <c r="G650" i="5"/>
  <c r="F650" i="5"/>
  <c r="E650" i="5"/>
  <c r="D650" i="5"/>
  <c r="C650" i="5"/>
  <c r="B650" i="5"/>
  <c r="A650" i="5"/>
  <c r="M650" i="5" s="1"/>
  <c r="N650" i="5" s="1"/>
  <c r="H649" i="5"/>
  <c r="G649" i="5"/>
  <c r="E649" i="5"/>
  <c r="D649" i="5"/>
  <c r="C649" i="5"/>
  <c r="F649" i="5" s="1"/>
  <c r="B649" i="5"/>
  <c r="A649" i="5"/>
  <c r="M649" i="5" s="1"/>
  <c r="N649" i="5" s="1"/>
  <c r="M648" i="5"/>
  <c r="N648" i="5" s="1"/>
  <c r="D648" i="5"/>
  <c r="C648" i="5"/>
  <c r="B648" i="5"/>
  <c r="A648" i="5"/>
  <c r="M647" i="5"/>
  <c r="N647" i="5" s="1"/>
  <c r="H647" i="5"/>
  <c r="G647" i="5"/>
  <c r="F647" i="5"/>
  <c r="E647" i="5"/>
  <c r="D647" i="5"/>
  <c r="C647" i="5"/>
  <c r="B647" i="5"/>
  <c r="A647" i="5"/>
  <c r="F646" i="5"/>
  <c r="E646" i="5"/>
  <c r="D646" i="5"/>
  <c r="C646" i="5"/>
  <c r="G646" i="5" s="1"/>
  <c r="B646" i="5"/>
  <c r="A646" i="5"/>
  <c r="M646" i="5" s="1"/>
  <c r="N646" i="5" s="1"/>
  <c r="G645" i="5"/>
  <c r="F645" i="5"/>
  <c r="E645" i="5"/>
  <c r="D645" i="5"/>
  <c r="C645" i="5"/>
  <c r="H645" i="5" s="1"/>
  <c r="B645" i="5"/>
  <c r="A645" i="5"/>
  <c r="M645" i="5" s="1"/>
  <c r="N645" i="5" s="1"/>
  <c r="D644" i="5"/>
  <c r="C644" i="5"/>
  <c r="B644" i="5"/>
  <c r="A644" i="5"/>
  <c r="M644" i="5" s="1"/>
  <c r="N644" i="5" s="1"/>
  <c r="G643" i="5"/>
  <c r="F643" i="5"/>
  <c r="D643" i="5"/>
  <c r="C643" i="5"/>
  <c r="H643" i="5" s="1"/>
  <c r="B643" i="5"/>
  <c r="A643" i="5"/>
  <c r="M643" i="5" s="1"/>
  <c r="N643" i="5" s="1"/>
  <c r="H642" i="5"/>
  <c r="G642" i="5"/>
  <c r="F642" i="5"/>
  <c r="E642" i="5"/>
  <c r="D642" i="5"/>
  <c r="C642" i="5"/>
  <c r="B642" i="5"/>
  <c r="A642" i="5"/>
  <c r="M642" i="5" s="1"/>
  <c r="N642" i="5" s="1"/>
  <c r="H641" i="5"/>
  <c r="G641" i="5"/>
  <c r="D641" i="5"/>
  <c r="C641" i="5"/>
  <c r="B641" i="5"/>
  <c r="A641" i="5"/>
  <c r="M641" i="5" s="1"/>
  <c r="N641" i="5" s="1"/>
  <c r="M640" i="5"/>
  <c r="N640" i="5" s="1"/>
  <c r="D640" i="5"/>
  <c r="C640" i="5"/>
  <c r="B640" i="5"/>
  <c r="A640" i="5"/>
  <c r="H639" i="5"/>
  <c r="G639" i="5"/>
  <c r="F639" i="5"/>
  <c r="E639" i="5"/>
  <c r="D639" i="5"/>
  <c r="C639" i="5"/>
  <c r="B639" i="5"/>
  <c r="A639" i="5"/>
  <c r="M639" i="5" s="1"/>
  <c r="N639" i="5" s="1"/>
  <c r="G638" i="5"/>
  <c r="F638" i="5"/>
  <c r="D638" i="5"/>
  <c r="C638" i="5"/>
  <c r="B638" i="5"/>
  <c r="A638" i="5"/>
  <c r="M638" i="5" s="1"/>
  <c r="N638" i="5" s="1"/>
  <c r="M637" i="5"/>
  <c r="N637" i="5" s="1"/>
  <c r="H637" i="5"/>
  <c r="D637" i="5"/>
  <c r="C637" i="5"/>
  <c r="B637" i="5"/>
  <c r="A637" i="5"/>
  <c r="H636" i="5"/>
  <c r="G636" i="5"/>
  <c r="F636" i="5"/>
  <c r="E636" i="5"/>
  <c r="D636" i="5"/>
  <c r="C636" i="5"/>
  <c r="B636" i="5"/>
  <c r="A636" i="5"/>
  <c r="M636" i="5" s="1"/>
  <c r="N636" i="5" s="1"/>
  <c r="M635" i="5"/>
  <c r="N635" i="5" s="1"/>
  <c r="D635" i="5"/>
  <c r="C635" i="5"/>
  <c r="B635" i="5"/>
  <c r="A635" i="5"/>
  <c r="M634" i="5"/>
  <c r="N634" i="5" s="1"/>
  <c r="D634" i="5"/>
  <c r="C634" i="5"/>
  <c r="B634" i="5"/>
  <c r="A634" i="5"/>
  <c r="M633" i="5"/>
  <c r="N633" i="5" s="1"/>
  <c r="F633" i="5"/>
  <c r="E633" i="5"/>
  <c r="D633" i="5"/>
  <c r="C633" i="5"/>
  <c r="H633" i="5" s="1"/>
  <c r="B633" i="5"/>
  <c r="A633" i="5"/>
  <c r="M632" i="5"/>
  <c r="N632" i="5" s="1"/>
  <c r="H632" i="5"/>
  <c r="F632" i="5"/>
  <c r="E632" i="5"/>
  <c r="D632" i="5"/>
  <c r="C632" i="5"/>
  <c r="G632" i="5" s="1"/>
  <c r="B632" i="5"/>
  <c r="A632" i="5"/>
  <c r="D631" i="5"/>
  <c r="C631" i="5"/>
  <c r="B631" i="5"/>
  <c r="A631" i="5"/>
  <c r="M631" i="5" s="1"/>
  <c r="N631" i="5" s="1"/>
  <c r="M630" i="5"/>
  <c r="N630" i="5" s="1"/>
  <c r="D630" i="5"/>
  <c r="C630" i="5"/>
  <c r="B630" i="5"/>
  <c r="A630" i="5"/>
  <c r="M629" i="5"/>
  <c r="N629" i="5" s="1"/>
  <c r="D629" i="5"/>
  <c r="C629" i="5"/>
  <c r="B629" i="5"/>
  <c r="A629" i="5"/>
  <c r="H628" i="5"/>
  <c r="G628" i="5"/>
  <c r="F628" i="5"/>
  <c r="E628" i="5"/>
  <c r="D628" i="5"/>
  <c r="C628" i="5"/>
  <c r="B628" i="5"/>
  <c r="A628" i="5"/>
  <c r="M628" i="5" s="1"/>
  <c r="N628" i="5" s="1"/>
  <c r="M627" i="5"/>
  <c r="N627" i="5" s="1"/>
  <c r="H627" i="5"/>
  <c r="G627" i="5"/>
  <c r="D627" i="5"/>
  <c r="C627" i="5"/>
  <c r="B627" i="5"/>
  <c r="A627" i="5"/>
  <c r="D626" i="5"/>
  <c r="C626" i="5"/>
  <c r="B626" i="5"/>
  <c r="A626" i="5"/>
  <c r="M626" i="5" s="1"/>
  <c r="N626" i="5" s="1"/>
  <c r="G625" i="5"/>
  <c r="D625" i="5"/>
  <c r="C625" i="5"/>
  <c r="H625" i="5" s="1"/>
  <c r="B625" i="5"/>
  <c r="A625" i="5"/>
  <c r="M625" i="5" s="1"/>
  <c r="N625" i="5" s="1"/>
  <c r="M624" i="5"/>
  <c r="N624" i="5" s="1"/>
  <c r="D624" i="5"/>
  <c r="C624" i="5"/>
  <c r="H624" i="5" s="1"/>
  <c r="B624" i="5"/>
  <c r="A624" i="5"/>
  <c r="H623" i="5"/>
  <c r="G623" i="5"/>
  <c r="D623" i="5"/>
  <c r="C623" i="5"/>
  <c r="F623" i="5" s="1"/>
  <c r="B623" i="5"/>
  <c r="A623" i="5"/>
  <c r="M623" i="5" s="1"/>
  <c r="N623" i="5" s="1"/>
  <c r="M622" i="5"/>
  <c r="N622" i="5" s="1"/>
  <c r="H622" i="5"/>
  <c r="G622" i="5"/>
  <c r="D622" i="5"/>
  <c r="C622" i="5"/>
  <c r="B622" i="5"/>
  <c r="A622" i="5"/>
  <c r="D621" i="5"/>
  <c r="C621" i="5"/>
  <c r="B621" i="5"/>
  <c r="A621" i="5"/>
  <c r="M621" i="5" s="1"/>
  <c r="N621" i="5" s="1"/>
  <c r="G620" i="5"/>
  <c r="D620" i="5"/>
  <c r="C620" i="5"/>
  <c r="B620" i="5"/>
  <c r="A620" i="5"/>
  <c r="M620" i="5" s="1"/>
  <c r="N620" i="5" s="1"/>
  <c r="H619" i="5"/>
  <c r="G619" i="5"/>
  <c r="F619" i="5"/>
  <c r="D619" i="5"/>
  <c r="C619" i="5"/>
  <c r="E619" i="5" s="1"/>
  <c r="B619" i="5"/>
  <c r="A619" i="5"/>
  <c r="M619" i="5" s="1"/>
  <c r="N619" i="5" s="1"/>
  <c r="M618" i="5"/>
  <c r="N618" i="5" s="1"/>
  <c r="H618" i="5"/>
  <c r="G618" i="5"/>
  <c r="D618" i="5"/>
  <c r="C618" i="5"/>
  <c r="F618" i="5" s="1"/>
  <c r="B618" i="5"/>
  <c r="A618" i="5"/>
  <c r="F617" i="5"/>
  <c r="E617" i="5"/>
  <c r="D617" i="5"/>
  <c r="C617" i="5"/>
  <c r="B617" i="5"/>
  <c r="A617" i="5"/>
  <c r="M617" i="5" s="1"/>
  <c r="N617" i="5" s="1"/>
  <c r="H616" i="5"/>
  <c r="G616" i="5"/>
  <c r="E616" i="5"/>
  <c r="D616" i="5"/>
  <c r="C616" i="5"/>
  <c r="F616" i="5" s="1"/>
  <c r="B616" i="5"/>
  <c r="A616" i="5"/>
  <c r="M616" i="5" s="1"/>
  <c r="N616" i="5" s="1"/>
  <c r="M615" i="5"/>
  <c r="N615" i="5" s="1"/>
  <c r="F615" i="5"/>
  <c r="E615" i="5"/>
  <c r="D615" i="5"/>
  <c r="C615" i="5"/>
  <c r="H615" i="5" s="1"/>
  <c r="B615" i="5"/>
  <c r="A615" i="5"/>
  <c r="D614" i="5"/>
  <c r="C614" i="5"/>
  <c r="B614" i="5"/>
  <c r="A614" i="5"/>
  <c r="M614" i="5" s="1"/>
  <c r="N614" i="5" s="1"/>
  <c r="M613" i="5"/>
  <c r="N613" i="5" s="1"/>
  <c r="H613" i="5"/>
  <c r="D613" i="5"/>
  <c r="C613" i="5"/>
  <c r="B613" i="5"/>
  <c r="A613" i="5"/>
  <c r="M612" i="5"/>
  <c r="N612" i="5" s="1"/>
  <c r="G612" i="5"/>
  <c r="D612" i="5"/>
  <c r="C612" i="5"/>
  <c r="E612" i="5" s="1"/>
  <c r="B612" i="5"/>
  <c r="A612" i="5"/>
  <c r="D611" i="5"/>
  <c r="C611" i="5"/>
  <c r="B611" i="5"/>
  <c r="A611" i="5"/>
  <c r="M611" i="5" s="1"/>
  <c r="N611" i="5" s="1"/>
  <c r="M610" i="5"/>
  <c r="N610" i="5" s="1"/>
  <c r="F610" i="5"/>
  <c r="E610" i="5"/>
  <c r="D610" i="5"/>
  <c r="C610" i="5"/>
  <c r="B610" i="5"/>
  <c r="A610" i="5"/>
  <c r="H609" i="5"/>
  <c r="G609" i="5"/>
  <c r="F609" i="5"/>
  <c r="E609" i="5"/>
  <c r="D609" i="5"/>
  <c r="C609" i="5"/>
  <c r="B609" i="5"/>
  <c r="A609" i="5"/>
  <c r="M609" i="5" s="1"/>
  <c r="N609" i="5" s="1"/>
  <c r="F608" i="5"/>
  <c r="E608" i="5"/>
  <c r="D608" i="5"/>
  <c r="C608" i="5"/>
  <c r="B608" i="5"/>
  <c r="A608" i="5"/>
  <c r="M608" i="5" s="1"/>
  <c r="N608" i="5" s="1"/>
  <c r="M607" i="5"/>
  <c r="N607" i="5" s="1"/>
  <c r="G607" i="5"/>
  <c r="F607" i="5"/>
  <c r="E607" i="5"/>
  <c r="D607" i="5"/>
  <c r="C607" i="5"/>
  <c r="H607" i="5" s="1"/>
  <c r="B607" i="5"/>
  <c r="A607" i="5"/>
  <c r="H606" i="5"/>
  <c r="G606" i="5"/>
  <c r="E606" i="5"/>
  <c r="D606" i="5"/>
  <c r="C606" i="5"/>
  <c r="F606" i="5" s="1"/>
  <c r="B606" i="5"/>
  <c r="A606" i="5"/>
  <c r="M606" i="5" s="1"/>
  <c r="N606" i="5" s="1"/>
  <c r="H605" i="5"/>
  <c r="E605" i="5"/>
  <c r="D605" i="5"/>
  <c r="C605" i="5"/>
  <c r="B605" i="5"/>
  <c r="A605" i="5"/>
  <c r="M605" i="5" s="1"/>
  <c r="N605" i="5" s="1"/>
  <c r="D604" i="5"/>
  <c r="C604" i="5"/>
  <c r="H604" i="5" s="1"/>
  <c r="B604" i="5"/>
  <c r="A604" i="5"/>
  <c r="M604" i="5" s="1"/>
  <c r="N604" i="5" s="1"/>
  <c r="D603" i="5"/>
  <c r="C603" i="5"/>
  <c r="B603" i="5"/>
  <c r="A603" i="5"/>
  <c r="M603" i="5" s="1"/>
  <c r="N603" i="5" s="1"/>
  <c r="M602" i="5"/>
  <c r="N602" i="5" s="1"/>
  <c r="D602" i="5"/>
  <c r="C602" i="5"/>
  <c r="B602" i="5"/>
  <c r="A602" i="5"/>
  <c r="M601" i="5"/>
  <c r="N601" i="5" s="1"/>
  <c r="F601" i="5"/>
  <c r="E601" i="5"/>
  <c r="D601" i="5"/>
  <c r="C601" i="5"/>
  <c r="B601" i="5"/>
  <c r="A601" i="5"/>
  <c r="M600" i="5"/>
  <c r="N600" i="5" s="1"/>
  <c r="H600" i="5"/>
  <c r="D600" i="5"/>
  <c r="C600" i="5"/>
  <c r="B600" i="5"/>
  <c r="A600" i="5"/>
  <c r="M599" i="5"/>
  <c r="N599" i="5" s="1"/>
  <c r="D599" i="5"/>
  <c r="C599" i="5"/>
  <c r="H599" i="5" s="1"/>
  <c r="B599" i="5"/>
  <c r="A599" i="5"/>
  <c r="D598" i="5"/>
  <c r="C598" i="5"/>
  <c r="B598" i="5"/>
  <c r="A598" i="5"/>
  <c r="M598" i="5" s="1"/>
  <c r="N598" i="5" s="1"/>
  <c r="H597" i="5"/>
  <c r="G597" i="5"/>
  <c r="E597" i="5"/>
  <c r="D597" i="5"/>
  <c r="C597" i="5"/>
  <c r="F597" i="5" s="1"/>
  <c r="B597" i="5"/>
  <c r="A597" i="5"/>
  <c r="M597" i="5" s="1"/>
  <c r="N597" i="5" s="1"/>
  <c r="M596" i="5"/>
  <c r="N596" i="5" s="1"/>
  <c r="G596" i="5"/>
  <c r="F596" i="5"/>
  <c r="E596" i="5"/>
  <c r="D596" i="5"/>
  <c r="C596" i="5"/>
  <c r="H596" i="5" s="1"/>
  <c r="B596" i="5"/>
  <c r="A596" i="5"/>
  <c r="D595" i="5"/>
  <c r="C595" i="5"/>
  <c r="H595" i="5" s="1"/>
  <c r="B595" i="5"/>
  <c r="A595" i="5"/>
  <c r="M595" i="5" s="1"/>
  <c r="N595" i="5" s="1"/>
  <c r="D594" i="5"/>
  <c r="C594" i="5"/>
  <c r="G594" i="5" s="1"/>
  <c r="B594" i="5"/>
  <c r="A594" i="5"/>
  <c r="M594" i="5" s="1"/>
  <c r="N594" i="5" s="1"/>
  <c r="M593" i="5"/>
  <c r="N593" i="5" s="1"/>
  <c r="H593" i="5"/>
  <c r="G593" i="5"/>
  <c r="F593" i="5"/>
  <c r="E593" i="5"/>
  <c r="D593" i="5"/>
  <c r="C593" i="5"/>
  <c r="B593" i="5"/>
  <c r="A593" i="5"/>
  <c r="M592" i="5"/>
  <c r="N592" i="5" s="1"/>
  <c r="H592" i="5"/>
  <c r="G592" i="5"/>
  <c r="E592" i="5"/>
  <c r="D592" i="5"/>
  <c r="C592" i="5"/>
  <c r="F592" i="5" s="1"/>
  <c r="B592" i="5"/>
  <c r="A592" i="5"/>
  <c r="E591" i="5"/>
  <c r="D591" i="5"/>
  <c r="C591" i="5"/>
  <c r="B591" i="5"/>
  <c r="A591" i="5"/>
  <c r="M591" i="5" s="1"/>
  <c r="N591" i="5" s="1"/>
  <c r="H590" i="5"/>
  <c r="G590" i="5"/>
  <c r="F590" i="5"/>
  <c r="E590" i="5"/>
  <c r="D590" i="5"/>
  <c r="C590" i="5"/>
  <c r="B590" i="5"/>
  <c r="A590" i="5"/>
  <c r="M590" i="5" s="1"/>
  <c r="N590" i="5" s="1"/>
  <c r="M589" i="5"/>
  <c r="N589" i="5" s="1"/>
  <c r="E589" i="5"/>
  <c r="D589" i="5"/>
  <c r="C589" i="5"/>
  <c r="H589" i="5" s="1"/>
  <c r="B589" i="5"/>
  <c r="A589" i="5"/>
  <c r="F588" i="5"/>
  <c r="E588" i="5"/>
  <c r="D588" i="5"/>
  <c r="C588" i="5"/>
  <c r="B588" i="5"/>
  <c r="A588" i="5"/>
  <c r="M588" i="5" s="1"/>
  <c r="N588" i="5" s="1"/>
  <c r="M587" i="5"/>
  <c r="N587" i="5" s="1"/>
  <c r="H587" i="5"/>
  <c r="G587" i="5"/>
  <c r="F587" i="5"/>
  <c r="E587" i="5"/>
  <c r="D587" i="5"/>
  <c r="C587" i="5"/>
  <c r="B587" i="5"/>
  <c r="A587" i="5"/>
  <c r="F586" i="5"/>
  <c r="E586" i="5"/>
  <c r="D586" i="5"/>
  <c r="C586" i="5"/>
  <c r="H586" i="5" s="1"/>
  <c r="B586" i="5"/>
  <c r="A586" i="5"/>
  <c r="M586" i="5" s="1"/>
  <c r="N586" i="5" s="1"/>
  <c r="D585" i="5"/>
  <c r="C585" i="5"/>
  <c r="B585" i="5"/>
  <c r="A585" i="5"/>
  <c r="M585" i="5" s="1"/>
  <c r="N585" i="5" s="1"/>
  <c r="M584" i="5"/>
  <c r="N584" i="5" s="1"/>
  <c r="H584" i="5"/>
  <c r="G584" i="5"/>
  <c r="F584" i="5"/>
  <c r="E584" i="5"/>
  <c r="D584" i="5"/>
  <c r="C584" i="5"/>
  <c r="B584" i="5"/>
  <c r="A584" i="5"/>
  <c r="H583" i="5"/>
  <c r="F583" i="5"/>
  <c r="E583" i="5"/>
  <c r="D583" i="5"/>
  <c r="C583" i="5"/>
  <c r="G583" i="5" s="1"/>
  <c r="B583" i="5"/>
  <c r="A583" i="5"/>
  <c r="M583" i="5" s="1"/>
  <c r="N583" i="5" s="1"/>
  <c r="E582" i="5"/>
  <c r="D582" i="5"/>
  <c r="C582" i="5"/>
  <c r="B582" i="5"/>
  <c r="A582" i="5"/>
  <c r="M582" i="5" s="1"/>
  <c r="N582" i="5" s="1"/>
  <c r="M581" i="5"/>
  <c r="N581" i="5" s="1"/>
  <c r="H581" i="5"/>
  <c r="G581" i="5"/>
  <c r="F581" i="5"/>
  <c r="D581" i="5"/>
  <c r="C581" i="5"/>
  <c r="E581" i="5" s="1"/>
  <c r="B581" i="5"/>
  <c r="A581" i="5"/>
  <c r="M580" i="5"/>
  <c r="N580" i="5" s="1"/>
  <c r="F580" i="5"/>
  <c r="D580" i="5"/>
  <c r="C580" i="5"/>
  <c r="B580" i="5"/>
  <c r="A580" i="5"/>
  <c r="M579" i="5"/>
  <c r="N579" i="5" s="1"/>
  <c r="H579" i="5"/>
  <c r="E579" i="5"/>
  <c r="D579" i="5"/>
  <c r="C579" i="5"/>
  <c r="B579" i="5"/>
  <c r="A579" i="5"/>
  <c r="M578" i="5"/>
  <c r="N578" i="5" s="1"/>
  <c r="D578" i="5"/>
  <c r="C578" i="5"/>
  <c r="B578" i="5"/>
  <c r="A578" i="5"/>
  <c r="M577" i="5"/>
  <c r="N577" i="5" s="1"/>
  <c r="H577" i="5"/>
  <c r="F577" i="5"/>
  <c r="E577" i="5"/>
  <c r="D577" i="5"/>
  <c r="C577" i="5"/>
  <c r="G577" i="5" s="1"/>
  <c r="B577" i="5"/>
  <c r="A577" i="5"/>
  <c r="M576" i="5"/>
  <c r="N576" i="5" s="1"/>
  <c r="H576" i="5"/>
  <c r="D576" i="5"/>
  <c r="C576" i="5"/>
  <c r="B576" i="5"/>
  <c r="A576" i="5"/>
  <c r="M575" i="5"/>
  <c r="N575" i="5" s="1"/>
  <c r="D575" i="5"/>
  <c r="C575" i="5"/>
  <c r="B575" i="5"/>
  <c r="A575" i="5"/>
  <c r="M574" i="5"/>
  <c r="N574" i="5" s="1"/>
  <c r="H574" i="5"/>
  <c r="E574" i="5"/>
  <c r="D574" i="5"/>
  <c r="C574" i="5"/>
  <c r="G574" i="5" s="1"/>
  <c r="B574" i="5"/>
  <c r="A574" i="5"/>
  <c r="M573" i="5"/>
  <c r="N573" i="5" s="1"/>
  <c r="H573" i="5"/>
  <c r="D573" i="5"/>
  <c r="C573" i="5"/>
  <c r="B573" i="5"/>
  <c r="A573" i="5"/>
  <c r="M572" i="5"/>
  <c r="N572" i="5" s="1"/>
  <c r="H572" i="5"/>
  <c r="F572" i="5"/>
  <c r="E572" i="5"/>
  <c r="D572" i="5"/>
  <c r="C572" i="5"/>
  <c r="G572" i="5" s="1"/>
  <c r="B572" i="5"/>
  <c r="A572" i="5"/>
  <c r="M571" i="5"/>
  <c r="N571" i="5" s="1"/>
  <c r="H571" i="5"/>
  <c r="G571" i="5"/>
  <c r="F571" i="5"/>
  <c r="E571" i="5"/>
  <c r="D571" i="5"/>
  <c r="C571" i="5"/>
  <c r="B571" i="5"/>
  <c r="A571" i="5"/>
  <c r="D570" i="5"/>
  <c r="C570" i="5"/>
  <c r="B570" i="5"/>
  <c r="A570" i="5"/>
  <c r="M570" i="5" s="1"/>
  <c r="N570" i="5" s="1"/>
  <c r="F569" i="5"/>
  <c r="E569" i="5"/>
  <c r="D569" i="5"/>
  <c r="C569" i="5"/>
  <c r="H569" i="5" s="1"/>
  <c r="B569" i="5"/>
  <c r="A569" i="5"/>
  <c r="M569" i="5" s="1"/>
  <c r="N569" i="5" s="1"/>
  <c r="D568" i="5"/>
  <c r="C568" i="5"/>
  <c r="B568" i="5"/>
  <c r="A568" i="5"/>
  <c r="M568" i="5" s="1"/>
  <c r="N568" i="5" s="1"/>
  <c r="M567" i="5"/>
  <c r="N567" i="5" s="1"/>
  <c r="H567" i="5"/>
  <c r="F567" i="5"/>
  <c r="D567" i="5"/>
  <c r="C567" i="5"/>
  <c r="B567" i="5"/>
  <c r="A567" i="5"/>
  <c r="M566" i="5"/>
  <c r="N566" i="5" s="1"/>
  <c r="H566" i="5"/>
  <c r="G566" i="5"/>
  <c r="F566" i="5"/>
  <c r="E566" i="5"/>
  <c r="D566" i="5"/>
  <c r="C566" i="5"/>
  <c r="B566" i="5"/>
  <c r="A566" i="5"/>
  <c r="E565" i="5"/>
  <c r="D565" i="5"/>
  <c r="C565" i="5"/>
  <c r="B565" i="5"/>
  <c r="A565" i="5"/>
  <c r="M565" i="5" s="1"/>
  <c r="N565" i="5" s="1"/>
  <c r="H564" i="5"/>
  <c r="G564" i="5"/>
  <c r="F564" i="5"/>
  <c r="E564" i="5"/>
  <c r="D564" i="5"/>
  <c r="C564" i="5"/>
  <c r="B564" i="5"/>
  <c r="A564" i="5"/>
  <c r="M564" i="5" s="1"/>
  <c r="N564" i="5" s="1"/>
  <c r="M563" i="5"/>
  <c r="N563" i="5" s="1"/>
  <c r="H563" i="5"/>
  <c r="G563" i="5"/>
  <c r="F563" i="5"/>
  <c r="D563" i="5"/>
  <c r="C563" i="5"/>
  <c r="E563" i="5" s="1"/>
  <c r="B563" i="5"/>
  <c r="A563" i="5"/>
  <c r="D562" i="5"/>
  <c r="C562" i="5"/>
  <c r="B562" i="5"/>
  <c r="A562" i="5"/>
  <c r="M562" i="5" s="1"/>
  <c r="N562" i="5" s="1"/>
  <c r="H561" i="5"/>
  <c r="G561" i="5"/>
  <c r="D561" i="5"/>
  <c r="C561" i="5"/>
  <c r="B561" i="5"/>
  <c r="A561" i="5"/>
  <c r="M561" i="5" s="1"/>
  <c r="N561" i="5" s="1"/>
  <c r="M560" i="5"/>
  <c r="N560" i="5" s="1"/>
  <c r="F560" i="5"/>
  <c r="D560" i="5"/>
  <c r="C560" i="5"/>
  <c r="H560" i="5" s="1"/>
  <c r="B560" i="5"/>
  <c r="A560" i="5"/>
  <c r="M559" i="5"/>
  <c r="N559" i="5" s="1"/>
  <c r="D559" i="5"/>
  <c r="C559" i="5"/>
  <c r="B559" i="5"/>
  <c r="A559" i="5"/>
  <c r="M558" i="5"/>
  <c r="N558" i="5" s="1"/>
  <c r="D558" i="5"/>
  <c r="C558" i="5"/>
  <c r="B558" i="5"/>
  <c r="A558" i="5"/>
  <c r="M557" i="5"/>
  <c r="N557" i="5" s="1"/>
  <c r="H557" i="5"/>
  <c r="G557" i="5"/>
  <c r="F557" i="5"/>
  <c r="E557" i="5"/>
  <c r="D557" i="5"/>
  <c r="C557" i="5"/>
  <c r="B557" i="5"/>
  <c r="A557" i="5"/>
  <c r="M556" i="5"/>
  <c r="N556" i="5" s="1"/>
  <c r="H556" i="5"/>
  <c r="F556" i="5"/>
  <c r="E556" i="5"/>
  <c r="D556" i="5"/>
  <c r="C556" i="5"/>
  <c r="G556" i="5" s="1"/>
  <c r="B556" i="5"/>
  <c r="A556" i="5"/>
  <c r="H555" i="5"/>
  <c r="D555" i="5"/>
  <c r="C555" i="5"/>
  <c r="B555" i="5"/>
  <c r="A555" i="5"/>
  <c r="M555" i="5" s="1"/>
  <c r="N555" i="5" s="1"/>
  <c r="M554" i="5"/>
  <c r="N554" i="5" s="1"/>
  <c r="H554" i="5"/>
  <c r="G554" i="5"/>
  <c r="D554" i="5"/>
  <c r="C554" i="5"/>
  <c r="B554" i="5"/>
  <c r="A554" i="5"/>
  <c r="M553" i="5"/>
  <c r="N553" i="5" s="1"/>
  <c r="E553" i="5"/>
  <c r="D553" i="5"/>
  <c r="C553" i="5"/>
  <c r="F553" i="5" s="1"/>
  <c r="B553" i="5"/>
  <c r="A553" i="5"/>
  <c r="D552" i="5"/>
  <c r="C552" i="5"/>
  <c r="F552" i="5" s="1"/>
  <c r="B552" i="5"/>
  <c r="A552" i="5"/>
  <c r="M552" i="5" s="1"/>
  <c r="N552" i="5" s="1"/>
  <c r="M551" i="5"/>
  <c r="N551" i="5" s="1"/>
  <c r="H551" i="5"/>
  <c r="E551" i="5"/>
  <c r="D551" i="5"/>
  <c r="C551" i="5"/>
  <c r="B551" i="5"/>
  <c r="A551" i="5"/>
  <c r="H550" i="5"/>
  <c r="G550" i="5"/>
  <c r="F550" i="5"/>
  <c r="E550" i="5"/>
  <c r="D550" i="5"/>
  <c r="C550" i="5"/>
  <c r="B550" i="5"/>
  <c r="A550" i="5"/>
  <c r="M550" i="5" s="1"/>
  <c r="N550" i="5" s="1"/>
  <c r="H549" i="5"/>
  <c r="G549" i="5"/>
  <c r="E549" i="5"/>
  <c r="D549" i="5"/>
  <c r="C549" i="5"/>
  <c r="F549" i="5" s="1"/>
  <c r="B549" i="5"/>
  <c r="A549" i="5"/>
  <c r="M549" i="5" s="1"/>
  <c r="N549" i="5" s="1"/>
  <c r="H548" i="5"/>
  <c r="F548" i="5"/>
  <c r="E548" i="5"/>
  <c r="D548" i="5"/>
  <c r="C548" i="5"/>
  <c r="G548" i="5" s="1"/>
  <c r="B548" i="5"/>
  <c r="A548" i="5"/>
  <c r="M548" i="5" s="1"/>
  <c r="N548" i="5" s="1"/>
  <c r="M547" i="5"/>
  <c r="N547" i="5" s="1"/>
  <c r="H547" i="5"/>
  <c r="G547" i="5"/>
  <c r="D547" i="5"/>
  <c r="C547" i="5"/>
  <c r="B547" i="5"/>
  <c r="A547" i="5"/>
  <c r="M546" i="5"/>
  <c r="N546" i="5" s="1"/>
  <c r="F546" i="5"/>
  <c r="D546" i="5"/>
  <c r="C546" i="5"/>
  <c r="B546" i="5"/>
  <c r="A546" i="5"/>
  <c r="M545" i="5"/>
  <c r="N545" i="5" s="1"/>
  <c r="G545" i="5"/>
  <c r="F545" i="5"/>
  <c r="E545" i="5"/>
  <c r="D545" i="5"/>
  <c r="C545" i="5"/>
  <c r="H545" i="5" s="1"/>
  <c r="B545" i="5"/>
  <c r="A545" i="5"/>
  <c r="M544" i="5"/>
  <c r="N544" i="5" s="1"/>
  <c r="H544" i="5"/>
  <c r="F544" i="5"/>
  <c r="E544" i="5"/>
  <c r="D544" i="5"/>
  <c r="C544" i="5"/>
  <c r="G544" i="5" s="1"/>
  <c r="B544" i="5"/>
  <c r="A544" i="5"/>
  <c r="M543" i="5"/>
  <c r="N543" i="5" s="1"/>
  <c r="H543" i="5"/>
  <c r="G543" i="5"/>
  <c r="F543" i="5"/>
  <c r="E543" i="5"/>
  <c r="D543" i="5"/>
  <c r="C543" i="5"/>
  <c r="B543" i="5"/>
  <c r="A543" i="5"/>
  <c r="H542" i="5"/>
  <c r="G542" i="5"/>
  <c r="F542" i="5"/>
  <c r="E542" i="5"/>
  <c r="D542" i="5"/>
  <c r="C542" i="5"/>
  <c r="B542" i="5"/>
  <c r="A542" i="5"/>
  <c r="M542" i="5" s="1"/>
  <c r="N542" i="5" s="1"/>
  <c r="G541" i="5"/>
  <c r="D541" i="5"/>
  <c r="C541" i="5"/>
  <c r="E541" i="5" s="1"/>
  <c r="B541" i="5"/>
  <c r="A541" i="5"/>
  <c r="M541" i="5" s="1"/>
  <c r="N541" i="5" s="1"/>
  <c r="M540" i="5"/>
  <c r="N540" i="5" s="1"/>
  <c r="D540" i="5"/>
  <c r="C540" i="5"/>
  <c r="B540" i="5"/>
  <c r="A540" i="5"/>
  <c r="H539" i="5"/>
  <c r="D539" i="5"/>
  <c r="C539" i="5"/>
  <c r="B539" i="5"/>
  <c r="A539" i="5"/>
  <c r="M539" i="5" s="1"/>
  <c r="N539" i="5" s="1"/>
  <c r="H538" i="5"/>
  <c r="G538" i="5"/>
  <c r="F538" i="5"/>
  <c r="D538" i="5"/>
  <c r="C538" i="5"/>
  <c r="E538" i="5" s="1"/>
  <c r="B538" i="5"/>
  <c r="A538" i="5"/>
  <c r="M538" i="5" s="1"/>
  <c r="N538" i="5" s="1"/>
  <c r="M537" i="5"/>
  <c r="N537" i="5" s="1"/>
  <c r="H537" i="5"/>
  <c r="F537" i="5"/>
  <c r="E537" i="5"/>
  <c r="D537" i="5"/>
  <c r="C537" i="5"/>
  <c r="G537" i="5" s="1"/>
  <c r="B537" i="5"/>
  <c r="A537" i="5"/>
  <c r="H536" i="5"/>
  <c r="G536" i="5"/>
  <c r="F536" i="5"/>
  <c r="E536" i="5"/>
  <c r="D536" i="5"/>
  <c r="C536" i="5"/>
  <c r="B536" i="5"/>
  <c r="A536" i="5"/>
  <c r="M536" i="5" s="1"/>
  <c r="N536" i="5" s="1"/>
  <c r="D535" i="5"/>
  <c r="C535" i="5"/>
  <c r="B535" i="5"/>
  <c r="A535" i="5"/>
  <c r="M535" i="5" s="1"/>
  <c r="N535" i="5" s="1"/>
  <c r="M534" i="5"/>
  <c r="N534" i="5" s="1"/>
  <c r="H534" i="5"/>
  <c r="G534" i="5"/>
  <c r="F534" i="5"/>
  <c r="E534" i="5"/>
  <c r="D534" i="5"/>
  <c r="C534" i="5"/>
  <c r="B534" i="5"/>
  <c r="A534" i="5"/>
  <c r="M533" i="5"/>
  <c r="N533" i="5" s="1"/>
  <c r="H533" i="5"/>
  <c r="E533" i="5"/>
  <c r="D533" i="5"/>
  <c r="C533" i="5"/>
  <c r="G533" i="5" s="1"/>
  <c r="B533" i="5"/>
  <c r="A533" i="5"/>
  <c r="D532" i="5"/>
  <c r="C532" i="5"/>
  <c r="F532" i="5" s="1"/>
  <c r="B532" i="5"/>
  <c r="A532" i="5"/>
  <c r="M532" i="5" s="1"/>
  <c r="N532" i="5" s="1"/>
  <c r="M531" i="5"/>
  <c r="N531" i="5" s="1"/>
  <c r="D531" i="5"/>
  <c r="C531" i="5"/>
  <c r="B531" i="5"/>
  <c r="A531" i="5"/>
  <c r="M530" i="5"/>
  <c r="N530" i="5" s="1"/>
  <c r="F530" i="5"/>
  <c r="D530" i="5"/>
  <c r="C530" i="5"/>
  <c r="B530" i="5"/>
  <c r="A530" i="5"/>
  <c r="M529" i="5"/>
  <c r="N529" i="5" s="1"/>
  <c r="H529" i="5"/>
  <c r="D529" i="5"/>
  <c r="C529" i="5"/>
  <c r="G529" i="5" s="1"/>
  <c r="B529" i="5"/>
  <c r="A529" i="5"/>
  <c r="E528" i="5"/>
  <c r="D528" i="5"/>
  <c r="C528" i="5"/>
  <c r="B528" i="5"/>
  <c r="A528" i="5"/>
  <c r="M528" i="5" s="1"/>
  <c r="N528" i="5" s="1"/>
  <c r="H527" i="5"/>
  <c r="G527" i="5"/>
  <c r="F527" i="5"/>
  <c r="E527" i="5"/>
  <c r="D527" i="5"/>
  <c r="C527" i="5"/>
  <c r="B527" i="5"/>
  <c r="A527" i="5"/>
  <c r="M527" i="5" s="1"/>
  <c r="N527" i="5" s="1"/>
  <c r="M526" i="5"/>
  <c r="N526" i="5" s="1"/>
  <c r="G526" i="5"/>
  <c r="F526" i="5"/>
  <c r="E526" i="5"/>
  <c r="D526" i="5"/>
  <c r="C526" i="5"/>
  <c r="H526" i="5" s="1"/>
  <c r="B526" i="5"/>
  <c r="A526" i="5"/>
  <c r="H525" i="5"/>
  <c r="G525" i="5"/>
  <c r="F525" i="5"/>
  <c r="E525" i="5"/>
  <c r="D525" i="5"/>
  <c r="C525" i="5"/>
  <c r="B525" i="5"/>
  <c r="A525" i="5"/>
  <c r="M525" i="5" s="1"/>
  <c r="N525" i="5" s="1"/>
  <c r="D524" i="5"/>
  <c r="C524" i="5"/>
  <c r="B524" i="5"/>
  <c r="A524" i="5"/>
  <c r="M524" i="5" s="1"/>
  <c r="N524" i="5" s="1"/>
  <c r="M523" i="5"/>
  <c r="N523" i="5" s="1"/>
  <c r="E523" i="5"/>
  <c r="D523" i="5"/>
  <c r="C523" i="5"/>
  <c r="B523" i="5"/>
  <c r="A523" i="5"/>
  <c r="D522" i="5"/>
  <c r="C522" i="5"/>
  <c r="B522" i="5"/>
  <c r="A522" i="5"/>
  <c r="M522" i="5" s="1"/>
  <c r="N522" i="5" s="1"/>
  <c r="H521" i="5"/>
  <c r="F521" i="5"/>
  <c r="E521" i="5"/>
  <c r="D521" i="5"/>
  <c r="C521" i="5"/>
  <c r="G521" i="5" s="1"/>
  <c r="B521" i="5"/>
  <c r="A521" i="5"/>
  <c r="M521" i="5" s="1"/>
  <c r="N521" i="5" s="1"/>
  <c r="H520" i="5"/>
  <c r="G520" i="5"/>
  <c r="F520" i="5"/>
  <c r="E520" i="5"/>
  <c r="D520" i="5"/>
  <c r="C520" i="5"/>
  <c r="B520" i="5"/>
  <c r="A520" i="5"/>
  <c r="M520" i="5" s="1"/>
  <c r="N520" i="5" s="1"/>
  <c r="G519" i="5"/>
  <c r="F519" i="5"/>
  <c r="D519" i="5"/>
  <c r="C519" i="5"/>
  <c r="E519" i="5" s="1"/>
  <c r="B519" i="5"/>
  <c r="A519" i="5"/>
  <c r="M519" i="5" s="1"/>
  <c r="N519" i="5" s="1"/>
  <c r="F518" i="5"/>
  <c r="E518" i="5"/>
  <c r="D518" i="5"/>
  <c r="C518" i="5"/>
  <c r="B518" i="5"/>
  <c r="A518" i="5"/>
  <c r="M518" i="5" s="1"/>
  <c r="N518" i="5" s="1"/>
  <c r="D517" i="5"/>
  <c r="C517" i="5"/>
  <c r="B517" i="5"/>
  <c r="A517" i="5"/>
  <c r="M517" i="5" s="1"/>
  <c r="N517" i="5" s="1"/>
  <c r="M516" i="5"/>
  <c r="N516" i="5" s="1"/>
  <c r="H516" i="5"/>
  <c r="G516" i="5"/>
  <c r="D516" i="5"/>
  <c r="C516" i="5"/>
  <c r="E516" i="5" s="1"/>
  <c r="B516" i="5"/>
  <c r="A516" i="5"/>
  <c r="M515" i="5"/>
  <c r="N515" i="5" s="1"/>
  <c r="D515" i="5"/>
  <c r="C515" i="5"/>
  <c r="B515" i="5"/>
  <c r="A515" i="5"/>
  <c r="H514" i="5"/>
  <c r="F514" i="5"/>
  <c r="E514" i="5"/>
  <c r="D514" i="5"/>
  <c r="C514" i="5"/>
  <c r="G514" i="5" s="1"/>
  <c r="B514" i="5"/>
  <c r="A514" i="5"/>
  <c r="M514" i="5" s="1"/>
  <c r="N514" i="5" s="1"/>
  <c r="H513" i="5"/>
  <c r="G513" i="5"/>
  <c r="F513" i="5"/>
  <c r="E513" i="5"/>
  <c r="D513" i="5"/>
  <c r="C513" i="5"/>
  <c r="B513" i="5"/>
  <c r="A513" i="5"/>
  <c r="M513" i="5" s="1"/>
  <c r="N513" i="5" s="1"/>
  <c r="H512" i="5"/>
  <c r="G512" i="5"/>
  <c r="D512" i="5"/>
  <c r="C512" i="5"/>
  <c r="F512" i="5" s="1"/>
  <c r="B512" i="5"/>
  <c r="A512" i="5"/>
  <c r="M512" i="5" s="1"/>
  <c r="N512" i="5" s="1"/>
  <c r="H511" i="5"/>
  <c r="G511" i="5"/>
  <c r="D511" i="5"/>
  <c r="C511" i="5"/>
  <c r="F511" i="5" s="1"/>
  <c r="B511" i="5"/>
  <c r="A511" i="5"/>
  <c r="M511" i="5" s="1"/>
  <c r="N511" i="5" s="1"/>
  <c r="M510" i="5"/>
  <c r="N510" i="5" s="1"/>
  <c r="D510" i="5"/>
  <c r="C510" i="5"/>
  <c r="B510" i="5"/>
  <c r="A510" i="5"/>
  <c r="M509" i="5"/>
  <c r="N509" i="5" s="1"/>
  <c r="H509" i="5"/>
  <c r="G509" i="5"/>
  <c r="E509" i="5"/>
  <c r="D509" i="5"/>
  <c r="C509" i="5"/>
  <c r="F509" i="5" s="1"/>
  <c r="B509" i="5"/>
  <c r="A509" i="5"/>
  <c r="M508" i="5"/>
  <c r="N508" i="5" s="1"/>
  <c r="H508" i="5"/>
  <c r="G508" i="5"/>
  <c r="F508" i="5"/>
  <c r="D508" i="5"/>
  <c r="C508" i="5"/>
  <c r="E508" i="5" s="1"/>
  <c r="B508" i="5"/>
  <c r="A508" i="5"/>
  <c r="D507" i="5"/>
  <c r="C507" i="5"/>
  <c r="B507" i="5"/>
  <c r="A507" i="5"/>
  <c r="M507" i="5" s="1"/>
  <c r="N507" i="5" s="1"/>
  <c r="H506" i="5"/>
  <c r="G506" i="5"/>
  <c r="F506" i="5"/>
  <c r="E506" i="5"/>
  <c r="D506" i="5"/>
  <c r="C506" i="5"/>
  <c r="B506" i="5"/>
  <c r="A506" i="5"/>
  <c r="M506" i="5" s="1"/>
  <c r="N506" i="5" s="1"/>
  <c r="H505" i="5"/>
  <c r="G505" i="5"/>
  <c r="F505" i="5"/>
  <c r="E505" i="5"/>
  <c r="D505" i="5"/>
  <c r="C505" i="5"/>
  <c r="B505" i="5"/>
  <c r="A505" i="5"/>
  <c r="M505" i="5" s="1"/>
  <c r="N505" i="5" s="1"/>
  <c r="F504" i="5"/>
  <c r="D504" i="5"/>
  <c r="C504" i="5"/>
  <c r="B504" i="5"/>
  <c r="A504" i="5"/>
  <c r="M504" i="5" s="1"/>
  <c r="N504" i="5" s="1"/>
  <c r="H503" i="5"/>
  <c r="G503" i="5"/>
  <c r="F503" i="5"/>
  <c r="D503" i="5"/>
  <c r="C503" i="5"/>
  <c r="E503" i="5" s="1"/>
  <c r="B503" i="5"/>
  <c r="A503" i="5"/>
  <c r="M503" i="5" s="1"/>
  <c r="N503" i="5" s="1"/>
  <c r="M502" i="5"/>
  <c r="N502" i="5" s="1"/>
  <c r="H502" i="5"/>
  <c r="G502" i="5"/>
  <c r="F502" i="5"/>
  <c r="E502" i="5"/>
  <c r="D502" i="5"/>
  <c r="C502" i="5"/>
  <c r="B502" i="5"/>
  <c r="A502" i="5"/>
  <c r="D501" i="5"/>
  <c r="C501" i="5"/>
  <c r="B501" i="5"/>
  <c r="A501" i="5"/>
  <c r="M501" i="5" s="1"/>
  <c r="N501" i="5" s="1"/>
  <c r="F500" i="5"/>
  <c r="E500" i="5"/>
  <c r="D500" i="5"/>
  <c r="C500" i="5"/>
  <c r="G500" i="5" s="1"/>
  <c r="B500" i="5"/>
  <c r="A500" i="5"/>
  <c r="M500" i="5" s="1"/>
  <c r="N500" i="5" s="1"/>
  <c r="M499" i="5"/>
  <c r="N499" i="5" s="1"/>
  <c r="H499" i="5"/>
  <c r="G499" i="5"/>
  <c r="F499" i="5"/>
  <c r="E499" i="5"/>
  <c r="D499" i="5"/>
  <c r="C499" i="5"/>
  <c r="B499" i="5"/>
  <c r="A499" i="5"/>
  <c r="F498" i="5"/>
  <c r="D498" i="5"/>
  <c r="C498" i="5"/>
  <c r="B498" i="5"/>
  <c r="A498" i="5"/>
  <c r="M498" i="5" s="1"/>
  <c r="N498" i="5" s="1"/>
  <c r="D497" i="5"/>
  <c r="C497" i="5"/>
  <c r="B497" i="5"/>
  <c r="A497" i="5"/>
  <c r="M497" i="5" s="1"/>
  <c r="N497" i="5" s="1"/>
  <c r="D496" i="5"/>
  <c r="C496" i="5"/>
  <c r="B496" i="5"/>
  <c r="A496" i="5"/>
  <c r="M496" i="5" s="1"/>
  <c r="N496" i="5" s="1"/>
  <c r="M495" i="5"/>
  <c r="N495" i="5" s="1"/>
  <c r="H495" i="5"/>
  <c r="G495" i="5"/>
  <c r="F495" i="5"/>
  <c r="D495" i="5"/>
  <c r="C495" i="5"/>
  <c r="E495" i="5" s="1"/>
  <c r="B495" i="5"/>
  <c r="A495" i="5"/>
  <c r="M494" i="5"/>
  <c r="N494" i="5" s="1"/>
  <c r="H494" i="5"/>
  <c r="D494" i="5"/>
  <c r="C494" i="5"/>
  <c r="F494" i="5" s="1"/>
  <c r="B494" i="5"/>
  <c r="A494" i="5"/>
  <c r="M493" i="5"/>
  <c r="N493" i="5" s="1"/>
  <c r="E493" i="5"/>
  <c r="D493" i="5"/>
  <c r="C493" i="5"/>
  <c r="B493" i="5"/>
  <c r="A493" i="5"/>
  <c r="H492" i="5"/>
  <c r="G492" i="5"/>
  <c r="F492" i="5"/>
  <c r="E492" i="5"/>
  <c r="D492" i="5"/>
  <c r="C492" i="5"/>
  <c r="B492" i="5"/>
  <c r="A492" i="5"/>
  <c r="M492" i="5" s="1"/>
  <c r="N492" i="5" s="1"/>
  <c r="M491" i="5"/>
  <c r="N491" i="5" s="1"/>
  <c r="H491" i="5"/>
  <c r="D491" i="5"/>
  <c r="C491" i="5"/>
  <c r="G491" i="5" s="1"/>
  <c r="B491" i="5"/>
  <c r="A491" i="5"/>
  <c r="D490" i="5"/>
  <c r="C490" i="5"/>
  <c r="B490" i="5"/>
  <c r="A490" i="5"/>
  <c r="M490" i="5" s="1"/>
  <c r="N490" i="5" s="1"/>
  <c r="G489" i="5"/>
  <c r="D489" i="5"/>
  <c r="C489" i="5"/>
  <c r="B489" i="5"/>
  <c r="A489" i="5"/>
  <c r="M489" i="5" s="1"/>
  <c r="N489" i="5" s="1"/>
  <c r="M488" i="5"/>
  <c r="N488" i="5" s="1"/>
  <c r="H488" i="5"/>
  <c r="F488" i="5"/>
  <c r="D488" i="5"/>
  <c r="C488" i="5"/>
  <c r="G488" i="5" s="1"/>
  <c r="B488" i="5"/>
  <c r="A488" i="5"/>
  <c r="H487" i="5"/>
  <c r="G487" i="5"/>
  <c r="F487" i="5"/>
  <c r="E487" i="5"/>
  <c r="D487" i="5"/>
  <c r="C487" i="5"/>
  <c r="B487" i="5"/>
  <c r="A487" i="5"/>
  <c r="M487" i="5" s="1"/>
  <c r="N487" i="5" s="1"/>
  <c r="F486" i="5"/>
  <c r="D486" i="5"/>
  <c r="C486" i="5"/>
  <c r="B486" i="5"/>
  <c r="A486" i="5"/>
  <c r="M486" i="5" s="1"/>
  <c r="N486" i="5" s="1"/>
  <c r="M485" i="5"/>
  <c r="N485" i="5" s="1"/>
  <c r="H485" i="5"/>
  <c r="G485" i="5"/>
  <c r="F485" i="5"/>
  <c r="E485" i="5"/>
  <c r="D485" i="5"/>
  <c r="C485" i="5"/>
  <c r="B485" i="5"/>
  <c r="A485" i="5"/>
  <c r="M484" i="5"/>
  <c r="N484" i="5" s="1"/>
  <c r="F484" i="5"/>
  <c r="E484" i="5"/>
  <c r="D484" i="5"/>
  <c r="C484" i="5"/>
  <c r="B484" i="5"/>
  <c r="A484" i="5"/>
  <c r="H483" i="5"/>
  <c r="G483" i="5"/>
  <c r="F483" i="5"/>
  <c r="D483" i="5"/>
  <c r="C483" i="5"/>
  <c r="E483" i="5" s="1"/>
  <c r="B483" i="5"/>
  <c r="A483" i="5"/>
  <c r="M483" i="5" s="1"/>
  <c r="N483" i="5" s="1"/>
  <c r="H482" i="5"/>
  <c r="G482" i="5"/>
  <c r="D482" i="5"/>
  <c r="C482" i="5"/>
  <c r="E482" i="5" s="1"/>
  <c r="B482" i="5"/>
  <c r="A482" i="5"/>
  <c r="M482" i="5" s="1"/>
  <c r="N482" i="5" s="1"/>
  <c r="M481" i="5"/>
  <c r="N481" i="5" s="1"/>
  <c r="D481" i="5"/>
  <c r="C481" i="5"/>
  <c r="B481" i="5"/>
  <c r="A481" i="5"/>
  <c r="H480" i="5"/>
  <c r="G480" i="5"/>
  <c r="F480" i="5"/>
  <c r="D480" i="5"/>
  <c r="C480" i="5"/>
  <c r="E480" i="5" s="1"/>
  <c r="B480" i="5"/>
  <c r="A480" i="5"/>
  <c r="M480" i="5" s="1"/>
  <c r="N480" i="5" s="1"/>
  <c r="H479" i="5"/>
  <c r="F479" i="5"/>
  <c r="D479" i="5"/>
  <c r="C479" i="5"/>
  <c r="G479" i="5" s="1"/>
  <c r="B479" i="5"/>
  <c r="A479" i="5"/>
  <c r="M479" i="5" s="1"/>
  <c r="N479" i="5" s="1"/>
  <c r="H478" i="5"/>
  <c r="G478" i="5"/>
  <c r="F478" i="5"/>
  <c r="E478" i="5"/>
  <c r="D478" i="5"/>
  <c r="C478" i="5"/>
  <c r="B478" i="5"/>
  <c r="A478" i="5"/>
  <c r="M478" i="5" s="1"/>
  <c r="N478" i="5" s="1"/>
  <c r="M477" i="5"/>
  <c r="N477" i="5" s="1"/>
  <c r="H477" i="5"/>
  <c r="G477" i="5"/>
  <c r="F477" i="5"/>
  <c r="D477" i="5"/>
  <c r="C477" i="5"/>
  <c r="E477" i="5" s="1"/>
  <c r="B477" i="5"/>
  <c r="A477" i="5"/>
  <c r="H476" i="5"/>
  <c r="G476" i="5"/>
  <c r="D476" i="5"/>
  <c r="C476" i="5"/>
  <c r="F476" i="5" s="1"/>
  <c r="B476" i="5"/>
  <c r="A476" i="5"/>
  <c r="M476" i="5" s="1"/>
  <c r="N476" i="5" s="1"/>
  <c r="D475" i="5"/>
  <c r="C475" i="5"/>
  <c r="B475" i="5"/>
  <c r="A475" i="5"/>
  <c r="M475" i="5" s="1"/>
  <c r="N475" i="5" s="1"/>
  <c r="M474" i="5"/>
  <c r="N474" i="5" s="1"/>
  <c r="F474" i="5"/>
  <c r="D474" i="5"/>
  <c r="C474" i="5"/>
  <c r="B474" i="5"/>
  <c r="A474" i="5"/>
  <c r="M473" i="5"/>
  <c r="N473" i="5" s="1"/>
  <c r="H473" i="5"/>
  <c r="G473" i="5"/>
  <c r="D473" i="5"/>
  <c r="C473" i="5"/>
  <c r="F473" i="5" s="1"/>
  <c r="B473" i="5"/>
  <c r="A473" i="5"/>
  <c r="D472" i="5"/>
  <c r="C472" i="5"/>
  <c r="B472" i="5"/>
  <c r="A472" i="5"/>
  <c r="M472" i="5" s="1"/>
  <c r="N472" i="5" s="1"/>
  <c r="H471" i="5"/>
  <c r="G471" i="5"/>
  <c r="F471" i="5"/>
  <c r="E471" i="5"/>
  <c r="D471" i="5"/>
  <c r="C471" i="5"/>
  <c r="B471" i="5"/>
  <c r="A471" i="5"/>
  <c r="M471" i="5" s="1"/>
  <c r="N471" i="5" s="1"/>
  <c r="M470" i="5"/>
  <c r="N470" i="5" s="1"/>
  <c r="H470" i="5"/>
  <c r="G470" i="5"/>
  <c r="D470" i="5"/>
  <c r="C470" i="5"/>
  <c r="F470" i="5" s="1"/>
  <c r="B470" i="5"/>
  <c r="A470" i="5"/>
  <c r="H469" i="5"/>
  <c r="D469" i="5"/>
  <c r="C469" i="5"/>
  <c r="B469" i="5"/>
  <c r="A469" i="5"/>
  <c r="M469" i="5" s="1"/>
  <c r="N469" i="5" s="1"/>
  <c r="M468" i="5"/>
  <c r="N468" i="5" s="1"/>
  <c r="H468" i="5"/>
  <c r="G468" i="5"/>
  <c r="F468" i="5"/>
  <c r="D468" i="5"/>
  <c r="C468" i="5"/>
  <c r="E468" i="5" s="1"/>
  <c r="B468" i="5"/>
  <c r="A468" i="5"/>
  <c r="M467" i="5"/>
  <c r="N467" i="5" s="1"/>
  <c r="H467" i="5"/>
  <c r="G467" i="5"/>
  <c r="F467" i="5"/>
  <c r="D467" i="5"/>
  <c r="C467" i="5"/>
  <c r="E467" i="5" s="1"/>
  <c r="B467" i="5"/>
  <c r="A467" i="5"/>
  <c r="D466" i="5"/>
  <c r="C466" i="5"/>
  <c r="B466" i="5"/>
  <c r="A466" i="5"/>
  <c r="M466" i="5" s="1"/>
  <c r="N466" i="5" s="1"/>
  <c r="M465" i="5"/>
  <c r="N465" i="5" s="1"/>
  <c r="H465" i="5"/>
  <c r="F465" i="5"/>
  <c r="E465" i="5"/>
  <c r="D465" i="5"/>
  <c r="C465" i="5"/>
  <c r="G465" i="5" s="1"/>
  <c r="B465" i="5"/>
  <c r="A465" i="5"/>
  <c r="M464" i="5"/>
  <c r="N464" i="5" s="1"/>
  <c r="H464" i="5"/>
  <c r="G464" i="5"/>
  <c r="F464" i="5"/>
  <c r="E464" i="5"/>
  <c r="D464" i="5"/>
  <c r="C464" i="5"/>
  <c r="B464" i="5"/>
  <c r="A464" i="5"/>
  <c r="D463" i="5"/>
  <c r="C463" i="5"/>
  <c r="B463" i="5"/>
  <c r="A463" i="5"/>
  <c r="M463" i="5" s="1"/>
  <c r="N463" i="5" s="1"/>
  <c r="H462" i="5"/>
  <c r="G462" i="5"/>
  <c r="F462" i="5"/>
  <c r="E462" i="5"/>
  <c r="D462" i="5"/>
  <c r="C462" i="5"/>
  <c r="B462" i="5"/>
  <c r="A462" i="5"/>
  <c r="M462" i="5" s="1"/>
  <c r="N462" i="5" s="1"/>
  <c r="M461" i="5"/>
  <c r="N461" i="5" s="1"/>
  <c r="H461" i="5"/>
  <c r="G461" i="5"/>
  <c r="F461" i="5"/>
  <c r="D461" i="5"/>
  <c r="C461" i="5"/>
  <c r="E461" i="5" s="1"/>
  <c r="B461" i="5"/>
  <c r="A461" i="5"/>
  <c r="M460" i="5"/>
  <c r="N460" i="5" s="1"/>
  <c r="D460" i="5"/>
  <c r="C460" i="5"/>
  <c r="B460" i="5"/>
  <c r="A460" i="5"/>
  <c r="M459" i="5"/>
  <c r="N459" i="5" s="1"/>
  <c r="H459" i="5"/>
  <c r="G459" i="5"/>
  <c r="F459" i="5"/>
  <c r="D459" i="5"/>
  <c r="C459" i="5"/>
  <c r="E459" i="5" s="1"/>
  <c r="B459" i="5"/>
  <c r="A459" i="5"/>
  <c r="M458" i="5"/>
  <c r="N458" i="5" s="1"/>
  <c r="H458" i="5"/>
  <c r="F458" i="5"/>
  <c r="E458" i="5"/>
  <c r="D458" i="5"/>
  <c r="C458" i="5"/>
  <c r="G458" i="5" s="1"/>
  <c r="B458" i="5"/>
  <c r="A458" i="5"/>
  <c r="M457" i="5"/>
  <c r="N457" i="5" s="1"/>
  <c r="H457" i="5"/>
  <c r="G457" i="5"/>
  <c r="F457" i="5"/>
  <c r="E457" i="5"/>
  <c r="D457" i="5"/>
  <c r="C457" i="5"/>
  <c r="B457" i="5"/>
  <c r="A457" i="5"/>
  <c r="G456" i="5"/>
  <c r="E456" i="5"/>
  <c r="D456" i="5"/>
  <c r="C456" i="5"/>
  <c r="F456" i="5" s="1"/>
  <c r="B456" i="5"/>
  <c r="A456" i="5"/>
  <c r="M456" i="5" s="1"/>
  <c r="N456" i="5" s="1"/>
  <c r="H455" i="5"/>
  <c r="G455" i="5"/>
  <c r="F455" i="5"/>
  <c r="E455" i="5"/>
  <c r="D455" i="5"/>
  <c r="C455" i="5"/>
  <c r="B455" i="5"/>
  <c r="A455" i="5"/>
  <c r="M455" i="5" s="1"/>
  <c r="N455" i="5" s="1"/>
  <c r="F454" i="5"/>
  <c r="D454" i="5"/>
  <c r="C454" i="5"/>
  <c r="E454" i="5" s="1"/>
  <c r="B454" i="5"/>
  <c r="A454" i="5"/>
  <c r="M454" i="5" s="1"/>
  <c r="N454" i="5" s="1"/>
  <c r="M453" i="5"/>
  <c r="N453" i="5" s="1"/>
  <c r="D453" i="5"/>
  <c r="C453" i="5"/>
  <c r="B453" i="5"/>
  <c r="A453" i="5"/>
  <c r="H452" i="5"/>
  <c r="G452" i="5"/>
  <c r="F452" i="5"/>
  <c r="E452" i="5"/>
  <c r="D452" i="5"/>
  <c r="C452" i="5"/>
  <c r="B452" i="5"/>
  <c r="A452" i="5"/>
  <c r="M452" i="5" s="1"/>
  <c r="N452" i="5" s="1"/>
  <c r="M451" i="5"/>
  <c r="N451" i="5" s="1"/>
  <c r="E451" i="5"/>
  <c r="D451" i="5"/>
  <c r="C451" i="5"/>
  <c r="G451" i="5" s="1"/>
  <c r="B451" i="5"/>
  <c r="A451" i="5"/>
  <c r="H450" i="5"/>
  <c r="G450" i="5"/>
  <c r="F450" i="5"/>
  <c r="E450" i="5"/>
  <c r="D450" i="5"/>
  <c r="C450" i="5"/>
  <c r="B450" i="5"/>
  <c r="A450" i="5"/>
  <c r="M450" i="5" s="1"/>
  <c r="N450" i="5" s="1"/>
  <c r="M449" i="5"/>
  <c r="N449" i="5" s="1"/>
  <c r="H449" i="5"/>
  <c r="G449" i="5"/>
  <c r="F449" i="5"/>
  <c r="E449" i="5"/>
  <c r="D449" i="5"/>
  <c r="C449" i="5"/>
  <c r="B449" i="5"/>
  <c r="A449" i="5"/>
  <c r="D448" i="5"/>
  <c r="C448" i="5"/>
  <c r="B448" i="5"/>
  <c r="A448" i="5"/>
  <c r="M448" i="5" s="1"/>
  <c r="N448" i="5" s="1"/>
  <c r="M447" i="5"/>
  <c r="N447" i="5" s="1"/>
  <c r="D447" i="5"/>
  <c r="C447" i="5"/>
  <c r="B447" i="5"/>
  <c r="A447" i="5"/>
  <c r="M446" i="5"/>
  <c r="N446" i="5" s="1"/>
  <c r="H446" i="5"/>
  <c r="G446" i="5"/>
  <c r="F446" i="5"/>
  <c r="E446" i="5"/>
  <c r="D446" i="5"/>
  <c r="C446" i="5"/>
  <c r="B446" i="5"/>
  <c r="A446" i="5"/>
  <c r="M445" i="5"/>
  <c r="N445" i="5" s="1"/>
  <c r="F445" i="5"/>
  <c r="D445" i="5"/>
  <c r="C445" i="5"/>
  <c r="B445" i="5"/>
  <c r="A445" i="5"/>
  <c r="D444" i="5"/>
  <c r="C444" i="5"/>
  <c r="B444" i="5"/>
  <c r="A444" i="5"/>
  <c r="M444" i="5" s="1"/>
  <c r="N444" i="5" s="1"/>
  <c r="M443" i="5"/>
  <c r="N443" i="5" s="1"/>
  <c r="H443" i="5"/>
  <c r="G443" i="5"/>
  <c r="F443" i="5"/>
  <c r="E443" i="5"/>
  <c r="D443" i="5"/>
  <c r="C443" i="5"/>
  <c r="B443" i="5"/>
  <c r="A443" i="5"/>
  <c r="D442" i="5"/>
  <c r="C442" i="5"/>
  <c r="B442" i="5"/>
  <c r="A442" i="5"/>
  <c r="M442" i="5" s="1"/>
  <c r="N442" i="5" s="1"/>
  <c r="H441" i="5"/>
  <c r="D441" i="5"/>
  <c r="C441" i="5"/>
  <c r="B441" i="5"/>
  <c r="A441" i="5"/>
  <c r="M441" i="5" s="1"/>
  <c r="N441" i="5" s="1"/>
  <c r="M440" i="5"/>
  <c r="N440" i="5" s="1"/>
  <c r="D440" i="5"/>
  <c r="C440" i="5"/>
  <c r="B440" i="5"/>
  <c r="A440" i="5"/>
  <c r="M439" i="5"/>
  <c r="N439" i="5" s="1"/>
  <c r="H439" i="5"/>
  <c r="D439" i="5"/>
  <c r="C439" i="5"/>
  <c r="B439" i="5"/>
  <c r="A439" i="5"/>
  <c r="M438" i="5"/>
  <c r="N438" i="5" s="1"/>
  <c r="D438" i="5"/>
  <c r="C438" i="5"/>
  <c r="B438" i="5"/>
  <c r="A438" i="5"/>
  <c r="M437" i="5"/>
  <c r="N437" i="5" s="1"/>
  <c r="D437" i="5"/>
  <c r="C437" i="5"/>
  <c r="B437" i="5"/>
  <c r="A437" i="5"/>
  <c r="M436" i="5"/>
  <c r="N436" i="5" s="1"/>
  <c r="H436" i="5"/>
  <c r="G436" i="5"/>
  <c r="F436" i="5"/>
  <c r="E436" i="5"/>
  <c r="D436" i="5"/>
  <c r="C436" i="5"/>
  <c r="B436" i="5"/>
  <c r="A436" i="5"/>
  <c r="M435" i="5"/>
  <c r="N435" i="5" s="1"/>
  <c r="H435" i="5"/>
  <c r="D435" i="5"/>
  <c r="C435" i="5"/>
  <c r="B435" i="5"/>
  <c r="A435" i="5"/>
  <c r="H434" i="5"/>
  <c r="D434" i="5"/>
  <c r="C434" i="5"/>
  <c r="B434" i="5"/>
  <c r="A434" i="5"/>
  <c r="M434" i="5" s="1"/>
  <c r="N434" i="5" s="1"/>
  <c r="M433" i="5"/>
  <c r="N433" i="5" s="1"/>
  <c r="G433" i="5"/>
  <c r="D433" i="5"/>
  <c r="C433" i="5"/>
  <c r="B433" i="5"/>
  <c r="A433" i="5"/>
  <c r="M432" i="5"/>
  <c r="N432" i="5" s="1"/>
  <c r="D432" i="5"/>
  <c r="C432" i="5"/>
  <c r="B432" i="5"/>
  <c r="A432" i="5"/>
  <c r="M431" i="5"/>
  <c r="N431" i="5" s="1"/>
  <c r="H431" i="5"/>
  <c r="F431" i="5"/>
  <c r="E431" i="5"/>
  <c r="D431" i="5"/>
  <c r="C431" i="5"/>
  <c r="G431" i="5" s="1"/>
  <c r="B431" i="5"/>
  <c r="A431" i="5"/>
  <c r="H430" i="5"/>
  <c r="F430" i="5"/>
  <c r="D430" i="5"/>
  <c r="C430" i="5"/>
  <c r="B430" i="5"/>
  <c r="A430" i="5"/>
  <c r="M430" i="5" s="1"/>
  <c r="N430" i="5" s="1"/>
  <c r="M429" i="5"/>
  <c r="N429" i="5" s="1"/>
  <c r="H429" i="5"/>
  <c r="G429" i="5"/>
  <c r="F429" i="5"/>
  <c r="E429" i="5"/>
  <c r="D429" i="5"/>
  <c r="C429" i="5"/>
  <c r="B429" i="5"/>
  <c r="A429" i="5"/>
  <c r="M428" i="5"/>
  <c r="N428" i="5" s="1"/>
  <c r="D428" i="5"/>
  <c r="C428" i="5"/>
  <c r="B428" i="5"/>
  <c r="A428" i="5"/>
  <c r="H427" i="5"/>
  <c r="G427" i="5"/>
  <c r="F427" i="5"/>
  <c r="E427" i="5"/>
  <c r="D427" i="5"/>
  <c r="C427" i="5"/>
  <c r="B427" i="5"/>
  <c r="A427" i="5"/>
  <c r="M427" i="5" s="1"/>
  <c r="N427" i="5" s="1"/>
  <c r="H426" i="5"/>
  <c r="G426" i="5"/>
  <c r="D426" i="5"/>
  <c r="C426" i="5"/>
  <c r="B426" i="5"/>
  <c r="A426" i="5"/>
  <c r="M426" i="5" s="1"/>
  <c r="N426" i="5" s="1"/>
  <c r="M425" i="5"/>
  <c r="N425" i="5" s="1"/>
  <c r="G425" i="5"/>
  <c r="F425" i="5"/>
  <c r="E425" i="5"/>
  <c r="D425" i="5"/>
  <c r="C425" i="5"/>
  <c r="H425" i="5" s="1"/>
  <c r="B425" i="5"/>
  <c r="A425" i="5"/>
  <c r="G424" i="5"/>
  <c r="D424" i="5"/>
  <c r="C424" i="5"/>
  <c r="B424" i="5"/>
  <c r="A424" i="5"/>
  <c r="M424" i="5" s="1"/>
  <c r="N424" i="5" s="1"/>
  <c r="D423" i="5"/>
  <c r="C423" i="5"/>
  <c r="B423" i="5"/>
  <c r="A423" i="5"/>
  <c r="M423" i="5" s="1"/>
  <c r="N423" i="5" s="1"/>
  <c r="H422" i="5"/>
  <c r="G422" i="5"/>
  <c r="F422" i="5"/>
  <c r="E422" i="5"/>
  <c r="D422" i="5"/>
  <c r="C422" i="5"/>
  <c r="B422" i="5"/>
  <c r="A422" i="5"/>
  <c r="M422" i="5" s="1"/>
  <c r="N422" i="5" s="1"/>
  <c r="H421" i="5"/>
  <c r="G421" i="5"/>
  <c r="F421" i="5"/>
  <c r="D421" i="5"/>
  <c r="C421" i="5"/>
  <c r="E421" i="5" s="1"/>
  <c r="B421" i="5"/>
  <c r="A421" i="5"/>
  <c r="M421" i="5" s="1"/>
  <c r="N421" i="5" s="1"/>
  <c r="H420" i="5"/>
  <c r="G420" i="5"/>
  <c r="F420" i="5"/>
  <c r="E420" i="5"/>
  <c r="D420" i="5"/>
  <c r="C420" i="5"/>
  <c r="B420" i="5"/>
  <c r="A420" i="5"/>
  <c r="M420" i="5" s="1"/>
  <c r="N420" i="5" s="1"/>
  <c r="M419" i="5"/>
  <c r="N419" i="5" s="1"/>
  <c r="F419" i="5"/>
  <c r="D419" i="5"/>
  <c r="C419" i="5"/>
  <c r="B419" i="5"/>
  <c r="A419" i="5"/>
  <c r="M418" i="5"/>
  <c r="N418" i="5" s="1"/>
  <c r="F418" i="5"/>
  <c r="D418" i="5"/>
  <c r="C418" i="5"/>
  <c r="B418" i="5"/>
  <c r="A418" i="5"/>
  <c r="M417" i="5"/>
  <c r="N417" i="5" s="1"/>
  <c r="H417" i="5"/>
  <c r="G417" i="5"/>
  <c r="F417" i="5"/>
  <c r="E417" i="5"/>
  <c r="D417" i="5"/>
  <c r="C417" i="5"/>
  <c r="B417" i="5"/>
  <c r="A417" i="5"/>
  <c r="M416" i="5"/>
  <c r="N416" i="5" s="1"/>
  <c r="E416" i="5"/>
  <c r="D416" i="5"/>
  <c r="C416" i="5"/>
  <c r="B416" i="5"/>
  <c r="A416" i="5"/>
  <c r="M415" i="5"/>
  <c r="N415" i="5" s="1"/>
  <c r="H415" i="5"/>
  <c r="G415" i="5"/>
  <c r="F415" i="5"/>
  <c r="E415" i="5"/>
  <c r="D415" i="5"/>
  <c r="C415" i="5"/>
  <c r="B415" i="5"/>
  <c r="A415" i="5"/>
  <c r="H414" i="5"/>
  <c r="G414" i="5"/>
  <c r="F414" i="5"/>
  <c r="E414" i="5"/>
  <c r="D414" i="5"/>
  <c r="C414" i="5"/>
  <c r="B414" i="5"/>
  <c r="A414" i="5"/>
  <c r="M414" i="5" s="1"/>
  <c r="N414" i="5" s="1"/>
  <c r="E413" i="5"/>
  <c r="D413" i="5"/>
  <c r="C413" i="5"/>
  <c r="B413" i="5"/>
  <c r="A413" i="5"/>
  <c r="M413" i="5" s="1"/>
  <c r="N413" i="5" s="1"/>
  <c r="M412" i="5"/>
  <c r="N412" i="5" s="1"/>
  <c r="F412" i="5"/>
  <c r="D412" i="5"/>
  <c r="C412" i="5"/>
  <c r="B412" i="5"/>
  <c r="A412" i="5"/>
  <c r="M411" i="5"/>
  <c r="N411" i="5" s="1"/>
  <c r="H411" i="5"/>
  <c r="G411" i="5"/>
  <c r="F411" i="5"/>
  <c r="E411" i="5"/>
  <c r="D411" i="5"/>
  <c r="C411" i="5"/>
  <c r="B411" i="5"/>
  <c r="A411" i="5"/>
  <c r="F410" i="5"/>
  <c r="E410" i="5"/>
  <c r="D410" i="5"/>
  <c r="C410" i="5"/>
  <c r="B410" i="5"/>
  <c r="A410" i="5"/>
  <c r="M410" i="5" s="1"/>
  <c r="N410" i="5" s="1"/>
  <c r="M409" i="5"/>
  <c r="N409" i="5" s="1"/>
  <c r="E409" i="5"/>
  <c r="D409" i="5"/>
  <c r="C409" i="5"/>
  <c r="B409" i="5"/>
  <c r="A409" i="5"/>
  <c r="M408" i="5"/>
  <c r="N408" i="5" s="1"/>
  <c r="H408" i="5"/>
  <c r="G408" i="5"/>
  <c r="F408" i="5"/>
  <c r="E408" i="5"/>
  <c r="D408" i="5"/>
  <c r="C408" i="5"/>
  <c r="B408" i="5"/>
  <c r="A408" i="5"/>
  <c r="M407" i="5"/>
  <c r="N407" i="5" s="1"/>
  <c r="D407" i="5"/>
  <c r="C407" i="5"/>
  <c r="B407" i="5"/>
  <c r="A407" i="5"/>
  <c r="D406" i="5"/>
  <c r="C406" i="5"/>
  <c r="B406" i="5"/>
  <c r="A406" i="5"/>
  <c r="M406" i="5" s="1"/>
  <c r="N406" i="5" s="1"/>
  <c r="M405" i="5"/>
  <c r="N405" i="5" s="1"/>
  <c r="H405" i="5"/>
  <c r="G405" i="5"/>
  <c r="F405" i="5"/>
  <c r="D405" i="5"/>
  <c r="C405" i="5"/>
  <c r="E405" i="5" s="1"/>
  <c r="B405" i="5"/>
  <c r="A405" i="5"/>
  <c r="M404" i="5"/>
  <c r="N404" i="5" s="1"/>
  <c r="H404" i="5"/>
  <c r="F404" i="5"/>
  <c r="E404" i="5"/>
  <c r="D404" i="5"/>
  <c r="C404" i="5"/>
  <c r="G404" i="5" s="1"/>
  <c r="B404" i="5"/>
  <c r="A404" i="5"/>
  <c r="H403" i="5"/>
  <c r="E403" i="5"/>
  <c r="D403" i="5"/>
  <c r="C403" i="5"/>
  <c r="B403" i="5"/>
  <c r="A403" i="5"/>
  <c r="M403" i="5" s="1"/>
  <c r="N403" i="5" s="1"/>
  <c r="M402" i="5"/>
  <c r="N402" i="5" s="1"/>
  <c r="H402" i="5"/>
  <c r="F402" i="5"/>
  <c r="E402" i="5"/>
  <c r="D402" i="5"/>
  <c r="C402" i="5"/>
  <c r="G402" i="5" s="1"/>
  <c r="B402" i="5"/>
  <c r="A402" i="5"/>
  <c r="H401" i="5"/>
  <c r="G401" i="5"/>
  <c r="F401" i="5"/>
  <c r="E401" i="5"/>
  <c r="D401" i="5"/>
  <c r="C401" i="5"/>
  <c r="B401" i="5"/>
  <c r="A401" i="5"/>
  <c r="M401" i="5" s="1"/>
  <c r="N401" i="5" s="1"/>
  <c r="M400" i="5"/>
  <c r="N400" i="5" s="1"/>
  <c r="D400" i="5"/>
  <c r="C400" i="5"/>
  <c r="B400" i="5"/>
  <c r="A400" i="5"/>
  <c r="F399" i="5"/>
  <c r="D399" i="5"/>
  <c r="C399" i="5"/>
  <c r="E399" i="5" s="1"/>
  <c r="B399" i="5"/>
  <c r="A399" i="5"/>
  <c r="M399" i="5" s="1"/>
  <c r="N399" i="5" s="1"/>
  <c r="M398" i="5"/>
  <c r="N398" i="5" s="1"/>
  <c r="D398" i="5"/>
  <c r="C398" i="5"/>
  <c r="B398" i="5"/>
  <c r="A398" i="5"/>
  <c r="M397" i="5"/>
  <c r="N397" i="5" s="1"/>
  <c r="F397" i="5"/>
  <c r="E397" i="5"/>
  <c r="D397" i="5"/>
  <c r="C397" i="5"/>
  <c r="H397" i="5" s="1"/>
  <c r="B397" i="5"/>
  <c r="A397" i="5"/>
  <c r="G396" i="5"/>
  <c r="D396" i="5"/>
  <c r="C396" i="5"/>
  <c r="B396" i="5"/>
  <c r="A396" i="5"/>
  <c r="M396" i="5" s="1"/>
  <c r="N396" i="5" s="1"/>
  <c r="M395" i="5"/>
  <c r="N395" i="5" s="1"/>
  <c r="H395" i="5"/>
  <c r="E395" i="5"/>
  <c r="D395" i="5"/>
  <c r="C395" i="5"/>
  <c r="G395" i="5" s="1"/>
  <c r="B395" i="5"/>
  <c r="A395" i="5"/>
  <c r="H394" i="5"/>
  <c r="G394" i="5"/>
  <c r="F394" i="5"/>
  <c r="E394" i="5"/>
  <c r="D394" i="5"/>
  <c r="C394" i="5"/>
  <c r="B394" i="5"/>
  <c r="A394" i="5"/>
  <c r="M394" i="5" s="1"/>
  <c r="N394" i="5" s="1"/>
  <c r="H393" i="5"/>
  <c r="F393" i="5"/>
  <c r="E393" i="5"/>
  <c r="D393" i="5"/>
  <c r="C393" i="5"/>
  <c r="G393" i="5" s="1"/>
  <c r="B393" i="5"/>
  <c r="A393" i="5"/>
  <c r="M393" i="5" s="1"/>
  <c r="N393" i="5" s="1"/>
  <c r="D392" i="5"/>
  <c r="C392" i="5"/>
  <c r="B392" i="5"/>
  <c r="A392" i="5"/>
  <c r="M392" i="5" s="1"/>
  <c r="N392" i="5" s="1"/>
  <c r="M391" i="5"/>
  <c r="N391" i="5" s="1"/>
  <c r="H391" i="5"/>
  <c r="G391" i="5"/>
  <c r="F391" i="5"/>
  <c r="D391" i="5"/>
  <c r="C391" i="5"/>
  <c r="E391" i="5" s="1"/>
  <c r="B391" i="5"/>
  <c r="A391" i="5"/>
  <c r="M390" i="5"/>
  <c r="N390" i="5" s="1"/>
  <c r="H390" i="5"/>
  <c r="E390" i="5"/>
  <c r="D390" i="5"/>
  <c r="C390" i="5"/>
  <c r="B390" i="5"/>
  <c r="A390" i="5"/>
  <c r="M389" i="5"/>
  <c r="N389" i="5" s="1"/>
  <c r="G389" i="5"/>
  <c r="D389" i="5"/>
  <c r="C389" i="5"/>
  <c r="H389" i="5" s="1"/>
  <c r="B389" i="5"/>
  <c r="A389" i="5"/>
  <c r="M388" i="5"/>
  <c r="N388" i="5" s="1"/>
  <c r="H388" i="5"/>
  <c r="F388" i="5"/>
  <c r="E388" i="5"/>
  <c r="D388" i="5"/>
  <c r="C388" i="5"/>
  <c r="G388" i="5" s="1"/>
  <c r="B388" i="5"/>
  <c r="A388" i="5"/>
  <c r="M387" i="5"/>
  <c r="N387" i="5" s="1"/>
  <c r="H387" i="5"/>
  <c r="G387" i="5"/>
  <c r="F387" i="5"/>
  <c r="E387" i="5"/>
  <c r="D387" i="5"/>
  <c r="C387" i="5"/>
  <c r="B387" i="5"/>
  <c r="A387" i="5"/>
  <c r="G386" i="5"/>
  <c r="D386" i="5"/>
  <c r="C386" i="5"/>
  <c r="H386" i="5" s="1"/>
  <c r="B386" i="5"/>
  <c r="A386" i="5"/>
  <c r="M386" i="5" s="1"/>
  <c r="N386" i="5" s="1"/>
  <c r="H385" i="5"/>
  <c r="G385" i="5"/>
  <c r="E385" i="5"/>
  <c r="D385" i="5"/>
  <c r="C385" i="5"/>
  <c r="F385" i="5" s="1"/>
  <c r="B385" i="5"/>
  <c r="A385" i="5"/>
  <c r="M385" i="5" s="1"/>
  <c r="N385" i="5" s="1"/>
  <c r="M384" i="5"/>
  <c r="N384" i="5" s="1"/>
  <c r="D384" i="5"/>
  <c r="C384" i="5"/>
  <c r="B384" i="5"/>
  <c r="A384" i="5"/>
  <c r="M383" i="5"/>
  <c r="N383" i="5" s="1"/>
  <c r="F383" i="5"/>
  <c r="E383" i="5"/>
  <c r="D383" i="5"/>
  <c r="C383" i="5"/>
  <c r="H383" i="5" s="1"/>
  <c r="B383" i="5"/>
  <c r="A383" i="5"/>
  <c r="M382" i="5"/>
  <c r="N382" i="5" s="1"/>
  <c r="F382" i="5"/>
  <c r="D382" i="5"/>
  <c r="C382" i="5"/>
  <c r="B382" i="5"/>
  <c r="A382" i="5"/>
  <c r="M381" i="5"/>
  <c r="N381" i="5" s="1"/>
  <c r="D381" i="5"/>
  <c r="C381" i="5"/>
  <c r="B381" i="5"/>
  <c r="A381" i="5"/>
  <c r="M380" i="5"/>
  <c r="N380" i="5" s="1"/>
  <c r="H380" i="5"/>
  <c r="G380" i="5"/>
  <c r="F380" i="5"/>
  <c r="E380" i="5"/>
  <c r="D380" i="5"/>
  <c r="C380" i="5"/>
  <c r="B380" i="5"/>
  <c r="A380" i="5"/>
  <c r="D379" i="5"/>
  <c r="C379" i="5"/>
  <c r="B379" i="5"/>
  <c r="A379" i="5"/>
  <c r="M379" i="5" s="1"/>
  <c r="N379" i="5" s="1"/>
  <c r="H378" i="5"/>
  <c r="E378" i="5"/>
  <c r="D378" i="5"/>
  <c r="C378" i="5"/>
  <c r="G378" i="5" s="1"/>
  <c r="B378" i="5"/>
  <c r="A378" i="5"/>
  <c r="M378" i="5" s="1"/>
  <c r="N378" i="5" s="1"/>
  <c r="M377" i="5"/>
  <c r="N377" i="5" s="1"/>
  <c r="H377" i="5"/>
  <c r="G377" i="5"/>
  <c r="F377" i="5"/>
  <c r="D377" i="5"/>
  <c r="C377" i="5"/>
  <c r="E377" i="5" s="1"/>
  <c r="B377" i="5"/>
  <c r="A377" i="5"/>
  <c r="M376" i="5"/>
  <c r="N376" i="5" s="1"/>
  <c r="H376" i="5"/>
  <c r="D376" i="5"/>
  <c r="C376" i="5"/>
  <c r="F376" i="5" s="1"/>
  <c r="B376" i="5"/>
  <c r="A376" i="5"/>
  <c r="M375" i="5"/>
  <c r="N375" i="5" s="1"/>
  <c r="D375" i="5"/>
  <c r="C375" i="5"/>
  <c r="B375" i="5"/>
  <c r="A375" i="5"/>
  <c r="F374" i="5"/>
  <c r="E374" i="5"/>
  <c r="D374" i="5"/>
  <c r="C374" i="5"/>
  <c r="G374" i="5" s="1"/>
  <c r="B374" i="5"/>
  <c r="A374" i="5"/>
  <c r="M374" i="5" s="1"/>
  <c r="N374" i="5" s="1"/>
  <c r="H373" i="5"/>
  <c r="G373" i="5"/>
  <c r="F373" i="5"/>
  <c r="E373" i="5"/>
  <c r="D373" i="5"/>
  <c r="C373" i="5"/>
  <c r="B373" i="5"/>
  <c r="A373" i="5"/>
  <c r="M373" i="5" s="1"/>
  <c r="N373" i="5" s="1"/>
  <c r="M372" i="5"/>
  <c r="N372" i="5" s="1"/>
  <c r="H372" i="5"/>
  <c r="G372" i="5"/>
  <c r="F372" i="5"/>
  <c r="E372" i="5"/>
  <c r="D372" i="5"/>
  <c r="C372" i="5"/>
  <c r="B372" i="5"/>
  <c r="A372" i="5"/>
  <c r="H371" i="5"/>
  <c r="G371" i="5"/>
  <c r="F371" i="5"/>
  <c r="E371" i="5"/>
  <c r="D371" i="5"/>
  <c r="C371" i="5"/>
  <c r="B371" i="5"/>
  <c r="A371" i="5"/>
  <c r="M371" i="5" s="1"/>
  <c r="N371" i="5" s="1"/>
  <c r="G370" i="5"/>
  <c r="D370" i="5"/>
  <c r="C370" i="5"/>
  <c r="B370" i="5"/>
  <c r="A370" i="5"/>
  <c r="M370" i="5" s="1"/>
  <c r="N370" i="5" s="1"/>
  <c r="M369" i="5"/>
  <c r="N369" i="5" s="1"/>
  <c r="H369" i="5"/>
  <c r="G369" i="5"/>
  <c r="F369" i="5"/>
  <c r="E369" i="5"/>
  <c r="D369" i="5"/>
  <c r="C369" i="5"/>
  <c r="B369" i="5"/>
  <c r="A369" i="5"/>
  <c r="D368" i="5"/>
  <c r="C368" i="5"/>
  <c r="F368" i="5" s="1"/>
  <c r="B368" i="5"/>
  <c r="A368" i="5"/>
  <c r="M368" i="5" s="1"/>
  <c r="N368" i="5" s="1"/>
  <c r="F367" i="5"/>
  <c r="E367" i="5"/>
  <c r="D367" i="5"/>
  <c r="C367" i="5"/>
  <c r="G367" i="5" s="1"/>
  <c r="B367" i="5"/>
  <c r="A367" i="5"/>
  <c r="M367" i="5" s="1"/>
  <c r="N367" i="5" s="1"/>
  <c r="M366" i="5"/>
  <c r="N366" i="5" s="1"/>
  <c r="H366" i="5"/>
  <c r="G366" i="5"/>
  <c r="F366" i="5"/>
  <c r="E366" i="5"/>
  <c r="D366" i="5"/>
  <c r="C366" i="5"/>
  <c r="B366" i="5"/>
  <c r="A366" i="5"/>
  <c r="E365" i="5"/>
  <c r="D365" i="5"/>
  <c r="C365" i="5"/>
  <c r="H365" i="5" s="1"/>
  <c r="B365" i="5"/>
  <c r="A365" i="5"/>
  <c r="M365" i="5" s="1"/>
  <c r="N365" i="5" s="1"/>
  <c r="H364" i="5"/>
  <c r="G364" i="5"/>
  <c r="E364" i="5"/>
  <c r="D364" i="5"/>
  <c r="C364" i="5"/>
  <c r="F364" i="5" s="1"/>
  <c r="B364" i="5"/>
  <c r="A364" i="5"/>
  <c r="M364" i="5" s="1"/>
  <c r="N364" i="5" s="1"/>
  <c r="M363" i="5"/>
  <c r="N363" i="5" s="1"/>
  <c r="H363" i="5"/>
  <c r="G363" i="5"/>
  <c r="F363" i="5"/>
  <c r="D363" i="5"/>
  <c r="C363" i="5"/>
  <c r="E363" i="5" s="1"/>
  <c r="B363" i="5"/>
  <c r="A363" i="5"/>
  <c r="M362" i="5"/>
  <c r="N362" i="5" s="1"/>
  <c r="D362" i="5"/>
  <c r="C362" i="5"/>
  <c r="B362" i="5"/>
  <c r="A362" i="5"/>
  <c r="H361" i="5"/>
  <c r="G361" i="5"/>
  <c r="E361" i="5"/>
  <c r="D361" i="5"/>
  <c r="C361" i="5"/>
  <c r="F361" i="5" s="1"/>
  <c r="B361" i="5"/>
  <c r="A361" i="5"/>
  <c r="M361" i="5" s="1"/>
  <c r="N361" i="5" s="1"/>
  <c r="M360" i="5"/>
  <c r="N360" i="5" s="1"/>
  <c r="H360" i="5"/>
  <c r="F360" i="5"/>
  <c r="D360" i="5"/>
  <c r="C360" i="5"/>
  <c r="B360" i="5"/>
  <c r="A360" i="5"/>
  <c r="M359" i="5"/>
  <c r="N359" i="5" s="1"/>
  <c r="H359" i="5"/>
  <c r="G359" i="5"/>
  <c r="F359" i="5"/>
  <c r="E359" i="5"/>
  <c r="D359" i="5"/>
  <c r="C359" i="5"/>
  <c r="B359" i="5"/>
  <c r="A359" i="5"/>
  <c r="H358" i="5"/>
  <c r="G358" i="5"/>
  <c r="E358" i="5"/>
  <c r="D358" i="5"/>
  <c r="C358" i="5"/>
  <c r="F358" i="5" s="1"/>
  <c r="B358" i="5"/>
  <c r="A358" i="5"/>
  <c r="M358" i="5" s="1"/>
  <c r="N358" i="5" s="1"/>
  <c r="H357" i="5"/>
  <c r="G357" i="5"/>
  <c r="E357" i="5"/>
  <c r="D357" i="5"/>
  <c r="C357" i="5"/>
  <c r="F357" i="5" s="1"/>
  <c r="B357" i="5"/>
  <c r="A357" i="5"/>
  <c r="M357" i="5" s="1"/>
  <c r="N357" i="5" s="1"/>
  <c r="M356" i="5"/>
  <c r="N356" i="5" s="1"/>
  <c r="G356" i="5"/>
  <c r="D356" i="5"/>
  <c r="C356" i="5"/>
  <c r="B356" i="5"/>
  <c r="A356" i="5"/>
  <c r="M355" i="5"/>
  <c r="N355" i="5" s="1"/>
  <c r="H355" i="5"/>
  <c r="G355" i="5"/>
  <c r="F355" i="5"/>
  <c r="E355" i="5"/>
  <c r="D355" i="5"/>
  <c r="C355" i="5"/>
  <c r="B355" i="5"/>
  <c r="A355" i="5"/>
  <c r="F354" i="5"/>
  <c r="D354" i="5"/>
  <c r="C354" i="5"/>
  <c r="B354" i="5"/>
  <c r="A354" i="5"/>
  <c r="M354" i="5" s="1"/>
  <c r="N354" i="5" s="1"/>
  <c r="F353" i="5"/>
  <c r="E353" i="5"/>
  <c r="D353" i="5"/>
  <c r="C353" i="5"/>
  <c r="B353" i="5"/>
  <c r="A353" i="5"/>
  <c r="M353" i="5" s="1"/>
  <c r="N353" i="5" s="1"/>
  <c r="H352" i="5"/>
  <c r="G352" i="5"/>
  <c r="F352" i="5"/>
  <c r="E352" i="5"/>
  <c r="D352" i="5"/>
  <c r="C352" i="5"/>
  <c r="B352" i="5"/>
  <c r="A352" i="5"/>
  <c r="M352" i="5" s="1"/>
  <c r="N352" i="5" s="1"/>
  <c r="E351" i="5"/>
  <c r="D351" i="5"/>
  <c r="C351" i="5"/>
  <c r="H351" i="5" s="1"/>
  <c r="B351" i="5"/>
  <c r="A351" i="5"/>
  <c r="M351" i="5" s="1"/>
  <c r="N351" i="5" s="1"/>
  <c r="H350" i="5"/>
  <c r="G350" i="5"/>
  <c r="F350" i="5"/>
  <c r="E350" i="5"/>
  <c r="D350" i="5"/>
  <c r="C350" i="5"/>
  <c r="B350" i="5"/>
  <c r="A350" i="5"/>
  <c r="M350" i="5" s="1"/>
  <c r="N350" i="5" s="1"/>
  <c r="M349" i="5"/>
  <c r="N349" i="5" s="1"/>
  <c r="H349" i="5"/>
  <c r="G349" i="5"/>
  <c r="D349" i="5"/>
  <c r="C349" i="5"/>
  <c r="E349" i="5" s="1"/>
  <c r="B349" i="5"/>
  <c r="A349" i="5"/>
  <c r="M348" i="5"/>
  <c r="N348" i="5" s="1"/>
  <c r="D348" i="5"/>
  <c r="C348" i="5"/>
  <c r="B348" i="5"/>
  <c r="A348" i="5"/>
  <c r="M347" i="5"/>
  <c r="N347" i="5" s="1"/>
  <c r="H347" i="5"/>
  <c r="E347" i="5"/>
  <c r="D347" i="5"/>
  <c r="C347" i="5"/>
  <c r="G347" i="5" s="1"/>
  <c r="B347" i="5"/>
  <c r="A347" i="5"/>
  <c r="M346" i="5"/>
  <c r="N346" i="5" s="1"/>
  <c r="H346" i="5"/>
  <c r="F346" i="5"/>
  <c r="E346" i="5"/>
  <c r="D346" i="5"/>
  <c r="C346" i="5"/>
  <c r="G346" i="5" s="1"/>
  <c r="B346" i="5"/>
  <c r="A346" i="5"/>
  <c r="H345" i="5"/>
  <c r="G345" i="5"/>
  <c r="F345" i="5"/>
  <c r="E345" i="5"/>
  <c r="D345" i="5"/>
  <c r="C345" i="5"/>
  <c r="B345" i="5"/>
  <c r="A345" i="5"/>
  <c r="M345" i="5" s="1"/>
  <c r="N345" i="5" s="1"/>
  <c r="M344" i="5"/>
  <c r="N344" i="5" s="1"/>
  <c r="H344" i="5"/>
  <c r="F344" i="5"/>
  <c r="D344" i="5"/>
  <c r="C344" i="5"/>
  <c r="B344" i="5"/>
  <c r="A344" i="5"/>
  <c r="F343" i="5"/>
  <c r="D343" i="5"/>
  <c r="C343" i="5"/>
  <c r="B343" i="5"/>
  <c r="A343" i="5"/>
  <c r="M343" i="5" s="1"/>
  <c r="N343" i="5" s="1"/>
  <c r="M342" i="5"/>
  <c r="N342" i="5" s="1"/>
  <c r="G342" i="5"/>
  <c r="F342" i="5"/>
  <c r="D342" i="5"/>
  <c r="C342" i="5"/>
  <c r="E342" i="5" s="1"/>
  <c r="B342" i="5"/>
  <c r="A342" i="5"/>
  <c r="M341" i="5"/>
  <c r="N341" i="5" s="1"/>
  <c r="G341" i="5"/>
  <c r="D341" i="5"/>
  <c r="C341" i="5"/>
  <c r="B341" i="5"/>
  <c r="A341" i="5"/>
  <c r="M340" i="5"/>
  <c r="N340" i="5" s="1"/>
  <c r="D340" i="5"/>
  <c r="C340" i="5"/>
  <c r="B340" i="5"/>
  <c r="A340" i="5"/>
  <c r="M339" i="5"/>
  <c r="N339" i="5" s="1"/>
  <c r="H339" i="5"/>
  <c r="E339" i="5"/>
  <c r="D339" i="5"/>
  <c r="C339" i="5"/>
  <c r="G339" i="5" s="1"/>
  <c r="B339" i="5"/>
  <c r="A339" i="5"/>
  <c r="M338" i="5"/>
  <c r="N338" i="5" s="1"/>
  <c r="H338" i="5"/>
  <c r="G338" i="5"/>
  <c r="F338" i="5"/>
  <c r="E338" i="5"/>
  <c r="D338" i="5"/>
  <c r="C338" i="5"/>
  <c r="B338" i="5"/>
  <c r="A338" i="5"/>
  <c r="M337" i="5"/>
  <c r="N337" i="5" s="1"/>
  <c r="D337" i="5"/>
  <c r="C337" i="5"/>
  <c r="B337" i="5"/>
  <c r="A337" i="5"/>
  <c r="H336" i="5"/>
  <c r="F336" i="5"/>
  <c r="E336" i="5"/>
  <c r="D336" i="5"/>
  <c r="C336" i="5"/>
  <c r="G336" i="5" s="1"/>
  <c r="B336" i="5"/>
  <c r="A336" i="5"/>
  <c r="M336" i="5" s="1"/>
  <c r="N336" i="5" s="1"/>
  <c r="M335" i="5"/>
  <c r="N335" i="5" s="1"/>
  <c r="H335" i="5"/>
  <c r="F335" i="5"/>
  <c r="D335" i="5"/>
  <c r="C335" i="5"/>
  <c r="B335" i="5"/>
  <c r="A335" i="5"/>
  <c r="M334" i="5"/>
  <c r="N334" i="5" s="1"/>
  <c r="D334" i="5"/>
  <c r="C334" i="5"/>
  <c r="B334" i="5"/>
  <c r="A334" i="5"/>
  <c r="H333" i="5"/>
  <c r="G333" i="5"/>
  <c r="E333" i="5"/>
  <c r="D333" i="5"/>
  <c r="C333" i="5"/>
  <c r="F333" i="5" s="1"/>
  <c r="B333" i="5"/>
  <c r="A333" i="5"/>
  <c r="M333" i="5" s="1"/>
  <c r="N333" i="5" s="1"/>
  <c r="M332" i="5"/>
  <c r="N332" i="5" s="1"/>
  <c r="F332" i="5"/>
  <c r="E332" i="5"/>
  <c r="D332" i="5"/>
  <c r="C332" i="5"/>
  <c r="B332" i="5"/>
  <c r="A332" i="5"/>
  <c r="H331" i="5"/>
  <c r="G331" i="5"/>
  <c r="F331" i="5"/>
  <c r="E331" i="5"/>
  <c r="D331" i="5"/>
  <c r="C331" i="5"/>
  <c r="B331" i="5"/>
  <c r="A331" i="5"/>
  <c r="M331" i="5" s="1"/>
  <c r="N331" i="5" s="1"/>
  <c r="M330" i="5"/>
  <c r="N330" i="5" s="1"/>
  <c r="F330" i="5"/>
  <c r="D330" i="5"/>
  <c r="C330" i="5"/>
  <c r="B330" i="5"/>
  <c r="A330" i="5"/>
  <c r="F329" i="5"/>
  <c r="E329" i="5"/>
  <c r="D329" i="5"/>
  <c r="C329" i="5"/>
  <c r="B329" i="5"/>
  <c r="A329" i="5"/>
  <c r="M329" i="5" s="1"/>
  <c r="N329" i="5" s="1"/>
  <c r="H328" i="5"/>
  <c r="G328" i="5"/>
  <c r="F328" i="5"/>
  <c r="D328" i="5"/>
  <c r="C328" i="5"/>
  <c r="E328" i="5" s="1"/>
  <c r="B328" i="5"/>
  <c r="A328" i="5"/>
  <c r="M328" i="5" s="1"/>
  <c r="N328" i="5" s="1"/>
  <c r="M327" i="5"/>
  <c r="N327" i="5" s="1"/>
  <c r="H327" i="5"/>
  <c r="F327" i="5"/>
  <c r="E327" i="5"/>
  <c r="D327" i="5"/>
  <c r="C327" i="5"/>
  <c r="G327" i="5" s="1"/>
  <c r="B327" i="5"/>
  <c r="A327" i="5"/>
  <c r="D326" i="5"/>
  <c r="C326" i="5"/>
  <c r="F326" i="5" s="1"/>
  <c r="B326" i="5"/>
  <c r="A326" i="5"/>
  <c r="M326" i="5" s="1"/>
  <c r="N326" i="5" s="1"/>
  <c r="H325" i="5"/>
  <c r="F325" i="5"/>
  <c r="D325" i="5"/>
  <c r="C325" i="5"/>
  <c r="G325" i="5" s="1"/>
  <c r="B325" i="5"/>
  <c r="A325" i="5"/>
  <c r="M325" i="5" s="1"/>
  <c r="N325" i="5" s="1"/>
  <c r="H324" i="5"/>
  <c r="G324" i="5"/>
  <c r="F324" i="5"/>
  <c r="E324" i="5"/>
  <c r="D324" i="5"/>
  <c r="C324" i="5"/>
  <c r="B324" i="5"/>
  <c r="A324" i="5"/>
  <c r="M324" i="5" s="1"/>
  <c r="N324" i="5" s="1"/>
  <c r="D323" i="5"/>
  <c r="C323" i="5"/>
  <c r="B323" i="5"/>
  <c r="A323" i="5"/>
  <c r="M323" i="5" s="1"/>
  <c r="N323" i="5" s="1"/>
  <c r="H322" i="5"/>
  <c r="F322" i="5"/>
  <c r="D322" i="5"/>
  <c r="C322" i="5"/>
  <c r="E322" i="5" s="1"/>
  <c r="B322" i="5"/>
  <c r="A322" i="5"/>
  <c r="M322" i="5" s="1"/>
  <c r="N322" i="5" s="1"/>
  <c r="G321" i="5"/>
  <c r="F321" i="5"/>
  <c r="D321" i="5"/>
  <c r="C321" i="5"/>
  <c r="B321" i="5"/>
  <c r="A321" i="5"/>
  <c r="M321" i="5" s="1"/>
  <c r="N321" i="5" s="1"/>
  <c r="M320" i="5"/>
  <c r="N320" i="5" s="1"/>
  <c r="H320" i="5"/>
  <c r="G320" i="5"/>
  <c r="D320" i="5"/>
  <c r="C320" i="5"/>
  <c r="F320" i="5" s="1"/>
  <c r="B320" i="5"/>
  <c r="A320" i="5"/>
  <c r="M319" i="5"/>
  <c r="N319" i="5" s="1"/>
  <c r="G319" i="5"/>
  <c r="E319" i="5"/>
  <c r="D319" i="5"/>
  <c r="C319" i="5"/>
  <c r="F319" i="5" s="1"/>
  <c r="B319" i="5"/>
  <c r="A319" i="5"/>
  <c r="M318" i="5"/>
  <c r="N318" i="5" s="1"/>
  <c r="D318" i="5"/>
  <c r="C318" i="5"/>
  <c r="E318" i="5" s="1"/>
  <c r="B318" i="5"/>
  <c r="A318" i="5"/>
  <c r="H317" i="5"/>
  <c r="G317" i="5"/>
  <c r="F317" i="5"/>
  <c r="E317" i="5"/>
  <c r="D317" i="5"/>
  <c r="C317" i="5"/>
  <c r="B317" i="5"/>
  <c r="A317" i="5"/>
  <c r="M317" i="5" s="1"/>
  <c r="N317" i="5" s="1"/>
  <c r="H316" i="5"/>
  <c r="F316" i="5"/>
  <c r="E316" i="5"/>
  <c r="D316" i="5"/>
  <c r="C316" i="5"/>
  <c r="G316" i="5" s="1"/>
  <c r="B316" i="5"/>
  <c r="A316" i="5"/>
  <c r="M316" i="5" s="1"/>
  <c r="N316" i="5" s="1"/>
  <c r="D315" i="5"/>
  <c r="C315" i="5"/>
  <c r="B315" i="5"/>
  <c r="A315" i="5"/>
  <c r="M315" i="5" s="1"/>
  <c r="N315" i="5" s="1"/>
  <c r="M314" i="5"/>
  <c r="N314" i="5" s="1"/>
  <c r="H314" i="5"/>
  <c r="F314" i="5"/>
  <c r="D314" i="5"/>
  <c r="C314" i="5"/>
  <c r="E314" i="5" s="1"/>
  <c r="B314" i="5"/>
  <c r="A314" i="5"/>
  <c r="M313" i="5"/>
  <c r="N313" i="5" s="1"/>
  <c r="H313" i="5"/>
  <c r="F313" i="5"/>
  <c r="E313" i="5"/>
  <c r="D313" i="5"/>
  <c r="C313" i="5"/>
  <c r="G313" i="5" s="1"/>
  <c r="B313" i="5"/>
  <c r="A313" i="5"/>
  <c r="M312" i="5"/>
  <c r="N312" i="5" s="1"/>
  <c r="H312" i="5"/>
  <c r="G312" i="5"/>
  <c r="F312" i="5"/>
  <c r="E312" i="5"/>
  <c r="D312" i="5"/>
  <c r="C312" i="5"/>
  <c r="B312" i="5"/>
  <c r="A312" i="5"/>
  <c r="M311" i="5"/>
  <c r="N311" i="5" s="1"/>
  <c r="H311" i="5"/>
  <c r="E311" i="5"/>
  <c r="D311" i="5"/>
  <c r="C311" i="5"/>
  <c r="G311" i="5" s="1"/>
  <c r="B311" i="5"/>
  <c r="A311" i="5"/>
  <c r="M310" i="5"/>
  <c r="N310" i="5" s="1"/>
  <c r="H310" i="5"/>
  <c r="G310" i="5"/>
  <c r="F310" i="5"/>
  <c r="E310" i="5"/>
  <c r="D310" i="5"/>
  <c r="C310" i="5"/>
  <c r="B310" i="5"/>
  <c r="A310" i="5"/>
  <c r="D309" i="5"/>
  <c r="C309" i="5"/>
  <c r="B309" i="5"/>
  <c r="A309" i="5"/>
  <c r="M309" i="5" s="1"/>
  <c r="N309" i="5" s="1"/>
  <c r="H308" i="5"/>
  <c r="G308" i="5"/>
  <c r="E308" i="5"/>
  <c r="D308" i="5"/>
  <c r="C308" i="5"/>
  <c r="F308" i="5" s="1"/>
  <c r="B308" i="5"/>
  <c r="A308" i="5"/>
  <c r="M308" i="5" s="1"/>
  <c r="N308" i="5" s="1"/>
  <c r="H307" i="5"/>
  <c r="G307" i="5"/>
  <c r="F307" i="5"/>
  <c r="D307" i="5"/>
  <c r="C307" i="5"/>
  <c r="E307" i="5" s="1"/>
  <c r="B307" i="5"/>
  <c r="A307" i="5"/>
  <c r="M307" i="5" s="1"/>
  <c r="N307" i="5" s="1"/>
  <c r="M306" i="5"/>
  <c r="N306" i="5" s="1"/>
  <c r="H306" i="5"/>
  <c r="D306" i="5"/>
  <c r="C306" i="5"/>
  <c r="F306" i="5" s="1"/>
  <c r="B306" i="5"/>
  <c r="A306" i="5"/>
  <c r="M305" i="5"/>
  <c r="N305" i="5" s="1"/>
  <c r="F305" i="5"/>
  <c r="D305" i="5"/>
  <c r="C305" i="5"/>
  <c r="B305" i="5"/>
  <c r="A305" i="5"/>
  <c r="E304" i="5"/>
  <c r="D304" i="5"/>
  <c r="C304" i="5"/>
  <c r="B304" i="5"/>
  <c r="A304" i="5"/>
  <c r="M304" i="5" s="1"/>
  <c r="N304" i="5" s="1"/>
  <c r="H303" i="5"/>
  <c r="G303" i="5"/>
  <c r="F303" i="5"/>
  <c r="E303" i="5"/>
  <c r="D303" i="5"/>
  <c r="C303" i="5"/>
  <c r="B303" i="5"/>
  <c r="A303" i="5"/>
  <c r="M303" i="5" s="1"/>
  <c r="N303" i="5" s="1"/>
  <c r="M302" i="5"/>
  <c r="N302" i="5" s="1"/>
  <c r="D302" i="5"/>
  <c r="C302" i="5"/>
  <c r="B302" i="5"/>
  <c r="A302" i="5"/>
  <c r="H301" i="5"/>
  <c r="G301" i="5"/>
  <c r="F301" i="5"/>
  <c r="E301" i="5"/>
  <c r="D301" i="5"/>
  <c r="C301" i="5"/>
  <c r="B301" i="5"/>
  <c r="A301" i="5"/>
  <c r="M301" i="5" s="1"/>
  <c r="N301" i="5" s="1"/>
  <c r="M300" i="5"/>
  <c r="N300" i="5" s="1"/>
  <c r="H300" i="5"/>
  <c r="D300" i="5"/>
  <c r="C300" i="5"/>
  <c r="B300" i="5"/>
  <c r="A300" i="5"/>
  <c r="M299" i="5"/>
  <c r="N299" i="5" s="1"/>
  <c r="H299" i="5"/>
  <c r="G299" i="5"/>
  <c r="F299" i="5"/>
  <c r="E299" i="5"/>
  <c r="D299" i="5"/>
  <c r="C299" i="5"/>
  <c r="B299" i="5"/>
  <c r="A299" i="5"/>
  <c r="E298" i="5"/>
  <c r="D298" i="5"/>
  <c r="C298" i="5"/>
  <c r="B298" i="5"/>
  <c r="A298" i="5"/>
  <c r="M298" i="5" s="1"/>
  <c r="N298" i="5" s="1"/>
  <c r="H297" i="5"/>
  <c r="D297" i="5"/>
  <c r="C297" i="5"/>
  <c r="B297" i="5"/>
  <c r="A297" i="5"/>
  <c r="M297" i="5" s="1"/>
  <c r="N297" i="5" s="1"/>
  <c r="M296" i="5"/>
  <c r="N296" i="5" s="1"/>
  <c r="H296" i="5"/>
  <c r="G296" i="5"/>
  <c r="F296" i="5"/>
  <c r="E296" i="5"/>
  <c r="D296" i="5"/>
  <c r="C296" i="5"/>
  <c r="B296" i="5"/>
  <c r="A296" i="5"/>
  <c r="E295" i="5"/>
  <c r="D295" i="5"/>
  <c r="C295" i="5"/>
  <c r="B295" i="5"/>
  <c r="A295" i="5"/>
  <c r="M295" i="5" s="1"/>
  <c r="N295" i="5" s="1"/>
  <c r="H294" i="5"/>
  <c r="D294" i="5"/>
  <c r="C294" i="5"/>
  <c r="B294" i="5"/>
  <c r="A294" i="5"/>
  <c r="M294" i="5" s="1"/>
  <c r="N294" i="5" s="1"/>
  <c r="H293" i="5"/>
  <c r="G293" i="5"/>
  <c r="F293" i="5"/>
  <c r="D293" i="5"/>
  <c r="C293" i="5"/>
  <c r="E293" i="5" s="1"/>
  <c r="B293" i="5"/>
  <c r="A293" i="5"/>
  <c r="M293" i="5" s="1"/>
  <c r="N293" i="5" s="1"/>
  <c r="M292" i="5"/>
  <c r="N292" i="5" s="1"/>
  <c r="H292" i="5"/>
  <c r="G292" i="5"/>
  <c r="D292" i="5"/>
  <c r="C292" i="5"/>
  <c r="F292" i="5" s="1"/>
  <c r="B292" i="5"/>
  <c r="A292" i="5"/>
  <c r="F291" i="5"/>
  <c r="D291" i="5"/>
  <c r="C291" i="5"/>
  <c r="G291" i="5" s="1"/>
  <c r="B291" i="5"/>
  <c r="A291" i="5"/>
  <c r="M291" i="5" s="1"/>
  <c r="N291" i="5" s="1"/>
  <c r="H290" i="5"/>
  <c r="F290" i="5"/>
  <c r="E290" i="5"/>
  <c r="D290" i="5"/>
  <c r="C290" i="5"/>
  <c r="G290" i="5" s="1"/>
  <c r="B290" i="5"/>
  <c r="A290" i="5"/>
  <c r="M290" i="5" s="1"/>
  <c r="N290" i="5" s="1"/>
  <c r="M289" i="5"/>
  <c r="N289" i="5" s="1"/>
  <c r="H289" i="5"/>
  <c r="G289" i="5"/>
  <c r="F289" i="5"/>
  <c r="E289" i="5"/>
  <c r="D289" i="5"/>
  <c r="C289" i="5"/>
  <c r="B289" i="5"/>
  <c r="A289" i="5"/>
  <c r="D288" i="5"/>
  <c r="C288" i="5"/>
  <c r="E288" i="5" s="1"/>
  <c r="B288" i="5"/>
  <c r="A288" i="5"/>
  <c r="M288" i="5" s="1"/>
  <c r="N288" i="5" s="1"/>
  <c r="D287" i="5"/>
  <c r="C287" i="5"/>
  <c r="H287" i="5" s="1"/>
  <c r="B287" i="5"/>
  <c r="A287" i="5"/>
  <c r="M287" i="5" s="1"/>
  <c r="N287" i="5" s="1"/>
  <c r="M286" i="5"/>
  <c r="N286" i="5" s="1"/>
  <c r="D286" i="5"/>
  <c r="C286" i="5"/>
  <c r="B286" i="5"/>
  <c r="A286" i="5"/>
  <c r="M285" i="5"/>
  <c r="N285" i="5" s="1"/>
  <c r="D285" i="5"/>
  <c r="C285" i="5"/>
  <c r="G285" i="5" s="1"/>
  <c r="B285" i="5"/>
  <c r="A285" i="5"/>
  <c r="H284" i="5"/>
  <c r="G284" i="5"/>
  <c r="D284" i="5"/>
  <c r="C284" i="5"/>
  <c r="E284" i="5" s="1"/>
  <c r="B284" i="5"/>
  <c r="A284" i="5"/>
  <c r="M284" i="5" s="1"/>
  <c r="N284" i="5" s="1"/>
  <c r="M283" i="5"/>
  <c r="N283" i="5" s="1"/>
  <c r="D283" i="5"/>
  <c r="C283" i="5"/>
  <c r="H283" i="5" s="1"/>
  <c r="B283" i="5"/>
  <c r="A283" i="5"/>
  <c r="M282" i="5"/>
  <c r="N282" i="5" s="1"/>
  <c r="H282" i="5"/>
  <c r="G282" i="5"/>
  <c r="F282" i="5"/>
  <c r="E282" i="5"/>
  <c r="D282" i="5"/>
  <c r="C282" i="5"/>
  <c r="B282" i="5"/>
  <c r="A282" i="5"/>
  <c r="M281" i="5"/>
  <c r="N281" i="5" s="1"/>
  <c r="H281" i="5"/>
  <c r="G281" i="5"/>
  <c r="E281" i="5"/>
  <c r="D281" i="5"/>
  <c r="C281" i="5"/>
  <c r="F281" i="5" s="1"/>
  <c r="B281" i="5"/>
  <c r="A281" i="5"/>
  <c r="G280" i="5"/>
  <c r="F280" i="5"/>
  <c r="E280" i="5"/>
  <c r="D280" i="5"/>
  <c r="C280" i="5"/>
  <c r="H280" i="5" s="1"/>
  <c r="B280" i="5"/>
  <c r="A280" i="5"/>
  <c r="M280" i="5" s="1"/>
  <c r="N280" i="5" s="1"/>
  <c r="M279" i="5"/>
  <c r="N279" i="5" s="1"/>
  <c r="H279" i="5"/>
  <c r="G279" i="5"/>
  <c r="F279" i="5"/>
  <c r="D279" i="5"/>
  <c r="C279" i="5"/>
  <c r="E279" i="5" s="1"/>
  <c r="B279" i="5"/>
  <c r="A279" i="5"/>
  <c r="M278" i="5"/>
  <c r="N278" i="5" s="1"/>
  <c r="D278" i="5"/>
  <c r="C278" i="5"/>
  <c r="G278" i="5" s="1"/>
  <c r="B278" i="5"/>
  <c r="A278" i="5"/>
  <c r="E277" i="5"/>
  <c r="D277" i="5"/>
  <c r="C277" i="5"/>
  <c r="B277" i="5"/>
  <c r="A277" i="5"/>
  <c r="M277" i="5" s="1"/>
  <c r="N277" i="5" s="1"/>
  <c r="H276" i="5"/>
  <c r="F276" i="5"/>
  <c r="E276" i="5"/>
  <c r="D276" i="5"/>
  <c r="C276" i="5"/>
  <c r="G276" i="5" s="1"/>
  <c r="B276" i="5"/>
  <c r="A276" i="5"/>
  <c r="M276" i="5" s="1"/>
  <c r="N276" i="5" s="1"/>
  <c r="M275" i="5"/>
  <c r="N275" i="5" s="1"/>
  <c r="H275" i="5"/>
  <c r="G275" i="5"/>
  <c r="F275" i="5"/>
  <c r="E275" i="5"/>
  <c r="D275" i="5"/>
  <c r="C275" i="5"/>
  <c r="B275" i="5"/>
  <c r="A275" i="5"/>
  <c r="H274" i="5"/>
  <c r="G274" i="5"/>
  <c r="F274" i="5"/>
  <c r="E274" i="5"/>
  <c r="D274" i="5"/>
  <c r="C274" i="5"/>
  <c r="B274" i="5"/>
  <c r="A274" i="5"/>
  <c r="M274" i="5" s="1"/>
  <c r="N274" i="5" s="1"/>
  <c r="G273" i="5"/>
  <c r="F273" i="5"/>
  <c r="D273" i="5"/>
  <c r="C273" i="5"/>
  <c r="H273" i="5" s="1"/>
  <c r="B273" i="5"/>
  <c r="A273" i="5"/>
  <c r="M273" i="5" s="1"/>
  <c r="N273" i="5" s="1"/>
  <c r="M272" i="5"/>
  <c r="N272" i="5" s="1"/>
  <c r="D272" i="5"/>
  <c r="C272" i="5"/>
  <c r="B272" i="5"/>
  <c r="A272" i="5"/>
  <c r="M271" i="5"/>
  <c r="N271" i="5" s="1"/>
  <c r="H271" i="5"/>
  <c r="G271" i="5"/>
  <c r="F271" i="5"/>
  <c r="E271" i="5"/>
  <c r="D271" i="5"/>
  <c r="C271" i="5"/>
  <c r="B271" i="5"/>
  <c r="A271" i="5"/>
  <c r="M270" i="5"/>
  <c r="N270" i="5" s="1"/>
  <c r="G270" i="5"/>
  <c r="F270" i="5"/>
  <c r="D270" i="5"/>
  <c r="C270" i="5"/>
  <c r="H270" i="5" s="1"/>
  <c r="B270" i="5"/>
  <c r="A270" i="5"/>
  <c r="D269" i="5"/>
  <c r="C269" i="5"/>
  <c r="H269" i="5" s="1"/>
  <c r="B269" i="5"/>
  <c r="A269" i="5"/>
  <c r="M269" i="5" s="1"/>
  <c r="N269" i="5" s="1"/>
  <c r="H268" i="5"/>
  <c r="G268" i="5"/>
  <c r="F268" i="5"/>
  <c r="E268" i="5"/>
  <c r="D268" i="5"/>
  <c r="C268" i="5"/>
  <c r="B268" i="5"/>
  <c r="A268" i="5"/>
  <c r="M268" i="5" s="1"/>
  <c r="N268" i="5" s="1"/>
  <c r="M267" i="5"/>
  <c r="N267" i="5" s="1"/>
  <c r="G267" i="5"/>
  <c r="F267" i="5"/>
  <c r="D267" i="5"/>
  <c r="C267" i="5"/>
  <c r="H267" i="5" s="1"/>
  <c r="B267" i="5"/>
  <c r="A267" i="5"/>
  <c r="H266" i="5"/>
  <c r="G266" i="5"/>
  <c r="D266" i="5"/>
  <c r="C266" i="5"/>
  <c r="E266" i="5" s="1"/>
  <c r="B266" i="5"/>
  <c r="A266" i="5"/>
  <c r="M266" i="5" s="1"/>
  <c r="N266" i="5" s="1"/>
  <c r="D265" i="5"/>
  <c r="C265" i="5"/>
  <c r="B265" i="5"/>
  <c r="A265" i="5"/>
  <c r="M265" i="5" s="1"/>
  <c r="N265" i="5" s="1"/>
  <c r="M264" i="5"/>
  <c r="N264" i="5" s="1"/>
  <c r="H264" i="5"/>
  <c r="G264" i="5"/>
  <c r="F264" i="5"/>
  <c r="E264" i="5"/>
  <c r="D264" i="5"/>
  <c r="C264" i="5"/>
  <c r="B264" i="5"/>
  <c r="A264" i="5"/>
  <c r="M263" i="5"/>
  <c r="N263" i="5" s="1"/>
  <c r="D263" i="5"/>
  <c r="C263" i="5"/>
  <c r="H263" i="5" s="1"/>
  <c r="B263" i="5"/>
  <c r="A263" i="5"/>
  <c r="D262" i="5"/>
  <c r="C262" i="5"/>
  <c r="B262" i="5"/>
  <c r="A262" i="5"/>
  <c r="M262" i="5" s="1"/>
  <c r="N262" i="5" s="1"/>
  <c r="M261" i="5"/>
  <c r="N261" i="5" s="1"/>
  <c r="H261" i="5"/>
  <c r="G261" i="5"/>
  <c r="F261" i="5"/>
  <c r="E261" i="5"/>
  <c r="D261" i="5"/>
  <c r="C261" i="5"/>
  <c r="B261" i="5"/>
  <c r="A261" i="5"/>
  <c r="H260" i="5"/>
  <c r="G260" i="5"/>
  <c r="F260" i="5"/>
  <c r="E260" i="5"/>
  <c r="D260" i="5"/>
  <c r="C260" i="5"/>
  <c r="B260" i="5"/>
  <c r="A260" i="5"/>
  <c r="M260" i="5" s="1"/>
  <c r="N260" i="5" s="1"/>
  <c r="H259" i="5"/>
  <c r="E259" i="5"/>
  <c r="D259" i="5"/>
  <c r="C259" i="5"/>
  <c r="B259" i="5"/>
  <c r="A259" i="5"/>
  <c r="M259" i="5" s="1"/>
  <c r="N259" i="5" s="1"/>
  <c r="M258" i="5"/>
  <c r="N258" i="5" s="1"/>
  <c r="H258" i="5"/>
  <c r="G258" i="5"/>
  <c r="D258" i="5"/>
  <c r="C258" i="5"/>
  <c r="B258" i="5"/>
  <c r="A258" i="5"/>
  <c r="M257" i="5"/>
  <c r="N257" i="5" s="1"/>
  <c r="F257" i="5"/>
  <c r="D257" i="5"/>
  <c r="C257" i="5"/>
  <c r="B257" i="5"/>
  <c r="A257" i="5"/>
  <c r="M256" i="5"/>
  <c r="N256" i="5" s="1"/>
  <c r="H256" i="5"/>
  <c r="E256" i="5"/>
  <c r="D256" i="5"/>
  <c r="C256" i="5"/>
  <c r="B256" i="5"/>
  <c r="A256" i="5"/>
  <c r="M255" i="5"/>
  <c r="N255" i="5" s="1"/>
  <c r="D255" i="5"/>
  <c r="C255" i="5"/>
  <c r="G255" i="5" s="1"/>
  <c r="B255" i="5"/>
  <c r="A255" i="5"/>
  <c r="M254" i="5"/>
  <c r="N254" i="5" s="1"/>
  <c r="D254" i="5"/>
  <c r="C254" i="5"/>
  <c r="B254" i="5"/>
  <c r="A254" i="5"/>
  <c r="M253" i="5"/>
  <c r="N253" i="5" s="1"/>
  <c r="D253" i="5"/>
  <c r="C253" i="5"/>
  <c r="G253" i="5" s="1"/>
  <c r="B253" i="5"/>
  <c r="A253" i="5"/>
  <c r="M252" i="5"/>
  <c r="N252" i="5" s="1"/>
  <c r="G252" i="5"/>
  <c r="D252" i="5"/>
  <c r="C252" i="5"/>
  <c r="H252" i="5" s="1"/>
  <c r="B252" i="5"/>
  <c r="A252" i="5"/>
  <c r="M251" i="5"/>
  <c r="N251" i="5" s="1"/>
  <c r="D251" i="5"/>
  <c r="C251" i="5"/>
  <c r="B251" i="5"/>
  <c r="A251" i="5"/>
  <c r="M250" i="5"/>
  <c r="N250" i="5" s="1"/>
  <c r="D250" i="5"/>
  <c r="C250" i="5"/>
  <c r="B250" i="5"/>
  <c r="A250" i="5"/>
  <c r="H249" i="5"/>
  <c r="G249" i="5"/>
  <c r="E249" i="5"/>
  <c r="D249" i="5"/>
  <c r="C249" i="5"/>
  <c r="F249" i="5" s="1"/>
  <c r="B249" i="5"/>
  <c r="A249" i="5"/>
  <c r="M249" i="5" s="1"/>
  <c r="N249" i="5" s="1"/>
  <c r="D248" i="5"/>
  <c r="C248" i="5"/>
  <c r="B248" i="5"/>
  <c r="A248" i="5"/>
  <c r="M248" i="5" s="1"/>
  <c r="N248" i="5" s="1"/>
  <c r="M247" i="5"/>
  <c r="N247" i="5" s="1"/>
  <c r="G247" i="5"/>
  <c r="F247" i="5"/>
  <c r="D247" i="5"/>
  <c r="C247" i="5"/>
  <c r="B247" i="5"/>
  <c r="A247" i="5"/>
  <c r="G246" i="5"/>
  <c r="F246" i="5"/>
  <c r="E246" i="5"/>
  <c r="D246" i="5"/>
  <c r="C246" i="5"/>
  <c r="H246" i="5" s="1"/>
  <c r="B246" i="5"/>
  <c r="A246" i="5"/>
  <c r="M246" i="5" s="1"/>
  <c r="N246" i="5" s="1"/>
  <c r="H245" i="5"/>
  <c r="D245" i="5"/>
  <c r="C245" i="5"/>
  <c r="B245" i="5"/>
  <c r="A245" i="5"/>
  <c r="M245" i="5" s="1"/>
  <c r="N245" i="5" s="1"/>
  <c r="F244" i="5"/>
  <c r="D244" i="5"/>
  <c r="C244" i="5"/>
  <c r="B244" i="5"/>
  <c r="A244" i="5"/>
  <c r="M244" i="5" s="1"/>
  <c r="N244" i="5" s="1"/>
  <c r="H243" i="5"/>
  <c r="G243" i="5"/>
  <c r="F243" i="5"/>
  <c r="E243" i="5"/>
  <c r="D243" i="5"/>
  <c r="C243" i="5"/>
  <c r="B243" i="5"/>
  <c r="A243" i="5"/>
  <c r="M243" i="5" s="1"/>
  <c r="N243" i="5" s="1"/>
  <c r="H242" i="5"/>
  <c r="D242" i="5"/>
  <c r="C242" i="5"/>
  <c r="B242" i="5"/>
  <c r="A242" i="5"/>
  <c r="M242" i="5" s="1"/>
  <c r="N242" i="5" s="1"/>
  <c r="H241" i="5"/>
  <c r="F241" i="5"/>
  <c r="E241" i="5"/>
  <c r="D241" i="5"/>
  <c r="C241" i="5"/>
  <c r="G241" i="5" s="1"/>
  <c r="B241" i="5"/>
  <c r="A241" i="5"/>
  <c r="M241" i="5" s="1"/>
  <c r="N241" i="5" s="1"/>
  <c r="G240" i="5"/>
  <c r="D240" i="5"/>
  <c r="C240" i="5"/>
  <c r="E240" i="5" s="1"/>
  <c r="B240" i="5"/>
  <c r="A240" i="5"/>
  <c r="M240" i="5" s="1"/>
  <c r="N240" i="5" s="1"/>
  <c r="G239" i="5"/>
  <c r="F239" i="5"/>
  <c r="D239" i="5"/>
  <c r="C239" i="5"/>
  <c r="H239" i="5" s="1"/>
  <c r="B239" i="5"/>
  <c r="A239" i="5"/>
  <c r="M239" i="5" s="1"/>
  <c r="N239" i="5" s="1"/>
  <c r="H238" i="5"/>
  <c r="G238" i="5"/>
  <c r="E238" i="5"/>
  <c r="D238" i="5"/>
  <c r="C238" i="5"/>
  <c r="F238" i="5" s="1"/>
  <c r="B238" i="5"/>
  <c r="A238" i="5"/>
  <c r="M238" i="5" s="1"/>
  <c r="N238" i="5" s="1"/>
  <c r="G237" i="5"/>
  <c r="E237" i="5"/>
  <c r="D237" i="5"/>
  <c r="C237" i="5"/>
  <c r="B237" i="5"/>
  <c r="A237" i="5"/>
  <c r="M237" i="5" s="1"/>
  <c r="N237" i="5" s="1"/>
  <c r="M236" i="5"/>
  <c r="N236" i="5" s="1"/>
  <c r="H236" i="5"/>
  <c r="G236" i="5"/>
  <c r="F236" i="5"/>
  <c r="E236" i="5"/>
  <c r="D236" i="5"/>
  <c r="C236" i="5"/>
  <c r="B236" i="5"/>
  <c r="A236" i="5"/>
  <c r="G235" i="5"/>
  <c r="D235" i="5"/>
  <c r="C235" i="5"/>
  <c r="B235" i="5"/>
  <c r="A235" i="5"/>
  <c r="M235" i="5" s="1"/>
  <c r="N235" i="5" s="1"/>
  <c r="E234" i="5"/>
  <c r="D234" i="5"/>
  <c r="C234" i="5"/>
  <c r="B234" i="5"/>
  <c r="A234" i="5"/>
  <c r="M234" i="5" s="1"/>
  <c r="N234" i="5" s="1"/>
  <c r="M233" i="5"/>
  <c r="N233" i="5" s="1"/>
  <c r="H233" i="5"/>
  <c r="G233" i="5"/>
  <c r="F233" i="5"/>
  <c r="E233" i="5"/>
  <c r="D233" i="5"/>
  <c r="C233" i="5"/>
  <c r="B233" i="5"/>
  <c r="A233" i="5"/>
  <c r="M232" i="5"/>
  <c r="N232" i="5" s="1"/>
  <c r="D232" i="5"/>
  <c r="C232" i="5"/>
  <c r="G232" i="5" s="1"/>
  <c r="B232" i="5"/>
  <c r="A232" i="5"/>
  <c r="D231" i="5"/>
  <c r="C231" i="5"/>
  <c r="B231" i="5"/>
  <c r="A231" i="5"/>
  <c r="M231" i="5" s="1"/>
  <c r="N231" i="5" s="1"/>
  <c r="H230" i="5"/>
  <c r="G230" i="5"/>
  <c r="F230" i="5"/>
  <c r="E230" i="5"/>
  <c r="D230" i="5"/>
  <c r="C230" i="5"/>
  <c r="B230" i="5"/>
  <c r="A230" i="5"/>
  <c r="M230" i="5" s="1"/>
  <c r="N230" i="5" s="1"/>
  <c r="G229" i="5"/>
  <c r="D229" i="5"/>
  <c r="C229" i="5"/>
  <c r="E229" i="5" s="1"/>
  <c r="B229" i="5"/>
  <c r="A229" i="5"/>
  <c r="M229" i="5" s="1"/>
  <c r="N229" i="5" s="1"/>
  <c r="D228" i="5"/>
  <c r="C228" i="5"/>
  <c r="B228" i="5"/>
  <c r="A228" i="5"/>
  <c r="M228" i="5" s="1"/>
  <c r="N228" i="5" s="1"/>
  <c r="H227" i="5"/>
  <c r="G227" i="5"/>
  <c r="F227" i="5"/>
  <c r="E227" i="5"/>
  <c r="D227" i="5"/>
  <c r="C227" i="5"/>
  <c r="B227" i="5"/>
  <c r="A227" i="5"/>
  <c r="M227" i="5" s="1"/>
  <c r="N227" i="5" s="1"/>
  <c r="H226" i="5"/>
  <c r="G226" i="5"/>
  <c r="D226" i="5"/>
  <c r="C226" i="5"/>
  <c r="E226" i="5" s="1"/>
  <c r="B226" i="5"/>
  <c r="A226" i="5"/>
  <c r="M226" i="5" s="1"/>
  <c r="N226" i="5" s="1"/>
  <c r="D225" i="5"/>
  <c r="C225" i="5"/>
  <c r="B225" i="5"/>
  <c r="A225" i="5"/>
  <c r="M225" i="5" s="1"/>
  <c r="N225" i="5" s="1"/>
  <c r="H224" i="5"/>
  <c r="G224" i="5"/>
  <c r="F224" i="5"/>
  <c r="E224" i="5"/>
  <c r="D224" i="5"/>
  <c r="C224" i="5"/>
  <c r="B224" i="5"/>
  <c r="A224" i="5"/>
  <c r="M224" i="5" s="1"/>
  <c r="N224" i="5" s="1"/>
  <c r="D223" i="5"/>
  <c r="C223" i="5"/>
  <c r="E223" i="5" s="1"/>
  <c r="B223" i="5"/>
  <c r="A223" i="5"/>
  <c r="M223" i="5" s="1"/>
  <c r="N223" i="5" s="1"/>
  <c r="D222" i="5"/>
  <c r="C222" i="5"/>
  <c r="B222" i="5"/>
  <c r="A222" i="5"/>
  <c r="M222" i="5" s="1"/>
  <c r="N222" i="5" s="1"/>
  <c r="M221" i="5"/>
  <c r="N221" i="5" s="1"/>
  <c r="D221" i="5"/>
  <c r="C221" i="5"/>
  <c r="H221" i="5" s="1"/>
  <c r="B221" i="5"/>
  <c r="A221" i="5"/>
  <c r="M220" i="5"/>
  <c r="N220" i="5" s="1"/>
  <c r="G220" i="5"/>
  <c r="D220" i="5"/>
  <c r="C220" i="5"/>
  <c r="H220" i="5" s="1"/>
  <c r="B220" i="5"/>
  <c r="A220" i="5"/>
  <c r="D219" i="5"/>
  <c r="C219" i="5"/>
  <c r="H219" i="5" s="1"/>
  <c r="B219" i="5"/>
  <c r="A219" i="5"/>
  <c r="M219" i="5" s="1"/>
  <c r="N219" i="5" s="1"/>
  <c r="M218" i="5"/>
  <c r="N218" i="5" s="1"/>
  <c r="D218" i="5"/>
  <c r="C218" i="5"/>
  <c r="B218" i="5"/>
  <c r="A218" i="5"/>
  <c r="M217" i="5"/>
  <c r="N217" i="5" s="1"/>
  <c r="H217" i="5"/>
  <c r="G217" i="5"/>
  <c r="F217" i="5"/>
  <c r="E217" i="5"/>
  <c r="D217" i="5"/>
  <c r="C217" i="5"/>
  <c r="B217" i="5"/>
  <c r="A217" i="5"/>
  <c r="H216" i="5"/>
  <c r="D216" i="5"/>
  <c r="C216" i="5"/>
  <c r="B216" i="5"/>
  <c r="A216" i="5"/>
  <c r="M216" i="5" s="1"/>
  <c r="N216" i="5" s="1"/>
  <c r="M215" i="5"/>
  <c r="N215" i="5" s="1"/>
  <c r="G215" i="5"/>
  <c r="E215" i="5"/>
  <c r="D215" i="5"/>
  <c r="C215" i="5"/>
  <c r="B215" i="5"/>
  <c r="A215" i="5"/>
  <c r="M214" i="5"/>
  <c r="N214" i="5" s="1"/>
  <c r="H214" i="5"/>
  <c r="G214" i="5"/>
  <c r="D214" i="5"/>
  <c r="C214" i="5"/>
  <c r="F214" i="5" s="1"/>
  <c r="B214" i="5"/>
  <c r="A214" i="5"/>
  <c r="H213" i="5"/>
  <c r="D213" i="5"/>
  <c r="C213" i="5"/>
  <c r="B213" i="5"/>
  <c r="A213" i="5"/>
  <c r="M213" i="5" s="1"/>
  <c r="N213" i="5" s="1"/>
  <c r="M212" i="5"/>
  <c r="N212" i="5" s="1"/>
  <c r="E212" i="5"/>
  <c r="D212" i="5"/>
  <c r="C212" i="5"/>
  <c r="B212" i="5"/>
  <c r="A212" i="5"/>
  <c r="M211" i="5"/>
  <c r="N211" i="5" s="1"/>
  <c r="G211" i="5"/>
  <c r="E211" i="5"/>
  <c r="D211" i="5"/>
  <c r="C211" i="5"/>
  <c r="H211" i="5" s="1"/>
  <c r="B211" i="5"/>
  <c r="A211" i="5"/>
  <c r="D210" i="5"/>
  <c r="C210" i="5"/>
  <c r="H210" i="5" s="1"/>
  <c r="B210" i="5"/>
  <c r="A210" i="5"/>
  <c r="M210" i="5" s="1"/>
  <c r="N210" i="5" s="1"/>
  <c r="M209" i="5"/>
  <c r="N209" i="5" s="1"/>
  <c r="D209" i="5"/>
  <c r="C209" i="5"/>
  <c r="B209" i="5"/>
  <c r="A209" i="5"/>
  <c r="H208" i="5"/>
  <c r="G208" i="5"/>
  <c r="F208" i="5"/>
  <c r="E208" i="5"/>
  <c r="D208" i="5"/>
  <c r="C208" i="5"/>
  <c r="B208" i="5"/>
  <c r="A208" i="5"/>
  <c r="M208" i="5" s="1"/>
  <c r="N208" i="5" s="1"/>
  <c r="G207" i="5"/>
  <c r="D207" i="5"/>
  <c r="C207" i="5"/>
  <c r="B207" i="5"/>
  <c r="A207" i="5"/>
  <c r="M207" i="5" s="1"/>
  <c r="N207" i="5" s="1"/>
  <c r="M206" i="5"/>
  <c r="N206" i="5" s="1"/>
  <c r="G206" i="5"/>
  <c r="F206" i="5"/>
  <c r="E206" i="5"/>
  <c r="D206" i="5"/>
  <c r="C206" i="5"/>
  <c r="H206" i="5" s="1"/>
  <c r="B206" i="5"/>
  <c r="A206" i="5"/>
  <c r="H205" i="5"/>
  <c r="G205" i="5"/>
  <c r="F205" i="5"/>
  <c r="D205" i="5"/>
  <c r="C205" i="5"/>
  <c r="E205" i="5" s="1"/>
  <c r="B205" i="5"/>
  <c r="A205" i="5"/>
  <c r="M205" i="5" s="1"/>
  <c r="N205" i="5" s="1"/>
  <c r="G204" i="5"/>
  <c r="D204" i="5"/>
  <c r="C204" i="5"/>
  <c r="B204" i="5"/>
  <c r="A204" i="5"/>
  <c r="M204" i="5" s="1"/>
  <c r="N204" i="5" s="1"/>
  <c r="H203" i="5"/>
  <c r="G203" i="5"/>
  <c r="F203" i="5"/>
  <c r="E203" i="5"/>
  <c r="D203" i="5"/>
  <c r="C203" i="5"/>
  <c r="B203" i="5"/>
  <c r="A203" i="5"/>
  <c r="M203" i="5" s="1"/>
  <c r="N203" i="5" s="1"/>
  <c r="D202" i="5"/>
  <c r="C202" i="5"/>
  <c r="E202" i="5" s="1"/>
  <c r="B202" i="5"/>
  <c r="A202" i="5"/>
  <c r="M202" i="5" s="1"/>
  <c r="N202" i="5" s="1"/>
  <c r="H201" i="5"/>
  <c r="G201" i="5"/>
  <c r="F201" i="5"/>
  <c r="E201" i="5"/>
  <c r="D201" i="5"/>
  <c r="C201" i="5"/>
  <c r="B201" i="5"/>
  <c r="A201" i="5"/>
  <c r="M201" i="5" s="1"/>
  <c r="N201" i="5" s="1"/>
  <c r="M200" i="5"/>
  <c r="N200" i="5" s="1"/>
  <c r="H200" i="5"/>
  <c r="G200" i="5"/>
  <c r="E200" i="5"/>
  <c r="D200" i="5"/>
  <c r="C200" i="5"/>
  <c r="F200" i="5" s="1"/>
  <c r="B200" i="5"/>
  <c r="A200" i="5"/>
  <c r="F199" i="5"/>
  <c r="D199" i="5"/>
  <c r="C199" i="5"/>
  <c r="B199" i="5"/>
  <c r="A199" i="5"/>
  <c r="M199" i="5" s="1"/>
  <c r="N199" i="5" s="1"/>
  <c r="M198" i="5"/>
  <c r="N198" i="5" s="1"/>
  <c r="H198" i="5"/>
  <c r="G198" i="5"/>
  <c r="F198" i="5"/>
  <c r="E198" i="5"/>
  <c r="D198" i="5"/>
  <c r="C198" i="5"/>
  <c r="B198" i="5"/>
  <c r="A198" i="5"/>
  <c r="M197" i="5"/>
  <c r="N197" i="5" s="1"/>
  <c r="D197" i="5"/>
  <c r="C197" i="5"/>
  <c r="B197" i="5"/>
  <c r="A197" i="5"/>
  <c r="D196" i="5"/>
  <c r="C196" i="5"/>
  <c r="E196" i="5" s="1"/>
  <c r="B196" i="5"/>
  <c r="A196" i="5"/>
  <c r="M196" i="5" s="1"/>
  <c r="N196" i="5" s="1"/>
  <c r="H195" i="5"/>
  <c r="G195" i="5"/>
  <c r="F195" i="5"/>
  <c r="E195" i="5"/>
  <c r="D195" i="5"/>
  <c r="C195" i="5"/>
  <c r="B195" i="5"/>
  <c r="A195" i="5"/>
  <c r="M195" i="5" s="1"/>
  <c r="N195" i="5" s="1"/>
  <c r="M194" i="5"/>
  <c r="N194" i="5" s="1"/>
  <c r="G194" i="5"/>
  <c r="F194" i="5"/>
  <c r="E194" i="5"/>
  <c r="D194" i="5"/>
  <c r="C194" i="5"/>
  <c r="H194" i="5" s="1"/>
  <c r="B194" i="5"/>
  <c r="A194" i="5"/>
  <c r="M193" i="5"/>
  <c r="N193" i="5" s="1"/>
  <c r="D193" i="5"/>
  <c r="C193" i="5"/>
  <c r="B193" i="5"/>
  <c r="A193" i="5"/>
  <c r="M192" i="5"/>
  <c r="N192" i="5" s="1"/>
  <c r="G192" i="5"/>
  <c r="F192" i="5"/>
  <c r="D192" i="5"/>
  <c r="C192" i="5"/>
  <c r="B192" i="5"/>
  <c r="A192" i="5"/>
  <c r="M191" i="5"/>
  <c r="N191" i="5" s="1"/>
  <c r="D191" i="5"/>
  <c r="C191" i="5"/>
  <c r="B191" i="5"/>
  <c r="A191" i="5"/>
  <c r="M190" i="5"/>
  <c r="N190" i="5" s="1"/>
  <c r="D190" i="5"/>
  <c r="C190" i="5"/>
  <c r="B190" i="5"/>
  <c r="A190" i="5"/>
  <c r="M189" i="5"/>
  <c r="N189" i="5" s="1"/>
  <c r="H189" i="5"/>
  <c r="G189" i="5"/>
  <c r="F189" i="5"/>
  <c r="E189" i="5"/>
  <c r="D189" i="5"/>
  <c r="C189" i="5"/>
  <c r="B189" i="5"/>
  <c r="A189" i="5"/>
  <c r="M188" i="5"/>
  <c r="N188" i="5" s="1"/>
  <c r="H188" i="5"/>
  <c r="G188" i="5"/>
  <c r="E188" i="5"/>
  <c r="D188" i="5"/>
  <c r="C188" i="5"/>
  <c r="F188" i="5" s="1"/>
  <c r="B188" i="5"/>
  <c r="A188" i="5"/>
  <c r="G187" i="5"/>
  <c r="D187" i="5"/>
  <c r="C187" i="5"/>
  <c r="B187" i="5"/>
  <c r="A187" i="5"/>
  <c r="M187" i="5" s="1"/>
  <c r="N187" i="5" s="1"/>
  <c r="M186" i="5"/>
  <c r="N186" i="5" s="1"/>
  <c r="H186" i="5"/>
  <c r="G186" i="5"/>
  <c r="E186" i="5"/>
  <c r="D186" i="5"/>
  <c r="C186" i="5"/>
  <c r="F186" i="5" s="1"/>
  <c r="B186" i="5"/>
  <c r="A186" i="5"/>
  <c r="M185" i="5"/>
  <c r="N185" i="5" s="1"/>
  <c r="H185" i="5"/>
  <c r="G185" i="5"/>
  <c r="F185" i="5"/>
  <c r="E185" i="5"/>
  <c r="D185" i="5"/>
  <c r="C185" i="5"/>
  <c r="B185" i="5"/>
  <c r="A185" i="5"/>
  <c r="D184" i="5"/>
  <c r="C184" i="5"/>
  <c r="B184" i="5"/>
  <c r="A184" i="5"/>
  <c r="M184" i="5" s="1"/>
  <c r="N184" i="5" s="1"/>
  <c r="M183" i="5"/>
  <c r="N183" i="5" s="1"/>
  <c r="E183" i="5"/>
  <c r="D183" i="5"/>
  <c r="C183" i="5"/>
  <c r="B183" i="5"/>
  <c r="A183" i="5"/>
  <c r="M182" i="5"/>
  <c r="N182" i="5" s="1"/>
  <c r="H182" i="5"/>
  <c r="G182" i="5"/>
  <c r="F182" i="5"/>
  <c r="E182" i="5"/>
  <c r="D182" i="5"/>
  <c r="C182" i="5"/>
  <c r="B182" i="5"/>
  <c r="A182" i="5"/>
  <c r="H181" i="5"/>
  <c r="G181" i="5"/>
  <c r="D181" i="5"/>
  <c r="C181" i="5"/>
  <c r="B181" i="5"/>
  <c r="A181" i="5"/>
  <c r="M181" i="5" s="1"/>
  <c r="N181" i="5" s="1"/>
  <c r="M180" i="5"/>
  <c r="N180" i="5" s="1"/>
  <c r="H180" i="5"/>
  <c r="G180" i="5"/>
  <c r="F180" i="5"/>
  <c r="D180" i="5"/>
  <c r="C180" i="5"/>
  <c r="E180" i="5" s="1"/>
  <c r="B180" i="5"/>
  <c r="A180" i="5"/>
  <c r="H179" i="5"/>
  <c r="G179" i="5"/>
  <c r="E179" i="5"/>
  <c r="D179" i="5"/>
  <c r="C179" i="5"/>
  <c r="F179" i="5" s="1"/>
  <c r="B179" i="5"/>
  <c r="A179" i="5"/>
  <c r="M179" i="5" s="1"/>
  <c r="N179" i="5" s="1"/>
  <c r="H178" i="5"/>
  <c r="G178" i="5"/>
  <c r="F178" i="5"/>
  <c r="E178" i="5"/>
  <c r="D178" i="5"/>
  <c r="C178" i="5"/>
  <c r="B178" i="5"/>
  <c r="A178" i="5"/>
  <c r="M178" i="5" s="1"/>
  <c r="N178" i="5" s="1"/>
  <c r="G177" i="5"/>
  <c r="D177" i="5"/>
  <c r="C177" i="5"/>
  <c r="H177" i="5" s="1"/>
  <c r="B177" i="5"/>
  <c r="A177" i="5"/>
  <c r="M177" i="5" s="1"/>
  <c r="N177" i="5" s="1"/>
  <c r="M176" i="5"/>
  <c r="N176" i="5" s="1"/>
  <c r="D176" i="5"/>
  <c r="C176" i="5"/>
  <c r="B176" i="5"/>
  <c r="A176" i="5"/>
  <c r="H175" i="5"/>
  <c r="G175" i="5"/>
  <c r="F175" i="5"/>
  <c r="E175" i="5"/>
  <c r="D175" i="5"/>
  <c r="C175" i="5"/>
  <c r="B175" i="5"/>
  <c r="A175" i="5"/>
  <c r="M175" i="5" s="1"/>
  <c r="N175" i="5" s="1"/>
  <c r="M174" i="5"/>
  <c r="N174" i="5" s="1"/>
  <c r="H174" i="5"/>
  <c r="F174" i="5"/>
  <c r="D174" i="5"/>
  <c r="C174" i="5"/>
  <c r="B174" i="5"/>
  <c r="A174" i="5"/>
  <c r="M173" i="5"/>
  <c r="N173" i="5" s="1"/>
  <c r="F173" i="5"/>
  <c r="E173" i="5"/>
  <c r="D173" i="5"/>
  <c r="C173" i="5"/>
  <c r="B173" i="5"/>
  <c r="A173" i="5"/>
  <c r="M172" i="5"/>
  <c r="N172" i="5" s="1"/>
  <c r="H172" i="5"/>
  <c r="G172" i="5"/>
  <c r="E172" i="5"/>
  <c r="D172" i="5"/>
  <c r="C172" i="5"/>
  <c r="F172" i="5" s="1"/>
  <c r="B172" i="5"/>
  <c r="A172" i="5"/>
  <c r="M171" i="5"/>
  <c r="N171" i="5" s="1"/>
  <c r="D171" i="5"/>
  <c r="C171" i="5"/>
  <c r="G171" i="5" s="1"/>
  <c r="B171" i="5"/>
  <c r="A171" i="5"/>
  <c r="D170" i="5"/>
  <c r="C170" i="5"/>
  <c r="B170" i="5"/>
  <c r="A170" i="5"/>
  <c r="M170" i="5" s="1"/>
  <c r="N170" i="5" s="1"/>
  <c r="G169" i="5"/>
  <c r="F169" i="5"/>
  <c r="E169" i="5"/>
  <c r="D169" i="5"/>
  <c r="C169" i="5"/>
  <c r="H169" i="5" s="1"/>
  <c r="B169" i="5"/>
  <c r="A169" i="5"/>
  <c r="M169" i="5" s="1"/>
  <c r="N169" i="5" s="1"/>
  <c r="M168" i="5"/>
  <c r="N168" i="5" s="1"/>
  <c r="H168" i="5"/>
  <c r="G168" i="5"/>
  <c r="F168" i="5"/>
  <c r="D168" i="5"/>
  <c r="C168" i="5"/>
  <c r="E168" i="5" s="1"/>
  <c r="B168" i="5"/>
  <c r="A168" i="5"/>
  <c r="G167" i="5"/>
  <c r="D167" i="5"/>
  <c r="C167" i="5"/>
  <c r="H167" i="5" s="1"/>
  <c r="B167" i="5"/>
  <c r="A167" i="5"/>
  <c r="M167" i="5" s="1"/>
  <c r="N167" i="5" s="1"/>
  <c r="M166" i="5"/>
  <c r="N166" i="5" s="1"/>
  <c r="H166" i="5"/>
  <c r="G166" i="5"/>
  <c r="F166" i="5"/>
  <c r="E166" i="5"/>
  <c r="D166" i="5"/>
  <c r="C166" i="5"/>
  <c r="B166" i="5"/>
  <c r="A166" i="5"/>
  <c r="D165" i="5"/>
  <c r="C165" i="5"/>
  <c r="B165" i="5"/>
  <c r="A165" i="5"/>
  <c r="M165" i="5" s="1"/>
  <c r="N165" i="5" s="1"/>
  <c r="G164" i="5"/>
  <c r="E164" i="5"/>
  <c r="D164" i="5"/>
  <c r="C164" i="5"/>
  <c r="H164" i="5" s="1"/>
  <c r="B164" i="5"/>
  <c r="A164" i="5"/>
  <c r="M164" i="5" s="1"/>
  <c r="N164" i="5" s="1"/>
  <c r="M163" i="5"/>
  <c r="N163" i="5" s="1"/>
  <c r="F163" i="5"/>
  <c r="D163" i="5"/>
  <c r="C163" i="5"/>
  <c r="B163" i="5"/>
  <c r="A163" i="5"/>
  <c r="M162" i="5"/>
  <c r="N162" i="5" s="1"/>
  <c r="G162" i="5"/>
  <c r="F162" i="5"/>
  <c r="E162" i="5"/>
  <c r="D162" i="5"/>
  <c r="C162" i="5"/>
  <c r="H162" i="5" s="1"/>
  <c r="B162" i="5"/>
  <c r="A162" i="5"/>
  <c r="H161" i="5"/>
  <c r="G161" i="5"/>
  <c r="F161" i="5"/>
  <c r="E161" i="5"/>
  <c r="D161" i="5"/>
  <c r="C161" i="5"/>
  <c r="B161" i="5"/>
  <c r="A161" i="5"/>
  <c r="M161" i="5" s="1"/>
  <c r="N161" i="5" s="1"/>
  <c r="D160" i="5"/>
  <c r="C160" i="5"/>
  <c r="B160" i="5"/>
  <c r="A160" i="5"/>
  <c r="M160" i="5" s="1"/>
  <c r="N160" i="5" s="1"/>
  <c r="M159" i="5"/>
  <c r="N159" i="5" s="1"/>
  <c r="D159" i="5"/>
  <c r="C159" i="5"/>
  <c r="G159" i="5" s="1"/>
  <c r="B159" i="5"/>
  <c r="A159" i="5"/>
  <c r="D158" i="5"/>
  <c r="C158" i="5"/>
  <c r="B158" i="5"/>
  <c r="A158" i="5"/>
  <c r="M158" i="5" s="1"/>
  <c r="N158" i="5" s="1"/>
  <c r="D157" i="5"/>
  <c r="C157" i="5"/>
  <c r="B157" i="5"/>
  <c r="A157" i="5"/>
  <c r="M157" i="5" s="1"/>
  <c r="N157" i="5" s="1"/>
  <c r="M156" i="5"/>
  <c r="N156" i="5" s="1"/>
  <c r="D156" i="5"/>
  <c r="C156" i="5"/>
  <c r="G156" i="5" s="1"/>
  <c r="B156" i="5"/>
  <c r="A156" i="5"/>
  <c r="G155" i="5"/>
  <c r="F155" i="5"/>
  <c r="E155" i="5"/>
  <c r="D155" i="5"/>
  <c r="C155" i="5"/>
  <c r="H155" i="5" s="1"/>
  <c r="B155" i="5"/>
  <c r="A155" i="5"/>
  <c r="M155" i="5" s="1"/>
  <c r="N155" i="5" s="1"/>
  <c r="M154" i="5"/>
  <c r="N154" i="5" s="1"/>
  <c r="H154" i="5"/>
  <c r="E154" i="5"/>
  <c r="D154" i="5"/>
  <c r="C154" i="5"/>
  <c r="B154" i="5"/>
  <c r="A154" i="5"/>
  <c r="H153" i="5"/>
  <c r="G153" i="5"/>
  <c r="F153" i="5"/>
  <c r="E153" i="5"/>
  <c r="D153" i="5"/>
  <c r="C153" i="5"/>
  <c r="B153" i="5"/>
  <c r="A153" i="5"/>
  <c r="M153" i="5" s="1"/>
  <c r="N153" i="5" s="1"/>
  <c r="M152" i="5"/>
  <c r="N152" i="5" s="1"/>
  <c r="D152" i="5"/>
  <c r="C152" i="5"/>
  <c r="B152" i="5"/>
  <c r="A152" i="5"/>
  <c r="M151" i="5"/>
  <c r="N151" i="5" s="1"/>
  <c r="D151" i="5"/>
  <c r="C151" i="5"/>
  <c r="B151" i="5"/>
  <c r="A151" i="5"/>
  <c r="H150" i="5"/>
  <c r="G150" i="5"/>
  <c r="F150" i="5"/>
  <c r="E150" i="5"/>
  <c r="D150" i="5"/>
  <c r="C150" i="5"/>
  <c r="B150" i="5"/>
  <c r="A150" i="5"/>
  <c r="M150" i="5" s="1"/>
  <c r="N150" i="5" s="1"/>
  <c r="H149" i="5"/>
  <c r="G149" i="5"/>
  <c r="F149" i="5"/>
  <c r="D149" i="5"/>
  <c r="C149" i="5"/>
  <c r="E149" i="5" s="1"/>
  <c r="B149" i="5"/>
  <c r="A149" i="5"/>
  <c r="M149" i="5" s="1"/>
  <c r="N149" i="5" s="1"/>
  <c r="D148" i="5"/>
  <c r="C148" i="5"/>
  <c r="B148" i="5"/>
  <c r="A148" i="5"/>
  <c r="M148" i="5" s="1"/>
  <c r="N148" i="5" s="1"/>
  <c r="M147" i="5"/>
  <c r="N147" i="5" s="1"/>
  <c r="H147" i="5"/>
  <c r="G147" i="5"/>
  <c r="F147" i="5"/>
  <c r="E147" i="5"/>
  <c r="D147" i="5"/>
  <c r="C147" i="5"/>
  <c r="B147" i="5"/>
  <c r="A147" i="5"/>
  <c r="M146" i="5"/>
  <c r="N146" i="5" s="1"/>
  <c r="H146" i="5"/>
  <c r="G146" i="5"/>
  <c r="F146" i="5"/>
  <c r="E146" i="5"/>
  <c r="D146" i="5"/>
  <c r="C146" i="5"/>
  <c r="B146" i="5"/>
  <c r="A146" i="5"/>
  <c r="F145" i="5"/>
  <c r="E145" i="5"/>
  <c r="D145" i="5"/>
  <c r="C145" i="5"/>
  <c r="H145" i="5" s="1"/>
  <c r="B145" i="5"/>
  <c r="A145" i="5"/>
  <c r="M145" i="5" s="1"/>
  <c r="N145" i="5" s="1"/>
  <c r="M144" i="5"/>
  <c r="N144" i="5" s="1"/>
  <c r="H144" i="5"/>
  <c r="G144" i="5"/>
  <c r="E144" i="5"/>
  <c r="D144" i="5"/>
  <c r="C144" i="5"/>
  <c r="F144" i="5" s="1"/>
  <c r="B144" i="5"/>
  <c r="A144" i="5"/>
  <c r="H143" i="5"/>
  <c r="G143" i="5"/>
  <c r="F143" i="5"/>
  <c r="E143" i="5"/>
  <c r="D143" i="5"/>
  <c r="C143" i="5"/>
  <c r="B143" i="5"/>
  <c r="A143" i="5"/>
  <c r="M143" i="5" s="1"/>
  <c r="N143" i="5" s="1"/>
  <c r="G142" i="5"/>
  <c r="E142" i="5"/>
  <c r="D142" i="5"/>
  <c r="C142" i="5"/>
  <c r="H142" i="5" s="1"/>
  <c r="B142" i="5"/>
  <c r="A142" i="5"/>
  <c r="M142" i="5" s="1"/>
  <c r="N142" i="5" s="1"/>
  <c r="F141" i="5"/>
  <c r="D141" i="5"/>
  <c r="C141" i="5"/>
  <c r="G141" i="5" s="1"/>
  <c r="B141" i="5"/>
  <c r="A141" i="5"/>
  <c r="M141" i="5" s="1"/>
  <c r="N141" i="5" s="1"/>
  <c r="M140" i="5"/>
  <c r="N140" i="5" s="1"/>
  <c r="F140" i="5"/>
  <c r="D140" i="5"/>
  <c r="C140" i="5"/>
  <c r="G140" i="5" s="1"/>
  <c r="B140" i="5"/>
  <c r="A140" i="5"/>
  <c r="H139" i="5"/>
  <c r="G139" i="5"/>
  <c r="F139" i="5"/>
  <c r="E139" i="5"/>
  <c r="D139" i="5"/>
  <c r="C139" i="5"/>
  <c r="B139" i="5"/>
  <c r="A139" i="5"/>
  <c r="M139" i="5" s="1"/>
  <c r="N139" i="5" s="1"/>
  <c r="D138" i="5"/>
  <c r="C138" i="5"/>
  <c r="B138" i="5"/>
  <c r="A138" i="5"/>
  <c r="M138" i="5" s="1"/>
  <c r="N138" i="5" s="1"/>
  <c r="M137" i="5"/>
  <c r="N137" i="5" s="1"/>
  <c r="G137" i="5"/>
  <c r="E137" i="5"/>
  <c r="D137" i="5"/>
  <c r="C137" i="5"/>
  <c r="B137" i="5"/>
  <c r="A137" i="5"/>
  <c r="H136" i="5"/>
  <c r="G136" i="5"/>
  <c r="F136" i="5"/>
  <c r="E136" i="5"/>
  <c r="D136" i="5"/>
  <c r="C136" i="5"/>
  <c r="B136" i="5"/>
  <c r="A136" i="5"/>
  <c r="M136" i="5" s="1"/>
  <c r="N136" i="5" s="1"/>
  <c r="D135" i="5"/>
  <c r="C135" i="5"/>
  <c r="B135" i="5"/>
  <c r="A135" i="5"/>
  <c r="M135" i="5" s="1"/>
  <c r="N135" i="5" s="1"/>
  <c r="M134" i="5"/>
  <c r="N134" i="5" s="1"/>
  <c r="F134" i="5"/>
  <c r="D134" i="5"/>
  <c r="C134" i="5"/>
  <c r="G134" i="5" s="1"/>
  <c r="B134" i="5"/>
  <c r="A134" i="5"/>
  <c r="M133" i="5"/>
  <c r="N133" i="5" s="1"/>
  <c r="D133" i="5"/>
  <c r="C133" i="5"/>
  <c r="B133" i="5"/>
  <c r="A133" i="5"/>
  <c r="F132" i="5"/>
  <c r="E132" i="5"/>
  <c r="D132" i="5"/>
  <c r="C132" i="5"/>
  <c r="B132" i="5"/>
  <c r="A132" i="5"/>
  <c r="M132" i="5" s="1"/>
  <c r="N132" i="5" s="1"/>
  <c r="H131" i="5"/>
  <c r="G131" i="5"/>
  <c r="F131" i="5"/>
  <c r="E131" i="5"/>
  <c r="D131" i="5"/>
  <c r="C131" i="5"/>
  <c r="B131" i="5"/>
  <c r="A131" i="5"/>
  <c r="M131" i="5" s="1"/>
  <c r="N131" i="5" s="1"/>
  <c r="M130" i="5"/>
  <c r="N130" i="5" s="1"/>
  <c r="H130" i="5"/>
  <c r="E130" i="5"/>
  <c r="D130" i="5"/>
  <c r="C130" i="5"/>
  <c r="F130" i="5" s="1"/>
  <c r="B130" i="5"/>
  <c r="A130" i="5"/>
  <c r="M129" i="5"/>
  <c r="N129" i="5" s="1"/>
  <c r="F129" i="5"/>
  <c r="E129" i="5"/>
  <c r="D129" i="5"/>
  <c r="C129" i="5"/>
  <c r="B129" i="5"/>
  <c r="A129" i="5"/>
  <c r="H128" i="5"/>
  <c r="G128" i="5"/>
  <c r="F128" i="5"/>
  <c r="E128" i="5"/>
  <c r="D128" i="5"/>
  <c r="C128" i="5"/>
  <c r="B128" i="5"/>
  <c r="A128" i="5"/>
  <c r="M128" i="5" s="1"/>
  <c r="N128" i="5" s="1"/>
  <c r="G127" i="5"/>
  <c r="F127" i="5"/>
  <c r="D127" i="5"/>
  <c r="C127" i="5"/>
  <c r="B127" i="5"/>
  <c r="A127" i="5"/>
  <c r="M127" i="5" s="1"/>
  <c r="N127" i="5" s="1"/>
  <c r="E126" i="5"/>
  <c r="D126" i="5"/>
  <c r="C126" i="5"/>
  <c r="B126" i="5"/>
  <c r="A126" i="5"/>
  <c r="M126" i="5" s="1"/>
  <c r="N126" i="5" s="1"/>
  <c r="M125" i="5"/>
  <c r="N125" i="5" s="1"/>
  <c r="D125" i="5"/>
  <c r="C125" i="5"/>
  <c r="B125" i="5"/>
  <c r="A125" i="5"/>
  <c r="M124" i="5"/>
  <c r="N124" i="5" s="1"/>
  <c r="H124" i="5"/>
  <c r="G124" i="5"/>
  <c r="F124" i="5"/>
  <c r="E124" i="5"/>
  <c r="D124" i="5"/>
  <c r="C124" i="5"/>
  <c r="B124" i="5"/>
  <c r="A124" i="5"/>
  <c r="G123" i="5"/>
  <c r="E123" i="5"/>
  <c r="D123" i="5"/>
  <c r="C123" i="5"/>
  <c r="F123" i="5" s="1"/>
  <c r="B123" i="5"/>
  <c r="A123" i="5"/>
  <c r="M123" i="5" s="1"/>
  <c r="N123" i="5" s="1"/>
  <c r="M122" i="5"/>
  <c r="N122" i="5" s="1"/>
  <c r="G122" i="5"/>
  <c r="F122" i="5"/>
  <c r="D122" i="5"/>
  <c r="C122" i="5"/>
  <c r="B122" i="5"/>
  <c r="A122" i="5"/>
  <c r="M121" i="5"/>
  <c r="N121" i="5" s="1"/>
  <c r="D121" i="5"/>
  <c r="C121" i="5"/>
  <c r="G121" i="5" s="1"/>
  <c r="B121" i="5"/>
  <c r="A121" i="5"/>
  <c r="M120" i="5"/>
  <c r="N120" i="5" s="1"/>
  <c r="D120" i="5"/>
  <c r="C120" i="5"/>
  <c r="H120" i="5" s="1"/>
  <c r="B120" i="5"/>
  <c r="A120" i="5"/>
  <c r="G119" i="5"/>
  <c r="D119" i="5"/>
  <c r="C119" i="5"/>
  <c r="B119" i="5"/>
  <c r="A119" i="5"/>
  <c r="M119" i="5" s="1"/>
  <c r="N119" i="5" s="1"/>
  <c r="M118" i="5"/>
  <c r="N118" i="5" s="1"/>
  <c r="D118" i="5"/>
  <c r="C118" i="5"/>
  <c r="B118" i="5"/>
  <c r="A118" i="5"/>
  <c r="M117" i="5"/>
  <c r="N117" i="5" s="1"/>
  <c r="H117" i="5"/>
  <c r="G117" i="5"/>
  <c r="F117" i="5"/>
  <c r="E117" i="5"/>
  <c r="D117" i="5"/>
  <c r="C117" i="5"/>
  <c r="B117" i="5"/>
  <c r="A117" i="5"/>
  <c r="H116" i="5"/>
  <c r="D116" i="5"/>
  <c r="C116" i="5"/>
  <c r="B116" i="5"/>
  <c r="A116" i="5"/>
  <c r="M116" i="5" s="1"/>
  <c r="N116" i="5" s="1"/>
  <c r="M115" i="5"/>
  <c r="N115" i="5" s="1"/>
  <c r="G115" i="5"/>
  <c r="F115" i="5"/>
  <c r="D115" i="5"/>
  <c r="C115" i="5"/>
  <c r="B115" i="5"/>
  <c r="A115" i="5"/>
  <c r="M114" i="5"/>
  <c r="N114" i="5" s="1"/>
  <c r="H114" i="5"/>
  <c r="D114" i="5"/>
  <c r="C114" i="5"/>
  <c r="G114" i="5" s="1"/>
  <c r="B114" i="5"/>
  <c r="A114" i="5"/>
  <c r="E113" i="5"/>
  <c r="D113" i="5"/>
  <c r="C113" i="5"/>
  <c r="B113" i="5"/>
  <c r="A113" i="5"/>
  <c r="M113" i="5" s="1"/>
  <c r="N113" i="5" s="1"/>
  <c r="H112" i="5"/>
  <c r="G112" i="5"/>
  <c r="F112" i="5"/>
  <c r="E112" i="5"/>
  <c r="D112" i="5"/>
  <c r="C112" i="5"/>
  <c r="B112" i="5"/>
  <c r="A112" i="5"/>
  <c r="M112" i="5" s="1"/>
  <c r="N112" i="5" s="1"/>
  <c r="G111" i="5"/>
  <c r="F111" i="5"/>
  <c r="D111" i="5"/>
  <c r="C111" i="5"/>
  <c r="E111" i="5" s="1"/>
  <c r="B111" i="5"/>
  <c r="A111" i="5"/>
  <c r="M111" i="5" s="1"/>
  <c r="N111" i="5" s="1"/>
  <c r="M110" i="5"/>
  <c r="N110" i="5" s="1"/>
  <c r="F110" i="5"/>
  <c r="E110" i="5"/>
  <c r="D110" i="5"/>
  <c r="C110" i="5"/>
  <c r="B110" i="5"/>
  <c r="A110" i="5"/>
  <c r="H109" i="5"/>
  <c r="G109" i="5"/>
  <c r="E109" i="5"/>
  <c r="D109" i="5"/>
  <c r="C109" i="5"/>
  <c r="F109" i="5" s="1"/>
  <c r="B109" i="5"/>
  <c r="A109" i="5"/>
  <c r="M109" i="5" s="1"/>
  <c r="N109" i="5" s="1"/>
  <c r="M108" i="5"/>
  <c r="N108" i="5" s="1"/>
  <c r="H108" i="5"/>
  <c r="G108" i="5"/>
  <c r="F108" i="5"/>
  <c r="D108" i="5"/>
  <c r="C108" i="5"/>
  <c r="E108" i="5" s="1"/>
  <c r="B108" i="5"/>
  <c r="A108" i="5"/>
  <c r="E107" i="5"/>
  <c r="D107" i="5"/>
  <c r="C107" i="5"/>
  <c r="B107" i="5"/>
  <c r="A107" i="5"/>
  <c r="M107" i="5" s="1"/>
  <c r="N107" i="5" s="1"/>
  <c r="G106" i="5"/>
  <c r="F106" i="5"/>
  <c r="E106" i="5"/>
  <c r="D106" i="5"/>
  <c r="C106" i="5"/>
  <c r="H106" i="5" s="1"/>
  <c r="B106" i="5"/>
  <c r="A106" i="5"/>
  <c r="M106" i="5" s="1"/>
  <c r="N106" i="5" s="1"/>
  <c r="M105" i="5"/>
  <c r="N105" i="5" s="1"/>
  <c r="H105" i="5"/>
  <c r="G105" i="5"/>
  <c r="F105" i="5"/>
  <c r="E105" i="5"/>
  <c r="D105" i="5"/>
  <c r="C105" i="5"/>
  <c r="B105" i="5"/>
  <c r="A105" i="5"/>
  <c r="D104" i="5"/>
  <c r="C104" i="5"/>
  <c r="H104" i="5" s="1"/>
  <c r="B104" i="5"/>
  <c r="A104" i="5"/>
  <c r="M104" i="5" s="1"/>
  <c r="N104" i="5" s="1"/>
  <c r="G103" i="5"/>
  <c r="F103" i="5"/>
  <c r="D103" i="5"/>
  <c r="C103" i="5"/>
  <c r="B103" i="5"/>
  <c r="A103" i="5"/>
  <c r="M103" i="5" s="1"/>
  <c r="N103" i="5" s="1"/>
  <c r="H102" i="5"/>
  <c r="G102" i="5"/>
  <c r="E102" i="5"/>
  <c r="D102" i="5"/>
  <c r="C102" i="5"/>
  <c r="F102" i="5" s="1"/>
  <c r="B102" i="5"/>
  <c r="A102" i="5"/>
  <c r="M102" i="5" s="1"/>
  <c r="N102" i="5" s="1"/>
  <c r="G101" i="5"/>
  <c r="E101" i="5"/>
  <c r="D101" i="5"/>
  <c r="C101" i="5"/>
  <c r="H101" i="5" s="1"/>
  <c r="B101" i="5"/>
  <c r="A101" i="5"/>
  <c r="M101" i="5" s="1"/>
  <c r="N101" i="5" s="1"/>
  <c r="H100" i="5"/>
  <c r="G100" i="5"/>
  <c r="D100" i="5"/>
  <c r="C100" i="5"/>
  <c r="B100" i="5"/>
  <c r="A100" i="5"/>
  <c r="M100" i="5" s="1"/>
  <c r="N100" i="5" s="1"/>
  <c r="M99" i="5"/>
  <c r="N99" i="5" s="1"/>
  <c r="F99" i="5"/>
  <c r="E99" i="5"/>
  <c r="D99" i="5"/>
  <c r="C99" i="5"/>
  <c r="B99" i="5"/>
  <c r="A99" i="5"/>
  <c r="M98" i="5"/>
  <c r="N98" i="5" s="1"/>
  <c r="H98" i="5"/>
  <c r="G98" i="5"/>
  <c r="F98" i="5"/>
  <c r="E98" i="5"/>
  <c r="D98" i="5"/>
  <c r="C98" i="5"/>
  <c r="B98" i="5"/>
  <c r="A98" i="5"/>
  <c r="M97" i="5"/>
  <c r="N97" i="5" s="1"/>
  <c r="D97" i="5"/>
  <c r="C97" i="5"/>
  <c r="B97" i="5"/>
  <c r="A97" i="5"/>
  <c r="M96" i="5"/>
  <c r="N96" i="5" s="1"/>
  <c r="G96" i="5"/>
  <c r="F96" i="5"/>
  <c r="D96" i="5"/>
  <c r="C96" i="5"/>
  <c r="B96" i="5"/>
  <c r="A96" i="5"/>
  <c r="M95" i="5"/>
  <c r="N95" i="5" s="1"/>
  <c r="F95" i="5"/>
  <c r="D95" i="5"/>
  <c r="C95" i="5"/>
  <c r="B95" i="5"/>
  <c r="A95" i="5"/>
  <c r="E94" i="5"/>
  <c r="D94" i="5"/>
  <c r="C94" i="5"/>
  <c r="B94" i="5"/>
  <c r="A94" i="5"/>
  <c r="M94" i="5" s="1"/>
  <c r="N94" i="5" s="1"/>
  <c r="M93" i="5"/>
  <c r="N93" i="5" s="1"/>
  <c r="H93" i="5"/>
  <c r="G93" i="5"/>
  <c r="F93" i="5"/>
  <c r="E93" i="5"/>
  <c r="D93" i="5"/>
  <c r="C93" i="5"/>
  <c r="B93" i="5"/>
  <c r="A93" i="5"/>
  <c r="M92" i="5"/>
  <c r="N92" i="5" s="1"/>
  <c r="H92" i="5"/>
  <c r="G92" i="5"/>
  <c r="F92" i="5"/>
  <c r="E92" i="5"/>
  <c r="D92" i="5"/>
  <c r="C92" i="5"/>
  <c r="B92" i="5"/>
  <c r="A92" i="5"/>
  <c r="D91" i="5"/>
  <c r="C91" i="5"/>
  <c r="B91" i="5"/>
  <c r="A91" i="5"/>
  <c r="M91" i="5" s="1"/>
  <c r="N91" i="5" s="1"/>
  <c r="H90" i="5"/>
  <c r="G90" i="5"/>
  <c r="D90" i="5"/>
  <c r="C90" i="5"/>
  <c r="B90" i="5"/>
  <c r="A90" i="5"/>
  <c r="M90" i="5" s="1"/>
  <c r="N90" i="5" s="1"/>
  <c r="M89" i="5"/>
  <c r="N89" i="5" s="1"/>
  <c r="F89" i="5"/>
  <c r="D89" i="5"/>
  <c r="C89" i="5"/>
  <c r="B89" i="5"/>
  <c r="A89" i="5"/>
  <c r="M88" i="5"/>
  <c r="N88" i="5" s="1"/>
  <c r="H88" i="5"/>
  <c r="G88" i="5"/>
  <c r="F88" i="5"/>
  <c r="E88" i="5"/>
  <c r="D88" i="5"/>
  <c r="C88" i="5"/>
  <c r="B88" i="5"/>
  <c r="A88" i="5"/>
  <c r="D87" i="5"/>
  <c r="C87" i="5"/>
  <c r="B87" i="5"/>
  <c r="A87" i="5"/>
  <c r="M87" i="5" s="1"/>
  <c r="N87" i="5" s="1"/>
  <c r="M86" i="5"/>
  <c r="N86" i="5" s="1"/>
  <c r="H86" i="5"/>
  <c r="G86" i="5"/>
  <c r="F86" i="5"/>
  <c r="E86" i="5"/>
  <c r="D86" i="5"/>
  <c r="C86" i="5"/>
  <c r="B86" i="5"/>
  <c r="A86" i="5"/>
  <c r="M85" i="5"/>
  <c r="N85" i="5" s="1"/>
  <c r="H85" i="5"/>
  <c r="G85" i="5"/>
  <c r="F85" i="5"/>
  <c r="E85" i="5"/>
  <c r="D85" i="5"/>
  <c r="C85" i="5"/>
  <c r="B85" i="5"/>
  <c r="A85" i="5"/>
  <c r="D84" i="5"/>
  <c r="C84" i="5"/>
  <c r="B84" i="5"/>
  <c r="A84" i="5"/>
  <c r="M84" i="5" s="1"/>
  <c r="N84" i="5" s="1"/>
  <c r="H83" i="5"/>
  <c r="G83" i="5"/>
  <c r="D83" i="5"/>
  <c r="C83" i="5"/>
  <c r="B83" i="5"/>
  <c r="A83" i="5"/>
  <c r="M83" i="5" s="1"/>
  <c r="N83" i="5" s="1"/>
  <c r="M82" i="5"/>
  <c r="N82" i="5" s="1"/>
  <c r="D82" i="5"/>
  <c r="C82" i="5"/>
  <c r="B82" i="5"/>
  <c r="A82" i="5"/>
  <c r="M81" i="5"/>
  <c r="N81" i="5" s="1"/>
  <c r="D81" i="5"/>
  <c r="C81" i="5"/>
  <c r="B81" i="5"/>
  <c r="A81" i="5"/>
  <c r="M80" i="5"/>
  <c r="N80" i="5" s="1"/>
  <c r="F80" i="5"/>
  <c r="E80" i="5"/>
  <c r="D80" i="5"/>
  <c r="C80" i="5"/>
  <c r="B80" i="5"/>
  <c r="A80" i="5"/>
  <c r="H79" i="5"/>
  <c r="G79" i="5"/>
  <c r="F79" i="5"/>
  <c r="E79" i="5"/>
  <c r="D79" i="5"/>
  <c r="C79" i="5"/>
  <c r="B79" i="5"/>
  <c r="A79" i="5"/>
  <c r="M79" i="5" s="1"/>
  <c r="N79" i="5" s="1"/>
  <c r="M78" i="5"/>
  <c r="N78" i="5" s="1"/>
  <c r="H78" i="5"/>
  <c r="G78" i="5"/>
  <c r="F78" i="5"/>
  <c r="E78" i="5"/>
  <c r="D78" i="5"/>
  <c r="C78" i="5"/>
  <c r="B78" i="5"/>
  <c r="A78" i="5"/>
  <c r="G77" i="5"/>
  <c r="F77" i="5"/>
  <c r="E77" i="5"/>
  <c r="D77" i="5"/>
  <c r="C77" i="5"/>
  <c r="H77" i="5" s="1"/>
  <c r="B77" i="5"/>
  <c r="A77" i="5"/>
  <c r="M77" i="5" s="1"/>
  <c r="N77" i="5" s="1"/>
  <c r="D76" i="5"/>
  <c r="C76" i="5"/>
  <c r="B76" i="5"/>
  <c r="A76" i="5"/>
  <c r="M76" i="5" s="1"/>
  <c r="N76" i="5" s="1"/>
  <c r="M75" i="5"/>
  <c r="N75" i="5" s="1"/>
  <c r="G75" i="5"/>
  <c r="F75" i="5"/>
  <c r="D75" i="5"/>
  <c r="C75" i="5"/>
  <c r="B75" i="5"/>
  <c r="A75" i="5"/>
  <c r="M74" i="5"/>
  <c r="N74" i="5" s="1"/>
  <c r="H74" i="5"/>
  <c r="G74" i="5"/>
  <c r="D74" i="5"/>
  <c r="C74" i="5"/>
  <c r="B74" i="5"/>
  <c r="A74" i="5"/>
  <c r="D73" i="5"/>
  <c r="C73" i="5"/>
  <c r="B73" i="5"/>
  <c r="A73" i="5"/>
  <c r="M73" i="5" s="1"/>
  <c r="N73" i="5" s="1"/>
  <c r="H72" i="5"/>
  <c r="G72" i="5"/>
  <c r="F72" i="5"/>
  <c r="E72" i="5"/>
  <c r="D72" i="5"/>
  <c r="C72" i="5"/>
  <c r="B72" i="5"/>
  <c r="A72" i="5"/>
  <c r="M72" i="5" s="1"/>
  <c r="N72" i="5" s="1"/>
  <c r="H71" i="5"/>
  <c r="G71" i="5"/>
  <c r="F71" i="5"/>
  <c r="E71" i="5"/>
  <c r="D71" i="5"/>
  <c r="C71" i="5"/>
  <c r="B71" i="5"/>
  <c r="A71" i="5"/>
  <c r="M71" i="5" s="1"/>
  <c r="N71" i="5" s="1"/>
  <c r="H70" i="5"/>
  <c r="G70" i="5"/>
  <c r="F70" i="5"/>
  <c r="E70" i="5"/>
  <c r="D70" i="5"/>
  <c r="C70" i="5"/>
  <c r="B70" i="5"/>
  <c r="A70" i="5"/>
  <c r="M70" i="5" s="1"/>
  <c r="N70" i="5" s="1"/>
  <c r="D69" i="5"/>
  <c r="C69" i="5"/>
  <c r="B69" i="5"/>
  <c r="A69" i="5"/>
  <c r="M69" i="5" s="1"/>
  <c r="N69" i="5" s="1"/>
  <c r="M68" i="5"/>
  <c r="N68" i="5" s="1"/>
  <c r="D68" i="5"/>
  <c r="C68" i="5"/>
  <c r="B68" i="5"/>
  <c r="A68" i="5"/>
  <c r="M67" i="5"/>
  <c r="N67" i="5" s="1"/>
  <c r="H67" i="5"/>
  <c r="G67" i="5"/>
  <c r="F67" i="5"/>
  <c r="E67" i="5"/>
  <c r="D67" i="5"/>
  <c r="C67" i="5"/>
  <c r="B67" i="5"/>
  <c r="A67" i="5"/>
  <c r="F66" i="5"/>
  <c r="E66" i="5"/>
  <c r="D66" i="5"/>
  <c r="C66" i="5"/>
  <c r="B66" i="5"/>
  <c r="A66" i="5"/>
  <c r="M66" i="5" s="1"/>
  <c r="N66" i="5" s="1"/>
  <c r="M65" i="5"/>
  <c r="N65" i="5" s="1"/>
  <c r="H65" i="5"/>
  <c r="G65" i="5"/>
  <c r="F65" i="5"/>
  <c r="E65" i="5"/>
  <c r="D65" i="5"/>
  <c r="C65" i="5"/>
  <c r="B65" i="5"/>
  <c r="A65" i="5"/>
  <c r="H64" i="5"/>
  <c r="G64" i="5"/>
  <c r="F64" i="5"/>
  <c r="E64" i="5"/>
  <c r="D64" i="5"/>
  <c r="C64" i="5"/>
  <c r="B64" i="5"/>
  <c r="A64" i="5"/>
  <c r="M64" i="5" s="1"/>
  <c r="N64" i="5" s="1"/>
  <c r="H63" i="5"/>
  <c r="F63" i="5"/>
  <c r="E63" i="5"/>
  <c r="D63" i="5"/>
  <c r="C63" i="5"/>
  <c r="G63" i="5" s="1"/>
  <c r="B63" i="5"/>
  <c r="A63" i="5"/>
  <c r="M63" i="5" s="1"/>
  <c r="N63" i="5" s="1"/>
  <c r="H62" i="5"/>
  <c r="G62" i="5"/>
  <c r="D62" i="5"/>
  <c r="C62" i="5"/>
  <c r="B62" i="5"/>
  <c r="A62" i="5"/>
  <c r="M62" i="5" s="1"/>
  <c r="N62" i="5" s="1"/>
  <c r="M61" i="5"/>
  <c r="N61" i="5" s="1"/>
  <c r="H61" i="5"/>
  <c r="G61" i="5"/>
  <c r="D61" i="5"/>
  <c r="C61" i="5"/>
  <c r="B61" i="5"/>
  <c r="A61" i="5"/>
  <c r="M60" i="5"/>
  <c r="N60" i="5" s="1"/>
  <c r="D60" i="5"/>
  <c r="C60" i="5"/>
  <c r="B60" i="5"/>
  <c r="A60" i="5"/>
  <c r="M59" i="5"/>
  <c r="N59" i="5" s="1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A58" i="5"/>
  <c r="M58" i="5" s="1"/>
  <c r="N58" i="5" s="1"/>
  <c r="M57" i="5"/>
  <c r="N57" i="5" s="1"/>
  <c r="H57" i="5"/>
  <c r="G57" i="5"/>
  <c r="F57" i="5"/>
  <c r="E57" i="5"/>
  <c r="D57" i="5"/>
  <c r="C57" i="5"/>
  <c r="B57" i="5"/>
  <c r="A57" i="5"/>
  <c r="D56" i="5"/>
  <c r="C56" i="5"/>
  <c r="H56" i="5" s="1"/>
  <c r="B56" i="5"/>
  <c r="A56" i="5"/>
  <c r="M56" i="5" s="1"/>
  <c r="N56" i="5" s="1"/>
  <c r="D55" i="5"/>
  <c r="C55" i="5"/>
  <c r="B55" i="5"/>
  <c r="A55" i="5"/>
  <c r="M55" i="5" s="1"/>
  <c r="N55" i="5" s="1"/>
  <c r="M54" i="5"/>
  <c r="N54" i="5" s="1"/>
  <c r="H54" i="5"/>
  <c r="G54" i="5"/>
  <c r="F54" i="5"/>
  <c r="D54" i="5"/>
  <c r="C54" i="5"/>
  <c r="E54" i="5" s="1"/>
  <c r="B54" i="5"/>
  <c r="A54" i="5"/>
  <c r="M53" i="5"/>
  <c r="N53" i="5" s="1"/>
  <c r="H53" i="5"/>
  <c r="E53" i="5"/>
  <c r="D53" i="5"/>
  <c r="C53" i="5"/>
  <c r="B53" i="5"/>
  <c r="A53" i="5"/>
  <c r="M52" i="5"/>
  <c r="N52" i="5" s="1"/>
  <c r="D52" i="5"/>
  <c r="C52" i="5"/>
  <c r="B52" i="5"/>
  <c r="A52" i="5"/>
  <c r="M51" i="5"/>
  <c r="N51" i="5" s="1"/>
  <c r="H51" i="5"/>
  <c r="G51" i="5"/>
  <c r="F51" i="5"/>
  <c r="E51" i="5"/>
  <c r="D51" i="5"/>
  <c r="C51" i="5"/>
  <c r="B51" i="5"/>
  <c r="A51" i="5"/>
  <c r="M50" i="5"/>
  <c r="N50" i="5" s="1"/>
  <c r="H50" i="5"/>
  <c r="G50" i="5"/>
  <c r="F50" i="5"/>
  <c r="E50" i="5"/>
  <c r="D50" i="5"/>
  <c r="C50" i="5"/>
  <c r="B50" i="5"/>
  <c r="A50" i="5"/>
  <c r="D49" i="5"/>
  <c r="C49" i="5"/>
  <c r="B49" i="5"/>
  <c r="A49" i="5"/>
  <c r="M49" i="5" s="1"/>
  <c r="N49" i="5" s="1"/>
  <c r="G48" i="5"/>
  <c r="D48" i="5"/>
  <c r="C48" i="5"/>
  <c r="B48" i="5"/>
  <c r="A48" i="5"/>
  <c r="M48" i="5" s="1"/>
  <c r="N48" i="5" s="1"/>
  <c r="M47" i="5"/>
  <c r="N47" i="5" s="1"/>
  <c r="G47" i="5"/>
  <c r="F47" i="5"/>
  <c r="D47" i="5"/>
  <c r="C47" i="5"/>
  <c r="E47" i="5" s="1"/>
  <c r="B47" i="5"/>
  <c r="A47" i="5"/>
  <c r="M46" i="5"/>
  <c r="N46" i="5" s="1"/>
  <c r="H46" i="5"/>
  <c r="G46" i="5"/>
  <c r="F46" i="5"/>
  <c r="E46" i="5"/>
  <c r="D46" i="5"/>
  <c r="C46" i="5"/>
  <c r="B46" i="5"/>
  <c r="A46" i="5"/>
  <c r="E45" i="5"/>
  <c r="D45" i="5"/>
  <c r="C45" i="5"/>
  <c r="B45" i="5"/>
  <c r="A45" i="5"/>
  <c r="M45" i="5" s="1"/>
  <c r="N45" i="5" s="1"/>
  <c r="H44" i="5"/>
  <c r="G44" i="5"/>
  <c r="F44" i="5"/>
  <c r="E44" i="5"/>
  <c r="D44" i="5"/>
  <c r="C44" i="5"/>
  <c r="B44" i="5"/>
  <c r="A44" i="5"/>
  <c r="M44" i="5" s="1"/>
  <c r="N44" i="5" s="1"/>
  <c r="M43" i="5"/>
  <c r="N43" i="5" s="1"/>
  <c r="H43" i="5"/>
  <c r="G43" i="5"/>
  <c r="F43" i="5"/>
  <c r="E43" i="5"/>
  <c r="D43" i="5"/>
  <c r="C43" i="5"/>
  <c r="B43" i="5"/>
  <c r="A43" i="5"/>
  <c r="H42" i="5"/>
  <c r="F42" i="5"/>
  <c r="D42" i="5"/>
  <c r="C42" i="5"/>
  <c r="G42" i="5" s="1"/>
  <c r="B42" i="5"/>
  <c r="A42" i="5"/>
  <c r="M42" i="5" s="1"/>
  <c r="N42" i="5" s="1"/>
  <c r="G41" i="5"/>
  <c r="D41" i="5"/>
  <c r="C41" i="5"/>
  <c r="B41" i="5"/>
  <c r="A41" i="5"/>
  <c r="M41" i="5" s="1"/>
  <c r="N41" i="5" s="1"/>
  <c r="M40" i="5"/>
  <c r="N40" i="5" s="1"/>
  <c r="H40" i="5"/>
  <c r="G40" i="5"/>
  <c r="D40" i="5"/>
  <c r="C40" i="5"/>
  <c r="E40" i="5" s="1"/>
  <c r="B40" i="5"/>
  <c r="A40" i="5"/>
  <c r="M39" i="5"/>
  <c r="N39" i="5" s="1"/>
  <c r="G39" i="5"/>
  <c r="F39" i="5"/>
  <c r="D39" i="5"/>
  <c r="C39" i="5"/>
  <c r="B39" i="5"/>
  <c r="A39" i="5"/>
  <c r="F38" i="5"/>
  <c r="E38" i="5"/>
  <c r="D38" i="5"/>
  <c r="C38" i="5"/>
  <c r="B38" i="5"/>
  <c r="A38" i="5"/>
  <c r="M38" i="5" s="1"/>
  <c r="N38" i="5" s="1"/>
  <c r="H37" i="5"/>
  <c r="G37" i="5"/>
  <c r="F37" i="5"/>
  <c r="E37" i="5"/>
  <c r="D37" i="5"/>
  <c r="C37" i="5"/>
  <c r="B37" i="5"/>
  <c r="A37" i="5"/>
  <c r="M37" i="5" s="1"/>
  <c r="N37" i="5" s="1"/>
  <c r="H36" i="5"/>
  <c r="G36" i="5"/>
  <c r="F36" i="5"/>
  <c r="E36" i="5"/>
  <c r="D36" i="5"/>
  <c r="C36" i="5"/>
  <c r="B36" i="5"/>
  <c r="A36" i="5"/>
  <c r="M36" i="5" s="1"/>
  <c r="N36" i="5" s="1"/>
  <c r="H35" i="5"/>
  <c r="G35" i="5"/>
  <c r="F35" i="5"/>
  <c r="E35" i="5"/>
  <c r="D35" i="5"/>
  <c r="C35" i="5"/>
  <c r="B35" i="5"/>
  <c r="A35" i="5"/>
  <c r="M35" i="5" s="1"/>
  <c r="N35" i="5" s="1"/>
  <c r="D34" i="5"/>
  <c r="C34" i="5"/>
  <c r="B34" i="5"/>
  <c r="A34" i="5"/>
  <c r="M34" i="5" s="1"/>
  <c r="N34" i="5" s="1"/>
  <c r="M33" i="5"/>
  <c r="N33" i="5" s="1"/>
  <c r="G33" i="5"/>
  <c r="D33" i="5"/>
  <c r="C33" i="5"/>
  <c r="B33" i="5"/>
  <c r="A33" i="5"/>
  <c r="M32" i="5"/>
  <c r="N32" i="5" s="1"/>
  <c r="H32" i="5"/>
  <c r="G32" i="5"/>
  <c r="F32" i="5"/>
  <c r="E32" i="5"/>
  <c r="D32" i="5"/>
  <c r="C32" i="5"/>
  <c r="B32" i="5"/>
  <c r="A32" i="5"/>
  <c r="D31" i="5"/>
  <c r="C31" i="5"/>
  <c r="B31" i="5"/>
  <c r="A31" i="5"/>
  <c r="M31" i="5" s="1"/>
  <c r="N31" i="5" s="1"/>
  <c r="M30" i="5"/>
  <c r="N30" i="5" s="1"/>
  <c r="H30" i="5"/>
  <c r="G30" i="5"/>
  <c r="F30" i="5"/>
  <c r="E30" i="5"/>
  <c r="D30" i="5"/>
  <c r="C30" i="5"/>
  <c r="B30" i="5"/>
  <c r="A30" i="5"/>
  <c r="M29" i="5"/>
  <c r="N29" i="5" s="1"/>
  <c r="H29" i="5"/>
  <c r="G29" i="5"/>
  <c r="F29" i="5"/>
  <c r="E29" i="5"/>
  <c r="D29" i="5"/>
  <c r="C29" i="5"/>
  <c r="B29" i="5"/>
  <c r="A29" i="5"/>
  <c r="G28" i="5"/>
  <c r="F28" i="5"/>
  <c r="D28" i="5"/>
  <c r="C28" i="5"/>
  <c r="B28" i="5"/>
  <c r="A28" i="5"/>
  <c r="M28" i="5" s="1"/>
  <c r="N28" i="5" s="1"/>
  <c r="D27" i="5"/>
  <c r="C27" i="5"/>
  <c r="B27" i="5"/>
  <c r="A27" i="5"/>
  <c r="M27" i="5" s="1"/>
  <c r="N27" i="5" s="1"/>
  <c r="M26" i="5"/>
  <c r="N26" i="5" s="1"/>
  <c r="G26" i="5"/>
  <c r="D26" i="5"/>
  <c r="C26" i="5"/>
  <c r="B26" i="5"/>
  <c r="A26" i="5"/>
  <c r="M25" i="5"/>
  <c r="N25" i="5" s="1"/>
  <c r="H25" i="5"/>
  <c r="G25" i="5"/>
  <c r="F25" i="5"/>
  <c r="E25" i="5"/>
  <c r="D25" i="5"/>
  <c r="C25" i="5"/>
  <c r="B25" i="5"/>
  <c r="A25" i="5"/>
  <c r="M24" i="5"/>
  <c r="N24" i="5" s="1"/>
  <c r="F24" i="5"/>
  <c r="E24" i="5"/>
  <c r="D24" i="5"/>
  <c r="C24" i="5"/>
  <c r="B24" i="5"/>
  <c r="A24" i="5"/>
  <c r="H23" i="5"/>
  <c r="G23" i="5"/>
  <c r="F23" i="5"/>
  <c r="E23" i="5"/>
  <c r="D23" i="5"/>
  <c r="C23" i="5"/>
  <c r="B23" i="5"/>
  <c r="A23" i="5"/>
  <c r="M23" i="5" s="1"/>
  <c r="N23" i="5" s="1"/>
  <c r="H22" i="5"/>
  <c r="G22" i="5"/>
  <c r="F22" i="5"/>
  <c r="E22" i="5"/>
  <c r="D22" i="5"/>
  <c r="C22" i="5"/>
  <c r="B22" i="5"/>
  <c r="A22" i="5"/>
  <c r="M22" i="5" s="1"/>
  <c r="N22" i="5" s="1"/>
  <c r="H21" i="5"/>
  <c r="G21" i="5"/>
  <c r="F21" i="5"/>
  <c r="E21" i="5"/>
  <c r="D21" i="5"/>
  <c r="C21" i="5"/>
  <c r="B21" i="5"/>
  <c r="A21" i="5"/>
  <c r="M21" i="5" s="1"/>
  <c r="N21" i="5" s="1"/>
  <c r="H20" i="5"/>
  <c r="G20" i="5"/>
  <c r="D20" i="5"/>
  <c r="C20" i="5"/>
  <c r="B20" i="5"/>
  <c r="A20" i="5"/>
  <c r="M20" i="5" s="1"/>
  <c r="N20" i="5" s="1"/>
  <c r="M19" i="5"/>
  <c r="N19" i="5" s="1"/>
  <c r="H19" i="5"/>
  <c r="G19" i="5"/>
  <c r="F19" i="5"/>
  <c r="D19" i="5"/>
  <c r="C19" i="5"/>
  <c r="E19" i="5" s="1"/>
  <c r="B19" i="5"/>
  <c r="A19" i="5"/>
  <c r="M18" i="5"/>
  <c r="N18" i="5" s="1"/>
  <c r="F18" i="5"/>
  <c r="E18" i="5"/>
  <c r="D18" i="5"/>
  <c r="C18" i="5"/>
  <c r="H18" i="5" s="1"/>
  <c r="B18" i="5"/>
  <c r="A18" i="5"/>
  <c r="F17" i="5"/>
  <c r="E17" i="5"/>
  <c r="D17" i="5"/>
  <c r="C17" i="5"/>
  <c r="B17" i="5"/>
  <c r="A17" i="5"/>
  <c r="M17" i="5" s="1"/>
  <c r="N17" i="5" s="1"/>
  <c r="M16" i="5"/>
  <c r="N16" i="5" s="1"/>
  <c r="H16" i="5"/>
  <c r="G16" i="5"/>
  <c r="F16" i="5"/>
  <c r="E16" i="5"/>
  <c r="D16" i="5"/>
  <c r="C16" i="5"/>
  <c r="B16" i="5"/>
  <c r="A16" i="5"/>
  <c r="H15" i="5"/>
  <c r="G15" i="5"/>
  <c r="F15" i="5"/>
  <c r="E15" i="5"/>
  <c r="D15" i="5"/>
  <c r="C15" i="5"/>
  <c r="B15" i="5"/>
  <c r="A15" i="5"/>
  <c r="M15" i="5" s="1"/>
  <c r="N15" i="5" s="1"/>
  <c r="H14" i="5"/>
  <c r="G14" i="5"/>
  <c r="F14" i="5"/>
  <c r="E14" i="5"/>
  <c r="D14" i="5"/>
  <c r="C14" i="5"/>
  <c r="B14" i="5"/>
  <c r="A14" i="5"/>
  <c r="M14" i="5" s="1"/>
  <c r="N14" i="5" s="1"/>
  <c r="H13" i="5"/>
  <c r="G13" i="5"/>
  <c r="D13" i="5"/>
  <c r="C13" i="5"/>
  <c r="B13" i="5"/>
  <c r="A13" i="5"/>
  <c r="M13" i="5" s="1"/>
  <c r="N13" i="5" s="1"/>
  <c r="M12" i="5"/>
  <c r="N12" i="5" s="1"/>
  <c r="D12" i="5"/>
  <c r="C12" i="5"/>
  <c r="B12" i="5"/>
  <c r="A12" i="5"/>
  <c r="M11" i="5"/>
  <c r="N11" i="5" s="1"/>
  <c r="H11" i="5"/>
  <c r="F11" i="5"/>
  <c r="D11" i="5"/>
  <c r="C11" i="5"/>
  <c r="B11" i="5"/>
  <c r="A11" i="5"/>
  <c r="M10" i="5"/>
  <c r="N10" i="5" s="1"/>
  <c r="E10" i="5"/>
  <c r="D10" i="5"/>
  <c r="C10" i="5"/>
  <c r="B10" i="5"/>
  <c r="A10" i="5"/>
  <c r="H9" i="5"/>
  <c r="G9" i="5"/>
  <c r="F9" i="5"/>
  <c r="E9" i="5"/>
  <c r="D9" i="5"/>
  <c r="C9" i="5"/>
  <c r="B9" i="5"/>
  <c r="A9" i="5"/>
  <c r="M9" i="5" s="1"/>
  <c r="N9" i="5" s="1"/>
  <c r="M8" i="5"/>
  <c r="N8" i="5" s="1"/>
  <c r="H8" i="5"/>
  <c r="G8" i="5"/>
  <c r="F8" i="5"/>
  <c r="E8" i="5"/>
  <c r="D8" i="5"/>
  <c r="C8" i="5"/>
  <c r="B8" i="5"/>
  <c r="A8" i="5"/>
  <c r="D7" i="5"/>
  <c r="C7" i="5"/>
  <c r="H7" i="5" s="1"/>
  <c r="B7" i="5"/>
  <c r="A7" i="5"/>
  <c r="M7" i="5" s="1"/>
  <c r="N7" i="5" s="1"/>
  <c r="D6" i="5"/>
  <c r="C6" i="5"/>
  <c r="B6" i="5"/>
  <c r="A6" i="5"/>
  <c r="M6" i="5" s="1"/>
  <c r="N6" i="5" s="1"/>
  <c r="M5" i="5"/>
  <c r="N5" i="5" s="1"/>
  <c r="D5" i="5"/>
  <c r="C5" i="5"/>
  <c r="E5" i="5" s="1"/>
  <c r="B5" i="5"/>
  <c r="A5" i="5"/>
  <c r="M4" i="5"/>
  <c r="N4" i="5" s="1"/>
  <c r="H4" i="5"/>
  <c r="F4" i="5"/>
  <c r="D4" i="5"/>
  <c r="C4" i="5"/>
  <c r="G4" i="5" s="1"/>
  <c r="B4" i="5"/>
  <c r="A4" i="5"/>
  <c r="M3" i="5"/>
  <c r="N3" i="5" s="1"/>
  <c r="F3" i="5"/>
  <c r="D3" i="5"/>
  <c r="C3" i="5"/>
  <c r="B3" i="5"/>
  <c r="A3" i="5"/>
  <c r="M2" i="5"/>
  <c r="N2" i="5" s="1"/>
  <c r="H2" i="5"/>
  <c r="G2" i="5"/>
  <c r="F2" i="5"/>
  <c r="E2" i="5"/>
  <c r="D2" i="5"/>
  <c r="C2" i="5"/>
  <c r="B2" i="5"/>
  <c r="A2" i="5"/>
  <c r="B94" i="2"/>
  <c r="B93" i="2"/>
  <c r="B92" i="2"/>
  <c r="B91" i="2"/>
  <c r="B90" i="2"/>
  <c r="F34" i="5" l="1"/>
  <c r="E34" i="5"/>
  <c r="H34" i="5"/>
  <c r="H3" i="5"/>
  <c r="G3" i="5"/>
  <c r="E3" i="5"/>
  <c r="H10" i="5"/>
  <c r="G10" i="5"/>
  <c r="F48" i="5"/>
  <c r="E48" i="5"/>
  <c r="F165" i="5"/>
  <c r="E165" i="5"/>
  <c r="H165" i="5"/>
  <c r="G165" i="5"/>
  <c r="F27" i="5"/>
  <c r="E27" i="5"/>
  <c r="H52" i="5"/>
  <c r="G52" i="5"/>
  <c r="E52" i="5"/>
  <c r="H133" i="5"/>
  <c r="F133" i="5"/>
  <c r="E133" i="5"/>
  <c r="G135" i="5"/>
  <c r="F135" i="5"/>
  <c r="H135" i="5"/>
  <c r="E135" i="5"/>
  <c r="F158" i="5"/>
  <c r="H158" i="5"/>
  <c r="G158" i="5"/>
  <c r="E158" i="5"/>
  <c r="F151" i="5"/>
  <c r="H151" i="5"/>
  <c r="G151" i="5"/>
  <c r="E151" i="5"/>
  <c r="E12" i="5"/>
  <c r="F12" i="5"/>
  <c r="F10" i="5"/>
  <c r="G27" i="5"/>
  <c r="G34" i="5"/>
  <c r="H48" i="5"/>
  <c r="F52" i="5"/>
  <c r="E56" i="5"/>
  <c r="F69" i="5"/>
  <c r="E69" i="5"/>
  <c r="H69" i="5"/>
  <c r="G69" i="5"/>
  <c r="G133" i="5"/>
  <c r="F184" i="5"/>
  <c r="E184" i="5"/>
  <c r="H184" i="5"/>
  <c r="G184" i="5"/>
  <c r="F5" i="5"/>
  <c r="E7" i="5"/>
  <c r="G5" i="5"/>
  <c r="F7" i="5"/>
  <c r="G12" i="5"/>
  <c r="H27" i="5"/>
  <c r="H95" i="5"/>
  <c r="G95" i="5"/>
  <c r="F119" i="5"/>
  <c r="E119" i="5"/>
  <c r="H119" i="5"/>
  <c r="H176" i="5"/>
  <c r="G176" i="5"/>
  <c r="F176" i="5"/>
  <c r="E176" i="5"/>
  <c r="F56" i="5"/>
  <c r="H5" i="5"/>
  <c r="G7" i="5"/>
  <c r="H12" i="5"/>
  <c r="H45" i="5"/>
  <c r="G45" i="5"/>
  <c r="F45" i="5"/>
  <c r="G56" i="5"/>
  <c r="H81" i="5"/>
  <c r="G81" i="5"/>
  <c r="F81" i="5"/>
  <c r="E81" i="5"/>
  <c r="H87" i="5"/>
  <c r="G87" i="5"/>
  <c r="F87" i="5"/>
  <c r="E87" i="5"/>
  <c r="H91" i="5"/>
  <c r="G91" i="5"/>
  <c r="F91" i="5"/>
  <c r="E91" i="5"/>
  <c r="G97" i="5"/>
  <c r="F97" i="5"/>
  <c r="H97" i="5"/>
  <c r="E97" i="5"/>
  <c r="H126" i="5"/>
  <c r="G126" i="5"/>
  <c r="F126" i="5"/>
  <c r="H49" i="5"/>
  <c r="G49" i="5"/>
  <c r="E49" i="5"/>
  <c r="E95" i="5"/>
  <c r="H107" i="5"/>
  <c r="G107" i="5"/>
  <c r="F107" i="5"/>
  <c r="H170" i="5"/>
  <c r="G170" i="5"/>
  <c r="F170" i="5"/>
  <c r="E170" i="5"/>
  <c r="H31" i="5"/>
  <c r="G31" i="5"/>
  <c r="E31" i="5"/>
  <c r="E26" i="5"/>
  <c r="H26" i="5"/>
  <c r="F138" i="5"/>
  <c r="E138" i="5"/>
  <c r="H138" i="5"/>
  <c r="G138" i="5"/>
  <c r="H152" i="5"/>
  <c r="G152" i="5"/>
  <c r="F152" i="5"/>
  <c r="E152" i="5"/>
  <c r="H197" i="5"/>
  <c r="G197" i="5"/>
  <c r="F197" i="5"/>
  <c r="E197" i="5"/>
  <c r="H209" i="5"/>
  <c r="G209" i="5"/>
  <c r="F209" i="5"/>
  <c r="E209" i="5"/>
  <c r="H60" i="5"/>
  <c r="G60" i="5"/>
  <c r="E60" i="5"/>
  <c r="G11" i="5"/>
  <c r="E11" i="5"/>
  <c r="H28" i="5"/>
  <c r="E28" i="5"/>
  <c r="F31" i="5"/>
  <c r="E33" i="5"/>
  <c r="H33" i="5"/>
  <c r="F33" i="5"/>
  <c r="F49" i="5"/>
  <c r="G53" i="5"/>
  <c r="F53" i="5"/>
  <c r="F60" i="5"/>
  <c r="E4" i="5"/>
  <c r="F13" i="5"/>
  <c r="E13" i="5"/>
  <c r="F26" i="5"/>
  <c r="F40" i="5"/>
  <c r="E42" i="5"/>
  <c r="F74" i="5"/>
  <c r="E74" i="5"/>
  <c r="F6" i="5"/>
  <c r="E6" i="5"/>
  <c r="H6" i="5"/>
  <c r="G6" i="5"/>
  <c r="F55" i="5"/>
  <c r="E55" i="5"/>
  <c r="H55" i="5"/>
  <c r="G55" i="5"/>
  <c r="F76" i="5"/>
  <c r="E76" i="5"/>
  <c r="H76" i="5"/>
  <c r="G76" i="5"/>
  <c r="H84" i="5"/>
  <c r="F84" i="5"/>
  <c r="E84" i="5"/>
  <c r="H148" i="5"/>
  <c r="G148" i="5"/>
  <c r="F148" i="5"/>
  <c r="E148" i="5"/>
  <c r="H191" i="5"/>
  <c r="G191" i="5"/>
  <c r="F191" i="5"/>
  <c r="E191" i="5"/>
  <c r="G18" i="5"/>
  <c r="G84" i="5"/>
  <c r="F90" i="5"/>
  <c r="E90" i="5"/>
  <c r="G104" i="5"/>
  <c r="F104" i="5"/>
  <c r="E104" i="5"/>
  <c r="E118" i="5"/>
  <c r="H118" i="5"/>
  <c r="G118" i="5"/>
  <c r="F118" i="5"/>
  <c r="E82" i="5"/>
  <c r="H82" i="5"/>
  <c r="G82" i="5"/>
  <c r="F82" i="5"/>
  <c r="F157" i="5"/>
  <c r="E157" i="5"/>
  <c r="H157" i="5"/>
  <c r="G157" i="5"/>
  <c r="F20" i="5"/>
  <c r="E20" i="5"/>
  <c r="H39" i="5"/>
  <c r="E39" i="5"/>
  <c r="H59" i="5"/>
  <c r="G59" i="5"/>
  <c r="E61" i="5"/>
  <c r="F61" i="5"/>
  <c r="F100" i="5"/>
  <c r="E100" i="5"/>
  <c r="H125" i="5"/>
  <c r="E125" i="5"/>
  <c r="G125" i="5"/>
  <c r="F125" i="5"/>
  <c r="F160" i="5"/>
  <c r="E160" i="5"/>
  <c r="G212" i="5"/>
  <c r="H212" i="5"/>
  <c r="F223" i="5"/>
  <c r="F234" i="5"/>
  <c r="H234" i="5"/>
  <c r="G234" i="5"/>
  <c r="E255" i="5"/>
  <c r="E278" i="5"/>
  <c r="E326" i="5"/>
  <c r="E368" i="5"/>
  <c r="G210" i="5"/>
  <c r="G221" i="5"/>
  <c r="G223" i="5"/>
  <c r="F255" i="5"/>
  <c r="H257" i="5"/>
  <c r="G257" i="5"/>
  <c r="G309" i="5"/>
  <c r="H309" i="5"/>
  <c r="F309" i="5"/>
  <c r="E309" i="5"/>
  <c r="H340" i="5"/>
  <c r="G340" i="5"/>
  <c r="F340" i="5"/>
  <c r="E114" i="5"/>
  <c r="G174" i="5"/>
  <c r="E174" i="5"/>
  <c r="F193" i="5"/>
  <c r="G193" i="5"/>
  <c r="H193" i="5"/>
  <c r="E193" i="5"/>
  <c r="H255" i="5"/>
  <c r="E305" i="5"/>
  <c r="H305" i="5"/>
  <c r="G305" i="5"/>
  <c r="H66" i="5"/>
  <c r="G66" i="5"/>
  <c r="E121" i="5"/>
  <c r="G160" i="5"/>
  <c r="G216" i="5"/>
  <c r="F216" i="5"/>
  <c r="H223" i="5"/>
  <c r="H225" i="5"/>
  <c r="G225" i="5"/>
  <c r="F225" i="5"/>
  <c r="E225" i="5"/>
  <c r="H17" i="5"/>
  <c r="G17" i="5"/>
  <c r="H99" i="5"/>
  <c r="G99" i="5"/>
  <c r="F114" i="5"/>
  <c r="F121" i="5"/>
  <c r="H160" i="5"/>
  <c r="E167" i="5"/>
  <c r="F181" i="5"/>
  <c r="E181" i="5"/>
  <c r="F212" i="5"/>
  <c r="E214" i="5"/>
  <c r="F242" i="5"/>
  <c r="G242" i="5"/>
  <c r="E242" i="5"/>
  <c r="E244" i="5"/>
  <c r="H244" i="5"/>
  <c r="E257" i="5"/>
  <c r="F266" i="5"/>
  <c r="E340" i="5"/>
  <c r="E89" i="5"/>
  <c r="H89" i="5"/>
  <c r="H94" i="5"/>
  <c r="G94" i="5"/>
  <c r="F116" i="5"/>
  <c r="G116" i="5"/>
  <c r="E116" i="5"/>
  <c r="H121" i="5"/>
  <c r="E140" i="5"/>
  <c r="F167" i="5"/>
  <c r="H183" i="5"/>
  <c r="G183" i="5"/>
  <c r="F207" i="5"/>
  <c r="E207" i="5"/>
  <c r="E216" i="5"/>
  <c r="H218" i="5"/>
  <c r="E218" i="5"/>
  <c r="F229" i="5"/>
  <c r="F240" i="5"/>
  <c r="G248" i="5"/>
  <c r="F248" i="5"/>
  <c r="E248" i="5"/>
  <c r="G250" i="5"/>
  <c r="E250" i="5"/>
  <c r="F315" i="5"/>
  <c r="H315" i="5"/>
  <c r="G315" i="5"/>
  <c r="E315" i="5"/>
  <c r="G231" i="5"/>
  <c r="H231" i="5"/>
  <c r="F231" i="5"/>
  <c r="H254" i="5"/>
  <c r="G254" i="5"/>
  <c r="F254" i="5"/>
  <c r="E286" i="5"/>
  <c r="H286" i="5"/>
  <c r="H323" i="5"/>
  <c r="G323" i="5"/>
  <c r="F323" i="5"/>
  <c r="H348" i="5"/>
  <c r="G348" i="5"/>
  <c r="F348" i="5"/>
  <c r="E348" i="5"/>
  <c r="F41" i="5"/>
  <c r="E41" i="5"/>
  <c r="F218" i="5"/>
  <c r="E220" i="5"/>
  <c r="H229" i="5"/>
  <c r="F235" i="5"/>
  <c r="E235" i="5"/>
  <c r="H240" i="5"/>
  <c r="G244" i="5"/>
  <c r="H248" i="5"/>
  <c r="F250" i="5"/>
  <c r="E252" i="5"/>
  <c r="H277" i="5"/>
  <c r="G277" i="5"/>
  <c r="F288" i="5"/>
  <c r="H298" i="5"/>
  <c r="G298" i="5"/>
  <c r="H337" i="5"/>
  <c r="G337" i="5"/>
  <c r="F337" i="5"/>
  <c r="E68" i="5"/>
  <c r="H68" i="5"/>
  <c r="H73" i="5"/>
  <c r="G73" i="5"/>
  <c r="H140" i="5"/>
  <c r="H190" i="5"/>
  <c r="G190" i="5"/>
  <c r="F190" i="5"/>
  <c r="E190" i="5"/>
  <c r="H38" i="5"/>
  <c r="G38" i="5"/>
  <c r="H47" i="5"/>
  <c r="G89" i="5"/>
  <c r="F94" i="5"/>
  <c r="F101" i="5"/>
  <c r="H103" i="5"/>
  <c r="E103" i="5"/>
  <c r="H111" i="5"/>
  <c r="H113" i="5"/>
  <c r="G113" i="5"/>
  <c r="F113" i="5"/>
  <c r="H123" i="5"/>
  <c r="H127" i="5"/>
  <c r="E127" i="5"/>
  <c r="G130" i="5"/>
  <c r="H132" i="5"/>
  <c r="G132" i="5"/>
  <c r="F137" i="5"/>
  <c r="H137" i="5"/>
  <c r="F142" i="5"/>
  <c r="G145" i="5"/>
  <c r="F164" i="5"/>
  <c r="F183" i="5"/>
  <c r="H207" i="5"/>
  <c r="G218" i="5"/>
  <c r="F220" i="5"/>
  <c r="G222" i="5"/>
  <c r="F222" i="5"/>
  <c r="E222" i="5"/>
  <c r="E231" i="5"/>
  <c r="H250" i="5"/>
  <c r="F252" i="5"/>
  <c r="E254" i="5"/>
  <c r="E263" i="5"/>
  <c r="F286" i="5"/>
  <c r="G288" i="5"/>
  <c r="G294" i="5"/>
  <c r="E294" i="5"/>
  <c r="F294" i="5"/>
  <c r="E323" i="5"/>
  <c r="H329" i="5"/>
  <c r="G329" i="5"/>
  <c r="G354" i="5"/>
  <c r="H354" i="5"/>
  <c r="F379" i="5"/>
  <c r="E379" i="5"/>
  <c r="H379" i="5"/>
  <c r="G379" i="5"/>
  <c r="F68" i="5"/>
  <c r="E73" i="5"/>
  <c r="F83" i="5"/>
  <c r="E83" i="5"/>
  <c r="E96" i="5"/>
  <c r="H96" i="5"/>
  <c r="E120" i="5"/>
  <c r="E159" i="5"/>
  <c r="E171" i="5"/>
  <c r="H187" i="5"/>
  <c r="F187" i="5"/>
  <c r="E187" i="5"/>
  <c r="E192" i="5"/>
  <c r="H192" i="5"/>
  <c r="F202" i="5"/>
  <c r="H204" i="5"/>
  <c r="E204" i="5"/>
  <c r="F213" i="5"/>
  <c r="E213" i="5"/>
  <c r="F263" i="5"/>
  <c r="E272" i="5"/>
  <c r="H272" i="5"/>
  <c r="F272" i="5"/>
  <c r="G286" i="5"/>
  <c r="H288" i="5"/>
  <c r="E302" i="5"/>
  <c r="H302" i="5"/>
  <c r="G302" i="5"/>
  <c r="E337" i="5"/>
  <c r="E341" i="5"/>
  <c r="F341" i="5"/>
  <c r="F375" i="5"/>
  <c r="E375" i="5"/>
  <c r="H375" i="5"/>
  <c r="G375" i="5"/>
  <c r="H24" i="5"/>
  <c r="G24" i="5"/>
  <c r="H41" i="5"/>
  <c r="G68" i="5"/>
  <c r="F73" i="5"/>
  <c r="F120" i="5"/>
  <c r="H122" i="5"/>
  <c r="E122" i="5"/>
  <c r="G154" i="5"/>
  <c r="F154" i="5"/>
  <c r="F159" i="5"/>
  <c r="F171" i="5"/>
  <c r="H173" i="5"/>
  <c r="G173" i="5"/>
  <c r="G202" i="5"/>
  <c r="F211" i="5"/>
  <c r="F215" i="5"/>
  <c r="H215" i="5"/>
  <c r="H222" i="5"/>
  <c r="F226" i="5"/>
  <c r="H235" i="5"/>
  <c r="F237" i="5"/>
  <c r="H237" i="5"/>
  <c r="E258" i="5"/>
  <c r="F258" i="5"/>
  <c r="G263" i="5"/>
  <c r="F277" i="5"/>
  <c r="F298" i="5"/>
  <c r="H343" i="5"/>
  <c r="G343" i="5"/>
  <c r="E354" i="5"/>
  <c r="H406" i="5"/>
  <c r="G406" i="5"/>
  <c r="F406" i="5"/>
  <c r="E406" i="5"/>
  <c r="F62" i="5"/>
  <c r="E62" i="5"/>
  <c r="E75" i="5"/>
  <c r="H75" i="5"/>
  <c r="H80" i="5"/>
  <c r="G80" i="5"/>
  <c r="H110" i="5"/>
  <c r="G110" i="5"/>
  <c r="E115" i="5"/>
  <c r="H115" i="5"/>
  <c r="G120" i="5"/>
  <c r="H129" i="5"/>
  <c r="G129" i="5"/>
  <c r="H159" i="5"/>
  <c r="H163" i="5"/>
  <c r="E163" i="5"/>
  <c r="H171" i="5"/>
  <c r="E199" i="5"/>
  <c r="H199" i="5"/>
  <c r="G199" i="5"/>
  <c r="H202" i="5"/>
  <c r="F204" i="5"/>
  <c r="G213" i="5"/>
  <c r="G245" i="5"/>
  <c r="F245" i="5"/>
  <c r="E245" i="5"/>
  <c r="H247" i="5"/>
  <c r="E247" i="5"/>
  <c r="E265" i="5"/>
  <c r="H265" i="5"/>
  <c r="G265" i="5"/>
  <c r="F265" i="5"/>
  <c r="G272" i="5"/>
  <c r="F302" i="5"/>
  <c r="G304" i="5"/>
  <c r="H304" i="5"/>
  <c r="H428" i="5"/>
  <c r="G428" i="5"/>
  <c r="F428" i="5"/>
  <c r="E428" i="5"/>
  <c r="H134" i="5"/>
  <c r="E134" i="5"/>
  <c r="H141" i="5"/>
  <c r="E141" i="5"/>
  <c r="E156" i="5"/>
  <c r="H156" i="5"/>
  <c r="F228" i="5"/>
  <c r="H228" i="5"/>
  <c r="G228" i="5"/>
  <c r="E228" i="5"/>
  <c r="H232" i="5"/>
  <c r="E232" i="5"/>
  <c r="H251" i="5"/>
  <c r="G251" i="5"/>
  <c r="F251" i="5"/>
  <c r="G269" i="5"/>
  <c r="E269" i="5"/>
  <c r="G283" i="5"/>
  <c r="E283" i="5"/>
  <c r="E285" i="5"/>
  <c r="H285" i="5"/>
  <c r="H341" i="5"/>
  <c r="E343" i="5"/>
  <c r="H362" i="5"/>
  <c r="G362" i="5"/>
  <c r="F362" i="5"/>
  <c r="E362" i="5"/>
  <c r="F196" i="5"/>
  <c r="H196" i="5"/>
  <c r="G196" i="5"/>
  <c r="G219" i="5"/>
  <c r="F219" i="5"/>
  <c r="E219" i="5"/>
  <c r="F278" i="5"/>
  <c r="H278" i="5"/>
  <c r="G287" i="5"/>
  <c r="F287" i="5"/>
  <c r="E287" i="5"/>
  <c r="G318" i="5"/>
  <c r="F318" i="5"/>
  <c r="H318" i="5"/>
  <c r="H326" i="5"/>
  <c r="G326" i="5"/>
  <c r="H368" i="5"/>
  <c r="G368" i="5"/>
  <c r="E384" i="5"/>
  <c r="F384" i="5"/>
  <c r="H384" i="5"/>
  <c r="G384" i="5"/>
  <c r="F156" i="5"/>
  <c r="G163" i="5"/>
  <c r="F177" i="5"/>
  <c r="E177" i="5"/>
  <c r="F210" i="5"/>
  <c r="E210" i="5"/>
  <c r="F221" i="5"/>
  <c r="E221" i="5"/>
  <c r="F232" i="5"/>
  <c r="E251" i="5"/>
  <c r="H253" i="5"/>
  <c r="F253" i="5"/>
  <c r="E253" i="5"/>
  <c r="F269" i="5"/>
  <c r="F283" i="5"/>
  <c r="F285" i="5"/>
  <c r="H295" i="5"/>
  <c r="G295" i="5"/>
  <c r="F295" i="5"/>
  <c r="F304" i="5"/>
  <c r="E330" i="5"/>
  <c r="H330" i="5"/>
  <c r="G330" i="5"/>
  <c r="H334" i="5"/>
  <c r="G334" i="5"/>
  <c r="F334" i="5"/>
  <c r="E334" i="5"/>
  <c r="H392" i="5"/>
  <c r="G392" i="5"/>
  <c r="F392" i="5"/>
  <c r="E392" i="5"/>
  <c r="E335" i="5"/>
  <c r="G335" i="5"/>
  <c r="E382" i="5"/>
  <c r="G382" i="5"/>
  <c r="G416" i="5"/>
  <c r="H416" i="5"/>
  <c r="F416" i="5"/>
  <c r="E433" i="5"/>
  <c r="F433" i="5"/>
  <c r="G435" i="5"/>
  <c r="F435" i="5"/>
  <c r="E435" i="5"/>
  <c r="G481" i="5"/>
  <c r="F481" i="5"/>
  <c r="H481" i="5"/>
  <c r="E481" i="5"/>
  <c r="E510" i="5"/>
  <c r="G510" i="5"/>
  <c r="H510" i="5"/>
  <c r="F510" i="5"/>
  <c r="H319" i="5"/>
  <c r="E321" i="5"/>
  <c r="H321" i="5"/>
  <c r="G332" i="5"/>
  <c r="H332" i="5"/>
  <c r="F349" i="5"/>
  <c r="G360" i="5"/>
  <c r="E360" i="5"/>
  <c r="G390" i="5"/>
  <c r="F390" i="5"/>
  <c r="G437" i="5"/>
  <c r="E437" i="5"/>
  <c r="F437" i="5"/>
  <c r="H413" i="5"/>
  <c r="G413" i="5"/>
  <c r="F413" i="5"/>
  <c r="E418" i="5"/>
  <c r="H418" i="5"/>
  <c r="G418" i="5"/>
  <c r="E475" i="5"/>
  <c r="F475" i="5"/>
  <c r="H475" i="5"/>
  <c r="G475" i="5"/>
  <c r="H382" i="5"/>
  <c r="F395" i="5"/>
  <c r="E424" i="5"/>
  <c r="F424" i="5"/>
  <c r="H433" i="5"/>
  <c r="H437" i="5"/>
  <c r="H442" i="5"/>
  <c r="G442" i="5"/>
  <c r="F442" i="5"/>
  <c r="E496" i="5"/>
  <c r="H496" i="5"/>
  <c r="F496" i="5"/>
  <c r="E440" i="5"/>
  <c r="G440" i="5"/>
  <c r="H448" i="5"/>
  <c r="G448" i="5"/>
  <c r="E448" i="5"/>
  <c r="E517" i="5"/>
  <c r="H517" i="5"/>
  <c r="F517" i="5"/>
  <c r="G517" i="5"/>
  <c r="F351" i="5"/>
  <c r="F365" i="5"/>
  <c r="H374" i="5"/>
  <c r="G381" i="5"/>
  <c r="E381" i="5"/>
  <c r="G397" i="5"/>
  <c r="G399" i="5"/>
  <c r="H424" i="5"/>
  <c r="E442" i="5"/>
  <c r="H463" i="5"/>
  <c r="F463" i="5"/>
  <c r="E463" i="5"/>
  <c r="G463" i="5"/>
  <c r="G490" i="5"/>
  <c r="F490" i="5"/>
  <c r="E490" i="5"/>
  <c r="G496" i="5"/>
  <c r="G262" i="5"/>
  <c r="E262" i="5"/>
  <c r="H262" i="5"/>
  <c r="G351" i="5"/>
  <c r="E356" i="5"/>
  <c r="H356" i="5"/>
  <c r="G365" i="5"/>
  <c r="E370" i="5"/>
  <c r="H370" i="5"/>
  <c r="H399" i="5"/>
  <c r="F432" i="5"/>
  <c r="E432" i="5"/>
  <c r="H432" i="5"/>
  <c r="F434" i="5"/>
  <c r="E434" i="5"/>
  <c r="F440" i="5"/>
  <c r="F448" i="5"/>
  <c r="F259" i="5"/>
  <c r="G259" i="5"/>
  <c r="E292" i="5"/>
  <c r="E300" i="5"/>
  <c r="F300" i="5"/>
  <c r="G300" i="5"/>
  <c r="E306" i="5"/>
  <c r="E320" i="5"/>
  <c r="G353" i="5"/>
  <c r="H353" i="5"/>
  <c r="E376" i="5"/>
  <c r="F381" i="5"/>
  <c r="E386" i="5"/>
  <c r="E389" i="5"/>
  <c r="G438" i="5"/>
  <c r="F438" i="5"/>
  <c r="E438" i="5"/>
  <c r="H438" i="5"/>
  <c r="H440" i="5"/>
  <c r="H490" i="5"/>
  <c r="H501" i="5"/>
  <c r="G501" i="5"/>
  <c r="E501" i="5"/>
  <c r="F501" i="5"/>
  <c r="H522" i="5"/>
  <c r="G522" i="5"/>
  <c r="E522" i="5"/>
  <c r="F522" i="5"/>
  <c r="E239" i="5"/>
  <c r="G256" i="5"/>
  <c r="F256" i="5"/>
  <c r="F262" i="5"/>
  <c r="E267" i="5"/>
  <c r="E270" i="5"/>
  <c r="E273" i="5"/>
  <c r="F284" i="5"/>
  <c r="G297" i="5"/>
  <c r="F297" i="5"/>
  <c r="E297" i="5"/>
  <c r="G306" i="5"/>
  <c r="E325" i="5"/>
  <c r="F356" i="5"/>
  <c r="F370" i="5"/>
  <c r="G376" i="5"/>
  <c r="H381" i="5"/>
  <c r="F386" i="5"/>
  <c r="F389" i="5"/>
  <c r="F396" i="5"/>
  <c r="E396" i="5"/>
  <c r="E419" i="5"/>
  <c r="H419" i="5"/>
  <c r="G419" i="5"/>
  <c r="G432" i="5"/>
  <c r="G434" i="5"/>
  <c r="H407" i="5"/>
  <c r="G407" i="5"/>
  <c r="G423" i="5"/>
  <c r="E423" i="5"/>
  <c r="F423" i="5"/>
  <c r="E344" i="5"/>
  <c r="G344" i="5"/>
  <c r="E398" i="5"/>
  <c r="F398" i="5"/>
  <c r="H398" i="5"/>
  <c r="G400" i="5"/>
  <c r="F400" i="5"/>
  <c r="E400" i="5"/>
  <c r="H460" i="5"/>
  <c r="F460" i="5"/>
  <c r="E460" i="5"/>
  <c r="G460" i="5"/>
  <c r="H291" i="5"/>
  <c r="E291" i="5"/>
  <c r="F311" i="5"/>
  <c r="G314" i="5"/>
  <c r="G322" i="5"/>
  <c r="F339" i="5"/>
  <c r="H342" i="5"/>
  <c r="F347" i="5"/>
  <c r="H367" i="5"/>
  <c r="F378" i="5"/>
  <c r="G383" i="5"/>
  <c r="H396" i="5"/>
  <c r="E407" i="5"/>
  <c r="H423" i="5"/>
  <c r="G472" i="5"/>
  <c r="F472" i="5"/>
  <c r="H472" i="5"/>
  <c r="E472" i="5"/>
  <c r="G398" i="5"/>
  <c r="H400" i="5"/>
  <c r="F407" i="5"/>
  <c r="G409" i="5"/>
  <c r="H409" i="5"/>
  <c r="F409" i="5"/>
  <c r="G439" i="5"/>
  <c r="F439" i="5"/>
  <c r="E439" i="5"/>
  <c r="E447" i="5"/>
  <c r="H447" i="5"/>
  <c r="G447" i="5"/>
  <c r="F447" i="5"/>
  <c r="H466" i="5"/>
  <c r="F466" i="5"/>
  <c r="E466" i="5"/>
  <c r="G466" i="5"/>
  <c r="E412" i="5"/>
  <c r="G412" i="5"/>
  <c r="H412" i="5"/>
  <c r="E426" i="5"/>
  <c r="F426" i="5"/>
  <c r="G444" i="5"/>
  <c r="H444" i="5"/>
  <c r="F444" i="5"/>
  <c r="E444" i="5"/>
  <c r="G486" i="5"/>
  <c r="H486" i="5"/>
  <c r="E486" i="5"/>
  <c r="G518" i="5"/>
  <c r="H518" i="5"/>
  <c r="G558" i="5"/>
  <c r="E558" i="5"/>
  <c r="H558" i="5"/>
  <c r="F558" i="5"/>
  <c r="H445" i="5"/>
  <c r="G445" i="5"/>
  <c r="E445" i="5"/>
  <c r="G469" i="5"/>
  <c r="F469" i="5"/>
  <c r="E469" i="5"/>
  <c r="G493" i="5"/>
  <c r="H493" i="5"/>
  <c r="F493" i="5"/>
  <c r="E497" i="5"/>
  <c r="H497" i="5"/>
  <c r="G497" i="5"/>
  <c r="F497" i="5"/>
  <c r="E531" i="5"/>
  <c r="F531" i="5"/>
  <c r="H531" i="5"/>
  <c r="G531" i="5"/>
  <c r="G539" i="5"/>
  <c r="F539" i="5"/>
  <c r="E539" i="5"/>
  <c r="G430" i="5"/>
  <c r="E430" i="5"/>
  <c r="G441" i="5"/>
  <c r="F441" i="5"/>
  <c r="E441" i="5"/>
  <c r="H523" i="5"/>
  <c r="G523" i="5"/>
  <c r="F523" i="5"/>
  <c r="F555" i="5"/>
  <c r="E555" i="5"/>
  <c r="G555" i="5"/>
  <c r="G559" i="5"/>
  <c r="H559" i="5"/>
  <c r="F559" i="5"/>
  <c r="E559" i="5"/>
  <c r="E489" i="5"/>
  <c r="H489" i="5"/>
  <c r="F489" i="5"/>
  <c r="G507" i="5"/>
  <c r="H507" i="5"/>
  <c r="E507" i="5"/>
  <c r="E515" i="5"/>
  <c r="H515" i="5"/>
  <c r="F515" i="5"/>
  <c r="F578" i="5"/>
  <c r="E578" i="5"/>
  <c r="G578" i="5"/>
  <c r="H578" i="5"/>
  <c r="G403" i="5"/>
  <c r="F403" i="5"/>
  <c r="H410" i="5"/>
  <c r="G410" i="5"/>
  <c r="H498" i="5"/>
  <c r="G498" i="5"/>
  <c r="E498" i="5"/>
  <c r="F507" i="5"/>
  <c r="G515" i="5"/>
  <c r="E540" i="5"/>
  <c r="H540" i="5"/>
  <c r="G540" i="5"/>
  <c r="F540" i="5"/>
  <c r="G562" i="5"/>
  <c r="H562" i="5"/>
  <c r="E562" i="5"/>
  <c r="F453" i="5"/>
  <c r="H453" i="5"/>
  <c r="G453" i="5"/>
  <c r="E453" i="5"/>
  <c r="H474" i="5"/>
  <c r="G474" i="5"/>
  <c r="E474" i="5"/>
  <c r="H484" i="5"/>
  <c r="G484" i="5"/>
  <c r="H530" i="5"/>
  <c r="G530" i="5"/>
  <c r="E530" i="5"/>
  <c r="F562" i="5"/>
  <c r="H504" i="5"/>
  <c r="G504" i="5"/>
  <c r="E504" i="5"/>
  <c r="E568" i="5"/>
  <c r="G568" i="5"/>
  <c r="H568" i="5"/>
  <c r="F568" i="5"/>
  <c r="F529" i="5"/>
  <c r="H532" i="5"/>
  <c r="H552" i="5"/>
  <c r="H611" i="5"/>
  <c r="G611" i="5"/>
  <c r="F611" i="5"/>
  <c r="E611" i="5"/>
  <c r="F656" i="5"/>
  <c r="E656" i="5"/>
  <c r="H656" i="5"/>
  <c r="G656" i="5"/>
  <c r="H688" i="5"/>
  <c r="E688" i="5"/>
  <c r="G688" i="5"/>
  <c r="F688" i="5"/>
  <c r="F630" i="5"/>
  <c r="E630" i="5"/>
  <c r="G570" i="5"/>
  <c r="F570" i="5"/>
  <c r="H570" i="5"/>
  <c r="E570" i="5"/>
  <c r="F585" i="5"/>
  <c r="H585" i="5"/>
  <c r="G585" i="5"/>
  <c r="E585" i="5"/>
  <c r="H626" i="5"/>
  <c r="G626" i="5"/>
  <c r="F626" i="5"/>
  <c r="E626" i="5"/>
  <c r="F634" i="5"/>
  <c r="G634" i="5"/>
  <c r="E634" i="5"/>
  <c r="H634" i="5"/>
  <c r="G528" i="5"/>
  <c r="F528" i="5"/>
  <c r="E546" i="5"/>
  <c r="H546" i="5"/>
  <c r="G565" i="5"/>
  <c r="F565" i="5"/>
  <c r="E624" i="5"/>
  <c r="G630" i="5"/>
  <c r="H640" i="5"/>
  <c r="G640" i="5"/>
  <c r="E640" i="5"/>
  <c r="G644" i="5"/>
  <c r="E644" i="5"/>
  <c r="H673" i="5"/>
  <c r="G673" i="5"/>
  <c r="F673" i="5"/>
  <c r="F541" i="5"/>
  <c r="E560" i="5"/>
  <c r="G576" i="5"/>
  <c r="F576" i="5"/>
  <c r="H580" i="5"/>
  <c r="G580" i="5"/>
  <c r="H598" i="5"/>
  <c r="G598" i="5"/>
  <c r="E598" i="5"/>
  <c r="E600" i="5"/>
  <c r="F600" i="5"/>
  <c r="G602" i="5"/>
  <c r="F602" i="5"/>
  <c r="E602" i="5"/>
  <c r="E604" i="5"/>
  <c r="F624" i="5"/>
  <c r="H630" i="5"/>
  <c r="E594" i="5"/>
  <c r="F604" i="5"/>
  <c r="H614" i="5"/>
  <c r="G614" i="5"/>
  <c r="G624" i="5"/>
  <c r="F640" i="5"/>
  <c r="F644" i="5"/>
  <c r="F654" i="5"/>
  <c r="G654" i="5"/>
  <c r="H654" i="5"/>
  <c r="E654" i="5"/>
  <c r="F657" i="5"/>
  <c r="H657" i="5"/>
  <c r="G657" i="5"/>
  <c r="E657" i="5"/>
  <c r="E673" i="5"/>
  <c r="G682" i="5"/>
  <c r="F682" i="5"/>
  <c r="H682" i="5"/>
  <c r="E682" i="5"/>
  <c r="F451" i="5"/>
  <c r="G454" i="5"/>
  <c r="E512" i="5"/>
  <c r="H528" i="5"/>
  <c r="F533" i="5"/>
  <c r="H541" i="5"/>
  <c r="G546" i="5"/>
  <c r="G553" i="5"/>
  <c r="G560" i="5"/>
  <c r="H565" i="5"/>
  <c r="G567" i="5"/>
  <c r="E567" i="5"/>
  <c r="F574" i="5"/>
  <c r="E576" i="5"/>
  <c r="E580" i="5"/>
  <c r="F589" i="5"/>
  <c r="F594" i="5"/>
  <c r="F598" i="5"/>
  <c r="G600" i="5"/>
  <c r="H602" i="5"/>
  <c r="G604" i="5"/>
  <c r="F612" i="5"/>
  <c r="F620" i="5"/>
  <c r="H620" i="5"/>
  <c r="E620" i="5"/>
  <c r="F627" i="5"/>
  <c r="E627" i="5"/>
  <c r="H644" i="5"/>
  <c r="H451" i="5"/>
  <c r="H454" i="5"/>
  <c r="H553" i="5"/>
  <c r="G589" i="5"/>
  <c r="G591" i="5"/>
  <c r="H591" i="5"/>
  <c r="F591" i="5"/>
  <c r="H594" i="5"/>
  <c r="E614" i="5"/>
  <c r="H612" i="5"/>
  <c r="F614" i="5"/>
  <c r="H629" i="5"/>
  <c r="G629" i="5"/>
  <c r="F635" i="5"/>
  <c r="E635" i="5"/>
  <c r="E524" i="5"/>
  <c r="F524" i="5"/>
  <c r="G535" i="5"/>
  <c r="E535" i="5"/>
  <c r="H660" i="5"/>
  <c r="G660" i="5"/>
  <c r="E660" i="5"/>
  <c r="E680" i="5"/>
  <c r="F680" i="5"/>
  <c r="H680" i="5"/>
  <c r="G680" i="5"/>
  <c r="E700" i="5"/>
  <c r="H700" i="5"/>
  <c r="G700" i="5"/>
  <c r="F700" i="5"/>
  <c r="F595" i="5"/>
  <c r="E595" i="5"/>
  <c r="F599" i="5"/>
  <c r="E599" i="5"/>
  <c r="E629" i="5"/>
  <c r="G635" i="5"/>
  <c r="G637" i="5"/>
  <c r="F637" i="5"/>
  <c r="H456" i="5"/>
  <c r="E470" i="5"/>
  <c r="E473" i="5"/>
  <c r="E476" i="5"/>
  <c r="E491" i="5"/>
  <c r="E494" i="5"/>
  <c r="H500" i="5"/>
  <c r="E511" i="5"/>
  <c r="H519" i="5"/>
  <c r="G524" i="5"/>
  <c r="E532" i="5"/>
  <c r="F535" i="5"/>
  <c r="E547" i="5"/>
  <c r="F547" i="5"/>
  <c r="E552" i="5"/>
  <c r="G569" i="5"/>
  <c r="G573" i="5"/>
  <c r="F573" i="5"/>
  <c r="E573" i="5"/>
  <c r="G579" i="5"/>
  <c r="F579" i="5"/>
  <c r="G586" i="5"/>
  <c r="H588" i="5"/>
  <c r="G588" i="5"/>
  <c r="H601" i="5"/>
  <c r="G601" i="5"/>
  <c r="H603" i="5"/>
  <c r="G603" i="5"/>
  <c r="F603" i="5"/>
  <c r="E603" i="5"/>
  <c r="H621" i="5"/>
  <c r="G621" i="5"/>
  <c r="F621" i="5"/>
  <c r="E621" i="5"/>
  <c r="F629" i="5"/>
  <c r="H635" i="5"/>
  <c r="F660" i="5"/>
  <c r="G664" i="5"/>
  <c r="F664" i="5"/>
  <c r="E479" i="5"/>
  <c r="F482" i="5"/>
  <c r="E488" i="5"/>
  <c r="F491" i="5"/>
  <c r="G494" i="5"/>
  <c r="F516" i="5"/>
  <c r="H524" i="5"/>
  <c r="E529" i="5"/>
  <c r="G532" i="5"/>
  <c r="H535" i="5"/>
  <c r="G552" i="5"/>
  <c r="E561" i="5"/>
  <c r="F561" i="5"/>
  <c r="H575" i="5"/>
  <c r="F575" i="5"/>
  <c r="G575" i="5"/>
  <c r="E575" i="5"/>
  <c r="G595" i="5"/>
  <c r="G599" i="5"/>
  <c r="E637" i="5"/>
  <c r="G651" i="5"/>
  <c r="H651" i="5"/>
  <c r="F651" i="5"/>
  <c r="G551" i="5"/>
  <c r="F551" i="5"/>
  <c r="E554" i="5"/>
  <c r="F554" i="5"/>
  <c r="G615" i="5"/>
  <c r="E622" i="5"/>
  <c r="F622" i="5"/>
  <c r="G633" i="5"/>
  <c r="F730" i="5"/>
  <c r="G730" i="5"/>
  <c r="E730" i="5"/>
  <c r="H617" i="5"/>
  <c r="G617" i="5"/>
  <c r="E678" i="5"/>
  <c r="H723" i="5"/>
  <c r="F723" i="5"/>
  <c r="G723" i="5"/>
  <c r="E723" i="5"/>
  <c r="H730" i="5"/>
  <c r="F655" i="5"/>
  <c r="H655" i="5"/>
  <c r="F696" i="5"/>
  <c r="G696" i="5"/>
  <c r="E696" i="5"/>
  <c r="H608" i="5"/>
  <c r="G608" i="5"/>
  <c r="F641" i="5"/>
  <c r="E641" i="5"/>
  <c r="G655" i="5"/>
  <c r="H659" i="5"/>
  <c r="F659" i="5"/>
  <c r="F698" i="5"/>
  <c r="H698" i="5"/>
  <c r="G698" i="5"/>
  <c r="E698" i="5"/>
  <c r="G707" i="5"/>
  <c r="H707" i="5"/>
  <c r="F707" i="5"/>
  <c r="E707" i="5"/>
  <c r="H631" i="5"/>
  <c r="F631" i="5"/>
  <c r="E631" i="5"/>
  <c r="F648" i="5"/>
  <c r="H648" i="5"/>
  <c r="E648" i="5"/>
  <c r="E668" i="5"/>
  <c r="F675" i="5"/>
  <c r="F677" i="5"/>
  <c r="E677" i="5"/>
  <c r="G677" i="5"/>
  <c r="H696" i="5"/>
  <c r="F701" i="5"/>
  <c r="G701" i="5"/>
  <c r="F703" i="5"/>
  <c r="E703" i="5"/>
  <c r="F613" i="5"/>
  <c r="G613" i="5"/>
  <c r="F668" i="5"/>
  <c r="F670" i="5"/>
  <c r="H670" i="5"/>
  <c r="E670" i="5"/>
  <c r="G675" i="5"/>
  <c r="F683" i="5"/>
  <c r="E683" i="5"/>
  <c r="F705" i="5"/>
  <c r="E705" i="5"/>
  <c r="H705" i="5"/>
  <c r="G705" i="5"/>
  <c r="G605" i="5"/>
  <c r="F605" i="5"/>
  <c r="E618" i="5"/>
  <c r="E623" i="5"/>
  <c r="G631" i="5"/>
  <c r="H638" i="5"/>
  <c r="E638" i="5"/>
  <c r="G648" i="5"/>
  <c r="H652" i="5"/>
  <c r="E652" i="5"/>
  <c r="F652" i="5"/>
  <c r="G668" i="5"/>
  <c r="H675" i="5"/>
  <c r="H677" i="5"/>
  <c r="E681" i="5"/>
  <c r="H685" i="5"/>
  <c r="G685" i="5"/>
  <c r="F685" i="5"/>
  <c r="E701" i="5"/>
  <c r="G703" i="5"/>
  <c r="F714" i="5"/>
  <c r="H714" i="5"/>
  <c r="E714" i="5"/>
  <c r="G714" i="5"/>
  <c r="H582" i="5"/>
  <c r="G582" i="5"/>
  <c r="F582" i="5"/>
  <c r="H610" i="5"/>
  <c r="G610" i="5"/>
  <c r="E613" i="5"/>
  <c r="F625" i="5"/>
  <c r="E625" i="5"/>
  <c r="E643" i="5"/>
  <c r="G670" i="5"/>
  <c r="F681" i="5"/>
  <c r="G683" i="5"/>
  <c r="H701" i="5"/>
  <c r="H703" i="5"/>
  <c r="G681" i="5"/>
  <c r="H683" i="5"/>
  <c r="E685" i="5"/>
  <c r="F691" i="5"/>
  <c r="E691" i="5"/>
  <c r="G691" i="5"/>
  <c r="G712" i="5"/>
  <c r="F712" i="5"/>
  <c r="H712" i="5"/>
  <c r="E712" i="5"/>
  <c r="G693" i="5"/>
  <c r="F693" i="5"/>
  <c r="G726" i="5"/>
  <c r="F726" i="5"/>
  <c r="E726" i="5"/>
  <c r="G728" i="5"/>
  <c r="F751" i="5"/>
  <c r="E751" i="5"/>
  <c r="H751" i="5"/>
  <c r="H728" i="5"/>
  <c r="G747" i="5"/>
  <c r="F747" i="5"/>
  <c r="H749" i="5"/>
  <c r="F749" i="5"/>
  <c r="G749" i="5"/>
  <c r="F770" i="5"/>
  <c r="H770" i="5"/>
  <c r="E770" i="5"/>
  <c r="H772" i="5"/>
  <c r="F772" i="5"/>
  <c r="G772" i="5"/>
  <c r="E772" i="5"/>
  <c r="H821" i="5"/>
  <c r="F821" i="5"/>
  <c r="G821" i="5"/>
  <c r="E821" i="5"/>
  <c r="H646" i="5"/>
  <c r="E661" i="5"/>
  <c r="G661" i="5"/>
  <c r="H674" i="5"/>
  <c r="F674" i="5"/>
  <c r="G690" i="5"/>
  <c r="E690" i="5"/>
  <c r="H693" i="5"/>
  <c r="G768" i="5"/>
  <c r="H768" i="5"/>
  <c r="E768" i="5"/>
  <c r="H687" i="5"/>
  <c r="E687" i="5"/>
  <c r="H695" i="5"/>
  <c r="G695" i="5"/>
  <c r="H747" i="5"/>
  <c r="F762" i="5"/>
  <c r="H762" i="5"/>
  <c r="G762" i="5"/>
  <c r="H777" i="5"/>
  <c r="F777" i="5"/>
  <c r="H779" i="5"/>
  <c r="F779" i="5"/>
  <c r="G779" i="5"/>
  <c r="G817" i="5"/>
  <c r="E817" i="5"/>
  <c r="H817" i="5"/>
  <c r="F817" i="5"/>
  <c r="H702" i="5"/>
  <c r="F702" i="5"/>
  <c r="F713" i="5"/>
  <c r="H713" i="5"/>
  <c r="G713" i="5"/>
  <c r="G740" i="5"/>
  <c r="F740" i="5"/>
  <c r="H740" i="5"/>
  <c r="H742" i="5"/>
  <c r="F742" i="5"/>
  <c r="F768" i="5"/>
  <c r="H773" i="5"/>
  <c r="G773" i="5"/>
  <c r="E773" i="5"/>
  <c r="F658" i="5"/>
  <c r="E658" i="5"/>
  <c r="F727" i="5"/>
  <c r="E727" i="5"/>
  <c r="H727" i="5"/>
  <c r="H756" i="5"/>
  <c r="F756" i="5"/>
  <c r="G756" i="5"/>
  <c r="E756" i="5"/>
  <c r="G775" i="5"/>
  <c r="F775" i="5"/>
  <c r="H775" i="5"/>
  <c r="E750" i="5"/>
  <c r="F750" i="5"/>
  <c r="H750" i="5"/>
  <c r="G754" i="5"/>
  <c r="H754" i="5"/>
  <c r="F754" i="5"/>
  <c r="F773" i="5"/>
  <c r="G777" i="5"/>
  <c r="H807" i="5"/>
  <c r="G807" i="5"/>
  <c r="E807" i="5"/>
  <c r="F811" i="5"/>
  <c r="H811" i="5"/>
  <c r="G811" i="5"/>
  <c r="E811" i="5"/>
  <c r="E719" i="5"/>
  <c r="G727" i="5"/>
  <c r="G733" i="5"/>
  <c r="F733" i="5"/>
  <c r="H735" i="5"/>
  <c r="F735" i="5"/>
  <c r="F769" i="5"/>
  <c r="H769" i="5"/>
  <c r="E769" i="5"/>
  <c r="E775" i="5"/>
  <c r="G789" i="5"/>
  <c r="F789" i="5"/>
  <c r="H789" i="5"/>
  <c r="H791" i="5"/>
  <c r="F791" i="5"/>
  <c r="E791" i="5"/>
  <c r="H805" i="5"/>
  <c r="F805" i="5"/>
  <c r="E805" i="5"/>
  <c r="E699" i="5"/>
  <c r="H699" i="5"/>
  <c r="H706" i="5"/>
  <c r="G706" i="5"/>
  <c r="F737" i="5"/>
  <c r="G737" i="5"/>
  <c r="E754" i="5"/>
  <c r="F807" i="5"/>
  <c r="E789" i="5"/>
  <c r="G791" i="5"/>
  <c r="G805" i="5"/>
  <c r="E737" i="5"/>
  <c r="E743" i="5"/>
  <c r="H743" i="5"/>
  <c r="F743" i="5"/>
  <c r="G831" i="5"/>
  <c r="F831" i="5"/>
  <c r="H831" i="5"/>
  <c r="E831" i="5"/>
  <c r="H686" i="5"/>
  <c r="F720" i="5"/>
  <c r="H720" i="5"/>
  <c r="E720" i="5"/>
  <c r="G720" i="5"/>
  <c r="G761" i="5"/>
  <c r="H761" i="5"/>
  <c r="F761" i="5"/>
  <c r="H814" i="5"/>
  <c r="G814" i="5"/>
  <c r="F814" i="5"/>
  <c r="E814" i="5"/>
  <c r="H752" i="5"/>
  <c r="G752" i="5"/>
  <c r="F818" i="5"/>
  <c r="H818" i="5"/>
  <c r="E818" i="5"/>
  <c r="G818" i="5"/>
  <c r="H849" i="5"/>
  <c r="E849" i="5"/>
  <c r="G866" i="5"/>
  <c r="F866" i="5"/>
  <c r="E866" i="5"/>
  <c r="H866" i="5"/>
  <c r="H828" i="5"/>
  <c r="F828" i="5"/>
  <c r="G828" i="5"/>
  <c r="E828" i="5"/>
  <c r="F835" i="5"/>
  <c r="H835" i="5"/>
  <c r="G835" i="5"/>
  <c r="E835" i="5"/>
  <c r="E709" i="5"/>
  <c r="E716" i="5"/>
  <c r="E752" i="5"/>
  <c r="H758" i="5"/>
  <c r="F758" i="5"/>
  <c r="E758" i="5"/>
  <c r="H766" i="5"/>
  <c r="G766" i="5"/>
  <c r="E766" i="5"/>
  <c r="G845" i="5"/>
  <c r="F845" i="5"/>
  <c r="E845" i="5"/>
  <c r="F849" i="5"/>
  <c r="G849" i="5"/>
  <c r="H833" i="5"/>
  <c r="G833" i="5"/>
  <c r="F833" i="5"/>
  <c r="E833" i="5"/>
  <c r="H845" i="5"/>
  <c r="F860" i="5"/>
  <c r="H860" i="5"/>
  <c r="E860" i="5"/>
  <c r="G860" i="5"/>
  <c r="H798" i="5"/>
  <c r="F798" i="5"/>
  <c r="H710" i="5"/>
  <c r="E710" i="5"/>
  <c r="H717" i="5"/>
  <c r="G717" i="5"/>
  <c r="E717" i="5"/>
  <c r="H759" i="5"/>
  <c r="G759" i="5"/>
  <c r="G782" i="5"/>
  <c r="F782" i="5"/>
  <c r="E798" i="5"/>
  <c r="E800" i="5"/>
  <c r="G838" i="5"/>
  <c r="F838" i="5"/>
  <c r="H842" i="5"/>
  <c r="F842" i="5"/>
  <c r="G842" i="5"/>
  <c r="G852" i="5"/>
  <c r="E852" i="5"/>
  <c r="G798" i="5"/>
  <c r="F800" i="5"/>
  <c r="H840" i="5"/>
  <c r="F840" i="5"/>
  <c r="G840" i="5"/>
  <c r="F763" i="5"/>
  <c r="H763" i="5"/>
  <c r="G763" i="5"/>
  <c r="H765" i="5"/>
  <c r="F765" i="5"/>
  <c r="E765" i="5"/>
  <c r="F861" i="5"/>
  <c r="H861" i="5"/>
  <c r="G861" i="5"/>
  <c r="E861" i="5"/>
  <c r="H857" i="5"/>
  <c r="G857" i="5"/>
  <c r="E857" i="5"/>
  <c r="F857" i="5"/>
  <c r="E729" i="5"/>
  <c r="H729" i="5"/>
  <c r="E736" i="5"/>
  <c r="H736" i="5"/>
  <c r="F776" i="5"/>
  <c r="H776" i="5"/>
  <c r="E776" i="5"/>
  <c r="E785" i="5"/>
  <c r="H785" i="5"/>
  <c r="E792" i="5"/>
  <c r="H792" i="5"/>
  <c r="F792" i="5"/>
  <c r="E799" i="5"/>
  <c r="H799" i="5"/>
  <c r="F799" i="5"/>
  <c r="G859" i="5"/>
  <c r="F859" i="5"/>
  <c r="H863" i="5"/>
  <c r="F863" i="5"/>
  <c r="E863" i="5"/>
  <c r="H724" i="5"/>
  <c r="E724" i="5"/>
  <c r="F884" i="5"/>
  <c r="E884" i="5"/>
  <c r="H808" i="5"/>
  <c r="G808" i="5"/>
  <c r="H815" i="5"/>
  <c r="G815" i="5"/>
  <c r="E815" i="5"/>
  <c r="G824" i="5"/>
  <c r="F824" i="5"/>
  <c r="G796" i="5"/>
  <c r="F796" i="5"/>
  <c r="H824" i="5"/>
  <c r="F826" i="5"/>
  <c r="H868" i="5"/>
  <c r="F868" i="5"/>
  <c r="E868" i="5"/>
  <c r="H870" i="5"/>
  <c r="F870" i="5"/>
  <c r="E834" i="5"/>
  <c r="H834" i="5"/>
  <c r="F834" i="5"/>
  <c r="H854" i="5"/>
  <c r="F854" i="5"/>
  <c r="H856" i="5"/>
  <c r="F856" i="5"/>
  <c r="H889" i="5"/>
  <c r="F889" i="5"/>
  <c r="E889" i="5"/>
  <c r="H891" i="5"/>
  <c r="G891" i="5"/>
  <c r="F891" i="5"/>
  <c r="E891" i="5"/>
  <c r="G887" i="5"/>
  <c r="F887" i="5"/>
  <c r="E887" i="5"/>
  <c r="G889" i="5"/>
  <c r="H847" i="5"/>
  <c r="F847" i="5"/>
  <c r="G854" i="5"/>
  <c r="G856" i="5"/>
  <c r="H875" i="5"/>
  <c r="G875" i="5"/>
  <c r="E883" i="5"/>
  <c r="H883" i="5"/>
  <c r="F883" i="5"/>
  <c r="H887" i="5"/>
  <c r="F898" i="5"/>
  <c r="G898" i="5"/>
  <c r="H898" i="5"/>
  <c r="E822" i="5"/>
  <c r="E825" i="5"/>
  <c r="F848" i="5"/>
  <c r="E871" i="5"/>
  <c r="E874" i="5"/>
  <c r="F877" i="5"/>
  <c r="F880" i="5"/>
  <c r="F897" i="5"/>
  <c r="F871" i="5"/>
  <c r="G874" i="5"/>
  <c r="G877" i="5"/>
  <c r="H880" i="5"/>
  <c r="E894" i="5"/>
  <c r="G897" i="5"/>
  <c r="G822" i="5"/>
  <c r="H825" i="5"/>
  <c r="H848" i="5"/>
  <c r="F862" i="5"/>
  <c r="G871" i="5"/>
  <c r="H874" i="5"/>
  <c r="E885" i="5"/>
  <c r="E888" i="5"/>
  <c r="F894" i="5"/>
  <c r="H897" i="5"/>
  <c r="E882" i="5"/>
  <c r="F885" i="5"/>
  <c r="G888" i="5"/>
  <c r="H894" i="5"/>
  <c r="E902" i="5"/>
  <c r="E899" i="5"/>
  <c r="G902" i="5"/>
  <c r="F899" i="5"/>
  <c r="H902" i="5"/>
  <c r="H755" i="5"/>
  <c r="H778" i="5"/>
  <c r="G801" i="5"/>
  <c r="H804" i="5"/>
  <c r="H827" i="5"/>
  <c r="F841" i="5"/>
  <c r="G850" i="5"/>
  <c r="E864" i="5"/>
  <c r="E867" i="5"/>
  <c r="F873" i="5"/>
  <c r="G899" i="5"/>
  <c r="F708" i="5"/>
  <c r="E731" i="5"/>
  <c r="E734" i="5"/>
  <c r="F757" i="5"/>
  <c r="E780" i="5"/>
  <c r="E783" i="5"/>
  <c r="F806" i="5"/>
  <c r="E829" i="5"/>
  <c r="E832" i="5"/>
  <c r="H841" i="5"/>
  <c r="F855" i="5"/>
  <c r="G864" i="5"/>
  <c r="H867" i="5"/>
  <c r="E878" i="5"/>
  <c r="E88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90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Esto se llena automatico cuando agregas la demas info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21" authorId="0" shapeId="0" xr:uid="{5BE5A295-47FF-CE40-A954-24C8D2C8EBB8}">
      <text>
        <r>
          <rPr>
            <sz val="10"/>
            <color rgb="FF000000"/>
            <rFont val="Arial"/>
            <family val="2"/>
            <scheme val="minor"/>
          </rPr>
          <t>Esto se llena automatico cuando agregas la demas info</t>
        </r>
      </text>
    </comment>
  </commentList>
</comments>
</file>

<file path=xl/sharedStrings.xml><?xml version="1.0" encoding="utf-8"?>
<sst xmlns="http://schemas.openxmlformats.org/spreadsheetml/2006/main" count="2519" uniqueCount="536">
  <si>
    <t>Fecha</t>
  </si>
  <si>
    <t>Hora</t>
  </si>
  <si>
    <t>Codigo</t>
  </si>
  <si>
    <t>Cantidad</t>
  </si>
  <si>
    <t>Items</t>
  </si>
  <si>
    <t>Tipo de Equipo</t>
  </si>
  <si>
    <t>Marca</t>
  </si>
  <si>
    <t>Modelo</t>
  </si>
  <si>
    <t>N* Serie</t>
  </si>
  <si>
    <t>Cantidad Total</t>
  </si>
  <si>
    <t>ATRILES MICROFONOS</t>
  </si>
  <si>
    <t>HERCULES</t>
  </si>
  <si>
    <t>MS533B</t>
  </si>
  <si>
    <t>ATRILES PARLANTES</t>
  </si>
  <si>
    <t>SS200BB</t>
  </si>
  <si>
    <t>K&amp;M</t>
  </si>
  <si>
    <t>BASES TRUSS</t>
  </si>
  <si>
    <t>GALAXY</t>
  </si>
  <si>
    <t>TIPO CUADRADA</t>
  </si>
  <si>
    <t>BARRA T</t>
  </si>
  <si>
    <t>GENERICO</t>
  </si>
  <si>
    <t>Sin Modelo</t>
  </si>
  <si>
    <t>BARRA STROBE</t>
  </si>
  <si>
    <t>SANYI LIGHT</t>
  </si>
  <si>
    <t>BARRAS PIN</t>
  </si>
  <si>
    <t>TECHSHOW</t>
  </si>
  <si>
    <t>BIOMBO</t>
  </si>
  <si>
    <t>CABEZA MOVIL BEAM</t>
  </si>
  <si>
    <t>AOLAIT</t>
  </si>
  <si>
    <t>7R</t>
  </si>
  <si>
    <t>CAJA CABLES AUDIO</t>
  </si>
  <si>
    <t>AUDIO</t>
  </si>
  <si>
    <t>CAJA CINTAS</t>
  </si>
  <si>
    <t>CAJA CLAMP</t>
  </si>
  <si>
    <t>CAJA CONECTORES AUDIO</t>
  </si>
  <si>
    <t>CAJA CONECTORES ELECTRICOS</t>
  </si>
  <si>
    <t>ELECTRICO</t>
  </si>
  <si>
    <t>CAJA FUNDAS BIOMBO</t>
  </si>
  <si>
    <t>/*</t>
  </si>
  <si>
    <t>CAJA FUNDAS TRUSS</t>
  </si>
  <si>
    <t>CAJA GUIRNALDAS HADAS</t>
  </si>
  <si>
    <t>HADAS</t>
  </si>
  <si>
    <t>CAJA GUIRNALDAS TOSCANAS</t>
  </si>
  <si>
    <t>CAJA INTERLOCK</t>
  </si>
  <si>
    <t>CAJA MOTOR BOLA DISCO</t>
  </si>
  <si>
    <t>CAJA PIVOTES</t>
  </si>
  <si>
    <t>PIVOTES</t>
  </si>
  <si>
    <t>CAJA SEGURIDAD</t>
  </si>
  <si>
    <t>CAJA XLR CORTOS</t>
  </si>
  <si>
    <t>CAJA ZAPATILLAS</t>
  </si>
  <si>
    <t>MARTIN</t>
  </si>
  <si>
    <t>MTOUCH</t>
  </si>
  <si>
    <t>CABEZA MOVIL WASH</t>
  </si>
  <si>
    <t>MAC AURA XB</t>
  </si>
  <si>
    <t>CAJA BORDES PISTA DE BAILE</t>
  </si>
  <si>
    <t>QINGDAO</t>
  </si>
  <si>
    <t>CAJA XLR LARGOS</t>
  </si>
  <si>
    <t>ROBUST</t>
  </si>
  <si>
    <t>CABEZA MOVIL SPOT</t>
  </si>
  <si>
    <t>90W</t>
  </si>
  <si>
    <t>CAJA CONSOLA DMX</t>
  </si>
  <si>
    <t>DMX</t>
  </si>
  <si>
    <t>CERCHA 2 MTS</t>
  </si>
  <si>
    <t>2MM</t>
  </si>
  <si>
    <t>CHISPAS FRIAS</t>
  </si>
  <si>
    <t>LIGHTSOLUTION</t>
  </si>
  <si>
    <t>600W</t>
  </si>
  <si>
    <t>CORTINA LED</t>
  </si>
  <si>
    <t>3X2M (4U)</t>
  </si>
  <si>
    <t xml:space="preserve">COMPUTADOR </t>
  </si>
  <si>
    <t>ASUS</t>
  </si>
  <si>
    <t>COB LED</t>
  </si>
  <si>
    <t>BIGDIPPER</t>
  </si>
  <si>
    <t>HP</t>
  </si>
  <si>
    <t>CONFETTI</t>
  </si>
  <si>
    <t>SV PRO</t>
  </si>
  <si>
    <t>ESCALA MEDIANA</t>
  </si>
  <si>
    <t>HALO</t>
  </si>
  <si>
    <t>ESCALA RETRACTIL</t>
  </si>
  <si>
    <t>SODIMAC</t>
  </si>
  <si>
    <t>EXTENSIONES MONO</t>
  </si>
  <si>
    <t>10 MTS</t>
  </si>
  <si>
    <t>FIERRO BOLA DISCO</t>
  </si>
  <si>
    <t>IMPRESORA CABINA</t>
  </si>
  <si>
    <t>HITI</t>
  </si>
  <si>
    <t>PL525</t>
  </si>
  <si>
    <t>MALACATES</t>
  </si>
  <si>
    <t>MAQUINA HAZER</t>
  </si>
  <si>
    <t>PURPLE</t>
  </si>
  <si>
    <t>MESA SONIDO</t>
  </si>
  <si>
    <t>K-ACOUSTIC</t>
  </si>
  <si>
    <t>K68</t>
  </si>
  <si>
    <t>SOUNDCRAFT</t>
  </si>
  <si>
    <t>EPM6</t>
  </si>
  <si>
    <t>SIGNATURE 10</t>
  </si>
  <si>
    <t>UI24R</t>
  </si>
  <si>
    <t>MICROFONO</t>
  </si>
  <si>
    <t>BEHRINGER</t>
  </si>
  <si>
    <t>MICROFONO INALAMBRICO</t>
  </si>
  <si>
    <t>NADY</t>
  </si>
  <si>
    <t>SHURE</t>
  </si>
  <si>
    <t>SM58</t>
  </si>
  <si>
    <t>INALAMBRICO MICROFONO</t>
  </si>
  <si>
    <t>SKP</t>
  </si>
  <si>
    <t>UHF600</t>
  </si>
  <si>
    <t>PASACABLE 4 LINEAS</t>
  </si>
  <si>
    <t>4LINEAS</t>
  </si>
  <si>
    <t>PAR LED</t>
  </si>
  <si>
    <t>7x12W</t>
  </si>
  <si>
    <t>4X50W</t>
  </si>
  <si>
    <t>PASACABLE 2 LINEAS</t>
  </si>
  <si>
    <t>PARLANTE</t>
  </si>
  <si>
    <t>QSC</t>
  </si>
  <si>
    <t>K12.2</t>
  </si>
  <si>
    <t xml:space="preserve">PALETAS STROBE </t>
  </si>
  <si>
    <t>S960ii</t>
  </si>
  <si>
    <t>PERFIL RECTANGULAR 3 MTS</t>
  </si>
  <si>
    <t>PISTA DE BAILE B&amp;W</t>
  </si>
  <si>
    <t>100MTS2</t>
  </si>
  <si>
    <t>REGULADOR DE VOLTAJE</t>
  </si>
  <si>
    <t>SUB BAJO</t>
  </si>
  <si>
    <t>AUDIOLAB</t>
  </si>
  <si>
    <t>ALA218</t>
  </si>
  <si>
    <t>TARIMA</t>
  </si>
  <si>
    <t>TABLERO TRIFASICO</t>
  </si>
  <si>
    <t>LEXO</t>
  </si>
  <si>
    <t>TORRE</t>
  </si>
  <si>
    <t>FENIX</t>
  </si>
  <si>
    <t>TOTEM FOTOGRAFICO</t>
  </si>
  <si>
    <t>TRUSS 1 MT</t>
  </si>
  <si>
    <t>1MT-3MM</t>
  </si>
  <si>
    <t>TRUSS 2 MTS</t>
  </si>
  <si>
    <t>2MT-3MM</t>
  </si>
  <si>
    <t>TRUSS 3 MTS</t>
  </si>
  <si>
    <t>3MT-3MM</t>
  </si>
  <si>
    <t>TRIF EXTENSIONES</t>
  </si>
  <si>
    <t>TUBO 3 MTS</t>
  </si>
  <si>
    <t>Cod_Producto</t>
  </si>
  <si>
    <t>ATHEMS-01</t>
  </si>
  <si>
    <t>ATHEMS-02</t>
  </si>
  <si>
    <t>ATK&amp;25-01</t>
  </si>
  <si>
    <t>ATK&amp;25-02</t>
  </si>
  <si>
    <t>ATK&amp;25-03</t>
  </si>
  <si>
    <t>ATK&amp;25-04</t>
  </si>
  <si>
    <t>ATK&amp;25-05</t>
  </si>
  <si>
    <t>ATK&amp;25-06</t>
  </si>
  <si>
    <t>ATK&amp;25-07</t>
  </si>
  <si>
    <t>ATK&amp;25-08</t>
  </si>
  <si>
    <t>ATK&amp;25-09</t>
  </si>
  <si>
    <t>ATK&amp;25-10</t>
  </si>
  <si>
    <t>ATHESS-01</t>
  </si>
  <si>
    <t>ATHESS-02</t>
  </si>
  <si>
    <t>ATHESS-03</t>
  </si>
  <si>
    <t>ATHESS-04</t>
  </si>
  <si>
    <t>ATHESS-05</t>
  </si>
  <si>
    <t>ATHESS-06</t>
  </si>
  <si>
    <t>ATHESS-07</t>
  </si>
  <si>
    <t>ATHESS-08</t>
  </si>
  <si>
    <t>BASASI-01</t>
  </si>
  <si>
    <t>BASASI-02</t>
  </si>
  <si>
    <t>BASASI-03</t>
  </si>
  <si>
    <t>BASASI-04</t>
  </si>
  <si>
    <t>BAGESI-01</t>
  </si>
  <si>
    <t>BAGESI-02</t>
  </si>
  <si>
    <t>BAGESI-03</t>
  </si>
  <si>
    <t>BAGESI-04</t>
  </si>
  <si>
    <t>BAGESI-05</t>
  </si>
  <si>
    <t>BAGESI-06</t>
  </si>
  <si>
    <t>BATE3X-01</t>
  </si>
  <si>
    <t>BATE3X-02</t>
  </si>
  <si>
    <t>BATE3X-03</t>
  </si>
  <si>
    <t>BATE3X-04</t>
  </si>
  <si>
    <t>BAGETI-01</t>
  </si>
  <si>
    <t>BAGETI-02</t>
  </si>
  <si>
    <t>BAGETI-03</t>
  </si>
  <si>
    <t>BAGETI-04</t>
  </si>
  <si>
    <t>BAGATI-01</t>
  </si>
  <si>
    <t>BAGATI-02</t>
  </si>
  <si>
    <t>BIGESI-01</t>
  </si>
  <si>
    <t>BIGESI-02</t>
  </si>
  <si>
    <t>BIGESI-03</t>
  </si>
  <si>
    <t>BIGESI-04</t>
  </si>
  <si>
    <t>BIGESI-05</t>
  </si>
  <si>
    <t>BIGESI-06</t>
  </si>
  <si>
    <t>BOGESI-01</t>
  </si>
  <si>
    <t>BOGESI-02</t>
  </si>
  <si>
    <t>BOGESI-03</t>
  </si>
  <si>
    <t>BOGESI-04</t>
  </si>
  <si>
    <t>BOGESI-05</t>
  </si>
  <si>
    <t>BOGESI-06</t>
  </si>
  <si>
    <t>BOGESI-07</t>
  </si>
  <si>
    <t>BOGESI-08</t>
  </si>
  <si>
    <t>BOGESI-09</t>
  </si>
  <si>
    <t>BOGESI-10</t>
  </si>
  <si>
    <t>BOGESI-11</t>
  </si>
  <si>
    <t>BOGESI-12</t>
  </si>
  <si>
    <t>BOGESI-13</t>
  </si>
  <si>
    <t>BOGESI-14</t>
  </si>
  <si>
    <t>BOGESI-15</t>
  </si>
  <si>
    <t>BOGESI-16</t>
  </si>
  <si>
    <t>BOGESI-17</t>
  </si>
  <si>
    <t>BOGESI-18</t>
  </si>
  <si>
    <t>BOGESI-19</t>
  </si>
  <si>
    <t>BOGESI-20</t>
  </si>
  <si>
    <t>CAAO7R-01</t>
  </si>
  <si>
    <t>CAAO7R-02</t>
  </si>
  <si>
    <t>CAAO7R-03</t>
  </si>
  <si>
    <t>CAAO7R-04</t>
  </si>
  <si>
    <t>CAAO7R-05</t>
  </si>
  <si>
    <t>CAAO7R-06</t>
  </si>
  <si>
    <t>CAAO7R-07</t>
  </si>
  <si>
    <t>CAAO7R-08</t>
  </si>
  <si>
    <t>CASA90-01</t>
  </si>
  <si>
    <t>CASA90-02</t>
  </si>
  <si>
    <t>CASA90-03</t>
  </si>
  <si>
    <t>CASA90-04</t>
  </si>
  <si>
    <t>CASA90-05</t>
  </si>
  <si>
    <t>CASA90-06</t>
  </si>
  <si>
    <t>CAMAMA-01</t>
  </si>
  <si>
    <t>CAMAMA-02</t>
  </si>
  <si>
    <t>CAMAMA-03</t>
  </si>
  <si>
    <t>CAMAMA-04</t>
  </si>
  <si>
    <t>CAQISI-01</t>
  </si>
  <si>
    <t>CAAUSI-01</t>
  </si>
  <si>
    <t>CACISI-01</t>
  </si>
  <si>
    <t>CACLSI-01</t>
  </si>
  <si>
    <t>CACOSI-01</t>
  </si>
  <si>
    <t>CAELSI-01</t>
  </si>
  <si>
    <t>CADMSI-01</t>
  </si>
  <si>
    <t>CAMAMT-01</t>
  </si>
  <si>
    <t>CABISI-01</t>
  </si>
  <si>
    <t>CATRSI-01</t>
  </si>
  <si>
    <t>CAHASI-01</t>
  </si>
  <si>
    <t>CATOSI-01</t>
  </si>
  <si>
    <t>CAINSI-01</t>
  </si>
  <si>
    <t>CABOSI-01</t>
  </si>
  <si>
    <t>CABOSI-02</t>
  </si>
  <si>
    <t>CABOSI-03</t>
  </si>
  <si>
    <t>CABOSI-04</t>
  </si>
  <si>
    <t>CABOSI-05</t>
  </si>
  <si>
    <t>CABOSI-06</t>
  </si>
  <si>
    <t>CABOSI-07</t>
  </si>
  <si>
    <t>CABOSI-08</t>
  </si>
  <si>
    <t>CABOSI-09</t>
  </si>
  <si>
    <t>CABOSI-10</t>
  </si>
  <si>
    <t>CABOSI-11</t>
  </si>
  <si>
    <t>CABOSI-12</t>
  </si>
  <si>
    <t>CABOSI-13</t>
  </si>
  <si>
    <t>CABOSI-14</t>
  </si>
  <si>
    <t>CABOSI-15</t>
  </si>
  <si>
    <t>CABOSI-16</t>
  </si>
  <si>
    <t>CABOSI-17</t>
  </si>
  <si>
    <t>CABOSI-18</t>
  </si>
  <si>
    <t>CABOSI-19</t>
  </si>
  <si>
    <t>CABOSI-20</t>
  </si>
  <si>
    <t>CAPISI-01</t>
  </si>
  <si>
    <t>CASESI-01</t>
  </si>
  <si>
    <t>CAXLSI-01</t>
  </si>
  <si>
    <t>CAROSI-01</t>
  </si>
  <si>
    <t>CAROSI-02</t>
  </si>
  <si>
    <t>CAGESI-01</t>
  </si>
  <si>
    <t>CEGA2M-01</t>
  </si>
  <si>
    <t>CEGA2M-02</t>
  </si>
  <si>
    <t>CHLI60-01</t>
  </si>
  <si>
    <t>CHLI60-02</t>
  </si>
  <si>
    <t>COBISI-01</t>
  </si>
  <si>
    <t>COBISI-02</t>
  </si>
  <si>
    <t>COBISI-03</t>
  </si>
  <si>
    <t>COBISI-04</t>
  </si>
  <si>
    <t>COBISI-05</t>
  </si>
  <si>
    <t>COBISI-06</t>
  </si>
  <si>
    <t>COBISI-07</t>
  </si>
  <si>
    <t>COBISI-08</t>
  </si>
  <si>
    <t>COBISI-09</t>
  </si>
  <si>
    <t>COBISI-10</t>
  </si>
  <si>
    <t>COBISI-11</t>
  </si>
  <si>
    <t>COBISI-12</t>
  </si>
  <si>
    <t>COBISI-13</t>
  </si>
  <si>
    <t>COBISI-14</t>
  </si>
  <si>
    <t>COBISI-15</t>
  </si>
  <si>
    <t>COBISI-16</t>
  </si>
  <si>
    <t>COHPSI-01</t>
  </si>
  <si>
    <t>COASSI-01</t>
  </si>
  <si>
    <t>COSVSI-01</t>
  </si>
  <si>
    <t>COSVSI-02</t>
  </si>
  <si>
    <t>COAO3X-01</t>
  </si>
  <si>
    <t>GRHASI-01</t>
  </si>
  <si>
    <t>ESCALA GRANDE</t>
  </si>
  <si>
    <t>ESHASI-01</t>
  </si>
  <si>
    <t>ESSOSI-01</t>
  </si>
  <si>
    <t>EXGE10-01</t>
  </si>
  <si>
    <t>EXGE10-02</t>
  </si>
  <si>
    <t>EXGE10-03</t>
  </si>
  <si>
    <t>EXGE10-04</t>
  </si>
  <si>
    <t>EXGE10-05</t>
  </si>
  <si>
    <t>EXGE10-06</t>
  </si>
  <si>
    <t>EXGE10-07</t>
  </si>
  <si>
    <t>EXGE10-08</t>
  </si>
  <si>
    <t>EXGE10-09</t>
  </si>
  <si>
    <t>EXGE10-10</t>
  </si>
  <si>
    <t>TRGE10-01</t>
  </si>
  <si>
    <t>TRGE10-02</t>
  </si>
  <si>
    <t>TRGE10-03</t>
  </si>
  <si>
    <t>TRGE10-04</t>
  </si>
  <si>
    <t>TRGE10-05</t>
  </si>
  <si>
    <t>TRGE10-06</t>
  </si>
  <si>
    <t>FIGESI-01</t>
  </si>
  <si>
    <t>FIGESI-02</t>
  </si>
  <si>
    <t>FIGESI-03</t>
  </si>
  <si>
    <t>FIGESI-04</t>
  </si>
  <si>
    <t>IMHIPL-01</t>
  </si>
  <si>
    <t>MAGASI-01</t>
  </si>
  <si>
    <t>MAGASI-02</t>
  </si>
  <si>
    <t>MAGASI-03</t>
  </si>
  <si>
    <t>MAGASI-04</t>
  </si>
  <si>
    <t>MAPU90-01</t>
  </si>
  <si>
    <t>MALISI-01</t>
  </si>
  <si>
    <t>MEK-K6-01</t>
  </si>
  <si>
    <t>MESOEP-01</t>
  </si>
  <si>
    <t>MESOEP-02</t>
  </si>
  <si>
    <t>MESOSI-01</t>
  </si>
  <si>
    <t>MESOUI-01</t>
  </si>
  <si>
    <t>MISHSM-01</t>
  </si>
  <si>
    <t>MISKUH-01</t>
  </si>
  <si>
    <t>MISKUH-02</t>
  </si>
  <si>
    <t>MIBESI-01</t>
  </si>
  <si>
    <t>MIBESI-02</t>
  </si>
  <si>
    <t>INSHSM-01</t>
  </si>
  <si>
    <t>MINASI-01</t>
  </si>
  <si>
    <t>PASAS9-01</t>
  </si>
  <si>
    <t>PASAS9-02</t>
  </si>
  <si>
    <t>PASAS9-03</t>
  </si>
  <si>
    <t>PASAS9-04</t>
  </si>
  <si>
    <t>PAGE3X-01</t>
  </si>
  <si>
    <t>PAGE3X-02</t>
  </si>
  <si>
    <t>PAGE3X-03</t>
  </si>
  <si>
    <t>PAAO7X-01</t>
  </si>
  <si>
    <t>PAAO7X-02</t>
  </si>
  <si>
    <t>PAAO7X-03</t>
  </si>
  <si>
    <t>PAAO7X-04</t>
  </si>
  <si>
    <t>PAAO7X-05</t>
  </si>
  <si>
    <t>PAAO7X-06</t>
  </si>
  <si>
    <t>PAAO7X-07</t>
  </si>
  <si>
    <t>PAAO7X-08</t>
  </si>
  <si>
    <t>PAAO7X-09</t>
  </si>
  <si>
    <t>PAAO7X-10</t>
  </si>
  <si>
    <t>PAAO7X-11</t>
  </si>
  <si>
    <t>PAAO7X-12</t>
  </si>
  <si>
    <t>PAAO7X-13</t>
  </si>
  <si>
    <t>PAAO7X-14</t>
  </si>
  <si>
    <t>PAAO7X-15</t>
  </si>
  <si>
    <t>PAAO7X-16</t>
  </si>
  <si>
    <t>PAAO7X-17</t>
  </si>
  <si>
    <t>PAAO7X-18</t>
  </si>
  <si>
    <t>PAAO7X-19</t>
  </si>
  <si>
    <t>PAAO7X-20</t>
  </si>
  <si>
    <t>PAAO7X-21</t>
  </si>
  <si>
    <t>PAAO7X-22</t>
  </si>
  <si>
    <t>PAAO7X-23</t>
  </si>
  <si>
    <t>PAAO7X-24</t>
  </si>
  <si>
    <t>PABI4X-01</t>
  </si>
  <si>
    <t>PABI4X-02</t>
  </si>
  <si>
    <t>PABI4X-03</t>
  </si>
  <si>
    <t>PABI4X-04</t>
  </si>
  <si>
    <t>PABI4X-05</t>
  </si>
  <si>
    <t>PABI4X-06</t>
  </si>
  <si>
    <t>PABI4X-07</t>
  </si>
  <si>
    <t>PABI4X-08</t>
  </si>
  <si>
    <t>PAQSK1-01</t>
  </si>
  <si>
    <t>PAQSK1-02</t>
  </si>
  <si>
    <t>PAQSK1-03</t>
  </si>
  <si>
    <t>PAQSK1-04</t>
  </si>
  <si>
    <t>PAQSK1-05</t>
  </si>
  <si>
    <t>PAQSK1-06</t>
  </si>
  <si>
    <t>PAGESI-01</t>
  </si>
  <si>
    <t>PAGESI-02</t>
  </si>
  <si>
    <t>PAGESI-03</t>
  </si>
  <si>
    <t>PAGESI-04</t>
  </si>
  <si>
    <t>PA4LSI-01</t>
  </si>
  <si>
    <t>PA4LSI-02</t>
  </si>
  <si>
    <t>PEGESI-01</t>
  </si>
  <si>
    <t>PEGESI-02</t>
  </si>
  <si>
    <t>PEGESI-03</t>
  </si>
  <si>
    <t>PEGESI-04</t>
  </si>
  <si>
    <t>PEGESI-05</t>
  </si>
  <si>
    <t>PEGESI-06</t>
  </si>
  <si>
    <t>PEGESI-07</t>
  </si>
  <si>
    <t>PIQI10-01</t>
  </si>
  <si>
    <t>REGESI-01</t>
  </si>
  <si>
    <t>REGESI-02</t>
  </si>
  <si>
    <t>REGESI-03</t>
  </si>
  <si>
    <t>REGESI-04</t>
  </si>
  <si>
    <t>REGESI-05</t>
  </si>
  <si>
    <t>SUAUAL-01</t>
  </si>
  <si>
    <t>TALESI-01</t>
  </si>
  <si>
    <t>TALESI-02</t>
  </si>
  <si>
    <t>TAGESI-01</t>
  </si>
  <si>
    <t>TOFEME-01</t>
  </si>
  <si>
    <t>TOFEME-02</t>
  </si>
  <si>
    <t>TOGESI-01</t>
  </si>
  <si>
    <t>TRGA1M-01</t>
  </si>
  <si>
    <t>TRGA1M-02</t>
  </si>
  <si>
    <t>TRGA2M-01</t>
  </si>
  <si>
    <t>TRGA2M-02</t>
  </si>
  <si>
    <t>TRGA3M-01</t>
  </si>
  <si>
    <t>TRGA3M-02</t>
  </si>
  <si>
    <t>TRGA3M-03</t>
  </si>
  <si>
    <t>TRGA3M-04</t>
  </si>
  <si>
    <t>TRGA3M-05</t>
  </si>
  <si>
    <t>TRGA3M-06</t>
  </si>
  <si>
    <t>TRGA3M-07</t>
  </si>
  <si>
    <t>TRGA3M-08</t>
  </si>
  <si>
    <t>TRGA3M-09</t>
  </si>
  <si>
    <t>TRGA3M-10</t>
  </si>
  <si>
    <t>TUGESI-01</t>
  </si>
  <si>
    <t>TUGESI-02</t>
  </si>
  <si>
    <t>TUGESI-03</t>
  </si>
  <si>
    <t>TUGESI-04</t>
  </si>
  <si>
    <t>TUGESI-05</t>
  </si>
  <si>
    <t>TUGESI-06</t>
  </si>
  <si>
    <t>TUGESI-07</t>
  </si>
  <si>
    <t>Estado</t>
  </si>
  <si>
    <t>Observacion</t>
  </si>
  <si>
    <t>Salida Almacen</t>
  </si>
  <si>
    <t>Hora Salida</t>
  </si>
  <si>
    <t>Codigo Producto</t>
  </si>
  <si>
    <t>Producto</t>
  </si>
  <si>
    <t>N° Serie</t>
  </si>
  <si>
    <t>Ubicación Actual</t>
  </si>
  <si>
    <t>Responsable</t>
  </si>
  <si>
    <t>Obs.Salida</t>
  </si>
  <si>
    <t>Retorno</t>
  </si>
  <si>
    <t>Dias desde Salida</t>
  </si>
  <si>
    <t>Advertencia</t>
  </si>
  <si>
    <t>Inventario Clasificado</t>
  </si>
  <si>
    <t>Escaneo_Productos</t>
  </si>
  <si>
    <t>Estado_Productos</t>
  </si>
  <si>
    <t>Veces</t>
  </si>
  <si>
    <t>Disponible</t>
  </si>
  <si>
    <t>En reparacion</t>
  </si>
  <si>
    <t>Dañado</t>
  </si>
  <si>
    <t>Ubicacion Actual</t>
  </si>
  <si>
    <t>Saliendo Bodega</t>
  </si>
  <si>
    <t>En Evento</t>
  </si>
  <si>
    <t>ILUMINACION</t>
  </si>
  <si>
    <t>ESTRUCTURA</t>
  </si>
  <si>
    <t>OTROS</t>
  </si>
  <si>
    <t>TECNOLOGIA</t>
  </si>
  <si>
    <t>KEMAX</t>
  </si>
  <si>
    <t>6X5W</t>
  </si>
  <si>
    <t>6X20W</t>
  </si>
  <si>
    <t>MOWL</t>
  </si>
  <si>
    <t>750W</t>
  </si>
  <si>
    <t>9R</t>
  </si>
  <si>
    <t>ML-CO2-QZ03</t>
  </si>
  <si>
    <t>ML-BWJ01</t>
  </si>
  <si>
    <t>ML-XGD03</t>
  </si>
  <si>
    <t>MEGARA 300</t>
  </si>
  <si>
    <t>CO2</t>
  </si>
  <si>
    <t>SEVEN EYES BACKLIGHT</t>
  </si>
  <si>
    <t>SIX EYES BACKLIGHT</t>
  </si>
  <si>
    <t>BAUKER</t>
  </si>
  <si>
    <t>N/A</t>
  </si>
  <si>
    <t>WENCO</t>
  </si>
  <si>
    <t>PELICAN</t>
  </si>
  <si>
    <t>SILVER EAGLE</t>
  </si>
  <si>
    <t>MJ-5003 B</t>
  </si>
  <si>
    <t>WILDPRO</t>
  </si>
  <si>
    <t>BOLA DISCO 16"</t>
  </si>
  <si>
    <t>BOLA DISCO 21"</t>
  </si>
  <si>
    <t>CAJA MTOUCH+NOTEBOOK</t>
  </si>
  <si>
    <t>X360 PAVILLION</t>
  </si>
  <si>
    <t>CONSOLA DMX</t>
  </si>
  <si>
    <t>LA GAMME</t>
  </si>
  <si>
    <t>CLUB - 12J</t>
  </si>
  <si>
    <t>BD-LC001H</t>
  </si>
  <si>
    <t>EFXT-FX03</t>
  </si>
  <si>
    <t>9312-507</t>
  </si>
  <si>
    <t>9309-507</t>
  </si>
  <si>
    <t>100 KG</t>
  </si>
  <si>
    <t>HF-900</t>
  </si>
  <si>
    <t>HT-1KU-TX-HT-NEUS</t>
  </si>
  <si>
    <t>32A</t>
  </si>
  <si>
    <t>Categoria</t>
  </si>
  <si>
    <t>K10</t>
  </si>
  <si>
    <t>ENERGÍA</t>
  </si>
  <si>
    <t>EFECTOS</t>
  </si>
  <si>
    <t>-</t>
  </si>
  <si>
    <t>MLBWJ01</t>
  </si>
  <si>
    <t>MLXGD03</t>
  </si>
  <si>
    <t>Cantidad unitaria</t>
  </si>
  <si>
    <t>MLCO2-QZ03</t>
  </si>
  <si>
    <t>BDLC001H</t>
  </si>
  <si>
    <t>BOWIWIL-1</t>
  </si>
  <si>
    <t>(en blanco)</t>
  </si>
  <si>
    <t>BOWIWIL-10</t>
  </si>
  <si>
    <t>BOWIWIL-11</t>
  </si>
  <si>
    <t>BOWIWIL-12</t>
  </si>
  <si>
    <t>BOWIWIL-13</t>
  </si>
  <si>
    <t>BOWIWIL-14</t>
  </si>
  <si>
    <t>BOWIWIL-15</t>
  </si>
  <si>
    <t>BOWIWIL-16</t>
  </si>
  <si>
    <t>BOWIWIL-17</t>
  </si>
  <si>
    <t>BOWIWIL-18</t>
  </si>
  <si>
    <t>BOWIWIL-19</t>
  </si>
  <si>
    <t>BOWIWIL-2</t>
  </si>
  <si>
    <t>BOWIWIL-20</t>
  </si>
  <si>
    <t>BOWIWIL-3</t>
  </si>
  <si>
    <t>BOWIWIL-4</t>
  </si>
  <si>
    <t>BOWIWIL-5</t>
  </si>
  <si>
    <t>BOWIWIL-6</t>
  </si>
  <si>
    <t>BOWIWIL-7</t>
  </si>
  <si>
    <t>BOWIWIL-8</t>
  </si>
  <si>
    <t>BOWIWIL-9</t>
  </si>
  <si>
    <t>CAPEPEL-1</t>
  </si>
  <si>
    <t>COMOMLC-1</t>
  </si>
  <si>
    <t>COMOMLC-2</t>
  </si>
  <si>
    <t>COASSIN-1</t>
  </si>
  <si>
    <t>COHPX36-1</t>
  </si>
  <si>
    <t>COLACLU-1</t>
  </si>
  <si>
    <t>MTMAMTO-1</t>
  </si>
  <si>
    <t>PASAS96-1</t>
  </si>
  <si>
    <t>PASAS96-2</t>
  </si>
  <si>
    <t>PASAS96-3</t>
  </si>
  <si>
    <t>PASAS96-4</t>
  </si>
  <si>
    <t>PASAS96-5</t>
  </si>
  <si>
    <t>PASAS96-6</t>
  </si>
  <si>
    <t>PASAS96-7</t>
  </si>
  <si>
    <t>PASAS96-8</t>
  </si>
  <si>
    <t>SEMOMLB-1</t>
  </si>
  <si>
    <t>SEMOMLB-2</t>
  </si>
  <si>
    <t>SIMOMLX-1</t>
  </si>
  <si>
    <t>SIMOMLX-2</t>
  </si>
  <si>
    <t>MJ5003 B</t>
  </si>
  <si>
    <t>HF900</t>
  </si>
  <si>
    <t>HT1KU-TX-HT-NEUS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</si>
</sst>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yy"/>
    <numFmt numFmtId="165" formatCode="yyyy\-mm\-dd\ h:mm:ss"/>
  </numFmts>
  <fonts count="21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color theme="0"/>
      <name val="Arial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0"/>
      <color theme="0"/>
      <name val="Calibri"/>
      <family val="2"/>
    </font>
    <font>
      <sz val="11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</fills>
  <borders count="38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284E3F"/>
      </right>
      <top/>
      <bottom/>
      <diagonal/>
    </border>
    <border>
      <left style="thin">
        <color rgb="FF356854"/>
      </left>
      <right/>
      <top style="thin">
        <color rgb="FF284E3F"/>
      </top>
      <bottom style="thin">
        <color rgb="FF284E3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14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/>
    <xf numFmtId="21" fontId="2" fillId="0" borderId="0" xfId="0" applyNumberFormat="1" applyFont="1" applyAlignment="1"/>
    <xf numFmtId="0" fontId="3" fillId="0" borderId="0" xfId="0" applyFont="1" applyAlignment="1"/>
    <xf numFmtId="164" fontId="2" fillId="0" borderId="0" xfId="0" applyNumberFormat="1" applyFont="1"/>
    <xf numFmtId="0" fontId="5" fillId="0" borderId="0" xfId="0" applyFont="1"/>
    <xf numFmtId="0" fontId="4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4" fillId="0" borderId="0" xfId="0" applyFont="1"/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left" vertical="center"/>
    </xf>
    <xf numFmtId="21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7" xfId="0" applyNumberFormat="1" applyFont="1" applyBorder="1" applyAlignment="1">
      <alignment horizontal="left" vertical="center"/>
    </xf>
    <xf numFmtId="21" fontId="2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5" fontId="2" fillId="0" borderId="10" xfId="0" applyNumberFormat="1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3" fillId="3" borderId="17" xfId="0" applyFont="1" applyFill="1" applyBorder="1" applyAlignment="1"/>
    <xf numFmtId="0" fontId="3" fillId="3" borderId="18" xfId="0" applyFont="1" applyFill="1" applyBorder="1" applyAlignment="1"/>
    <xf numFmtId="0" fontId="2" fillId="0" borderId="19" xfId="0" applyFont="1" applyBorder="1" applyAlignment="1"/>
    <xf numFmtId="0" fontId="2" fillId="0" borderId="20" xfId="0" applyFont="1" applyBorder="1"/>
    <xf numFmtId="0" fontId="3" fillId="3" borderId="19" xfId="0" applyFont="1" applyFill="1" applyBorder="1" applyAlignment="1"/>
    <xf numFmtId="0" fontId="3" fillId="3" borderId="20" xfId="0" applyFont="1" applyFill="1" applyBorder="1" applyAlignment="1"/>
    <xf numFmtId="0" fontId="2" fillId="0" borderId="21" xfId="0" applyFont="1" applyBorder="1" applyAlignment="1"/>
    <xf numFmtId="0" fontId="2" fillId="0" borderId="22" xfId="0" applyFont="1" applyBorder="1"/>
    <xf numFmtId="0" fontId="2" fillId="0" borderId="17" xfId="0" applyFont="1" applyBorder="1" applyAlignment="1"/>
    <xf numFmtId="0" fontId="2" fillId="0" borderId="18" xfId="0" applyFont="1" applyBorder="1"/>
    <xf numFmtId="0" fontId="2" fillId="0" borderId="0" xfId="0" applyFont="1" applyAlignment="1"/>
    <xf numFmtId="0" fontId="3" fillId="3" borderId="19" xfId="0" applyFont="1" applyFill="1" applyBorder="1" applyAlignment="1">
      <alignment horizontal="left"/>
    </xf>
    <xf numFmtId="0" fontId="3" fillId="3" borderId="21" xfId="0" applyFont="1" applyFill="1" applyBorder="1" applyAlignment="1"/>
    <xf numFmtId="0" fontId="3" fillId="3" borderId="22" xfId="0" applyFont="1" applyFill="1" applyBorder="1" applyAlignment="1"/>
    <xf numFmtId="0" fontId="0" fillId="0" borderId="23" xfId="0" pivotButton="1" applyFont="1" applyBorder="1" applyAlignment="1"/>
    <xf numFmtId="0" fontId="0" fillId="0" borderId="24" xfId="0" pivotButton="1" applyFont="1" applyBorder="1" applyAlignment="1"/>
    <xf numFmtId="0" fontId="0" fillId="0" borderId="23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  <xf numFmtId="0" fontId="0" fillId="0" borderId="29" xfId="0" applyFont="1" applyBorder="1" applyAlignment="1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 applyAlignment="1"/>
    <xf numFmtId="0" fontId="11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3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 applyAlignment="1"/>
    <xf numFmtId="0" fontId="15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2" fillId="3" borderId="32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center"/>
    </xf>
    <xf numFmtId="0" fontId="18" fillId="0" borderId="0" xfId="0" applyFont="1"/>
    <xf numFmtId="0" fontId="19" fillId="0" borderId="0" xfId="0" applyFont="1" applyAlignment="1"/>
    <xf numFmtId="0" fontId="13" fillId="0" borderId="8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0" fillId="0" borderId="16" xfId="0" applyFont="1" applyBorder="1"/>
    <xf numFmtId="0" fontId="0" fillId="0" borderId="24" xfId="0" applyFont="1" applyBorder="1" applyAlignment="1"/>
    <xf numFmtId="0" fontId="0" fillId="0" borderId="37" xfId="0" applyFont="1" applyBorder="1" applyAlignment="1"/>
  </cellXfs>
  <cellStyles count="1">
    <cellStyle name="Normal" xfId="0" builtinId="0"/>
  </cellStyles>
  <dxfs count="43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  <name val="Arial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/>
        <top style="thin">
          <color rgb="FFF6F8F9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/>
        <top style="thin">
          <color rgb="FFF6F8F9"/>
        </top>
        <bottom style="thin">
          <color rgb="FFF6F8F9"/>
        </bottom>
        <vertical/>
        <horizontal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6F8F9"/>
        </left>
        <right/>
        <top style="thin">
          <color rgb="FFF6F8F9"/>
        </top>
        <bottom style="thin">
          <color rgb="FFF6F8F9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0"/>
        <name val="Calibri"/>
        <family val="2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Cod_Gen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Cod_Ind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Inventario-style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Registro_Histo-style" pivot="0" count="3" xr9:uid="{00000000-0011-0000-FFFF-FFFF03000000}"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Estadisticas!$E$2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rgbClr val="93C47D"/>
              </a:solidFill>
            </c:spPr>
            <c:extLst>
              <c:ext xmlns:c16="http://schemas.microsoft.com/office/drawing/2014/chart" uri="{C3380CC4-5D6E-409C-BE32-E72D297353CC}">
                <c16:uniqueId val="{00000001-E32C-E740-85C0-830828E8EA39}"/>
              </c:ext>
            </c:extLst>
          </c:dPt>
          <c:dPt>
            <c:idx val="1"/>
            <c:bubble3D val="0"/>
            <c:spPr>
              <a:solidFill>
                <a:srgbClr val="9FC5E8"/>
              </a:solidFill>
            </c:spPr>
            <c:extLst>
              <c:ext xmlns:c16="http://schemas.microsoft.com/office/drawing/2014/chart" uri="{C3380CC4-5D6E-409C-BE32-E72D297353CC}">
                <c16:uniqueId val="{00000003-E32C-E740-85C0-830828E8EA39}"/>
              </c:ext>
            </c:extLst>
          </c:dPt>
          <c:dPt>
            <c:idx val="2"/>
            <c:bubble3D val="0"/>
            <c:spPr>
              <a:solidFill>
                <a:srgbClr val="EA9999"/>
              </a:solidFill>
            </c:spPr>
            <c:extLst>
              <c:ext xmlns:c16="http://schemas.microsoft.com/office/drawing/2014/chart" uri="{C3380CC4-5D6E-409C-BE32-E72D297353CC}">
                <c16:uniqueId val="{00000005-E32C-E740-85C0-830828E8EA39}"/>
              </c:ext>
            </c:extLst>
          </c:dPt>
          <c:cat>
            <c:strRef>
              <c:f>Estadisticas!$D$3:$D$5</c:f>
              <c:strCache>
                <c:ptCount val="3"/>
                <c:pt idx="0">
                  <c:v>Disponible</c:v>
                </c:pt>
                <c:pt idx="1">
                  <c:v>En reparacion</c:v>
                </c:pt>
                <c:pt idx="2">
                  <c:v>Dañado</c:v>
                </c:pt>
              </c:strCache>
            </c:strRef>
          </c:cat>
          <c:val>
            <c:numRef>
              <c:f>Estadisticas!$E$3:$E$5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2C-E740-85C0-830828E8E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dk1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Estadisticas!$E$8</c:f>
              <c:strCache>
                <c:ptCount val="1"/>
                <c:pt idx="0">
                  <c:v>Cantidad</c:v>
                </c:pt>
              </c:strCache>
            </c:strRef>
          </c:tx>
          <c:dPt>
            <c:idx val="0"/>
            <c:bubble3D val="0"/>
            <c:spPr>
              <a:solidFill>
                <a:srgbClr val="FFE599"/>
              </a:solidFill>
            </c:spPr>
            <c:extLst>
              <c:ext xmlns:c16="http://schemas.microsoft.com/office/drawing/2014/chart" uri="{C3380CC4-5D6E-409C-BE32-E72D297353CC}">
                <c16:uniqueId val="{00000001-D8CC-2B40-9EB9-EF51F554385D}"/>
              </c:ext>
            </c:extLst>
          </c:dPt>
          <c:dPt>
            <c:idx val="1"/>
            <c:bubble3D val="0"/>
            <c:spPr>
              <a:solidFill>
                <a:srgbClr val="93C47D"/>
              </a:solidFill>
            </c:spPr>
            <c:extLst>
              <c:ext xmlns:c16="http://schemas.microsoft.com/office/drawing/2014/chart" uri="{C3380CC4-5D6E-409C-BE32-E72D297353CC}">
                <c16:uniqueId val="{00000003-D8CC-2B40-9EB9-EF51F554385D}"/>
              </c:ext>
            </c:extLst>
          </c:dPt>
          <c:cat>
            <c:strRef>
              <c:f>Estadisticas!$D$9:$D$10</c:f>
              <c:strCache>
                <c:ptCount val="2"/>
                <c:pt idx="0">
                  <c:v>Saliendo Bodega</c:v>
                </c:pt>
                <c:pt idx="1">
                  <c:v>En Evento</c:v>
                </c:pt>
              </c:strCache>
            </c:strRef>
          </c:cat>
          <c:val>
            <c:numRef>
              <c:f>Estadisticas!$E$9:$E$10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CC-2B40-9EB9-EF51F5543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0</xdr:row>
      <xdr:rowOff>0</xdr:rowOff>
    </xdr:from>
    <xdr:ext cx="2867025" cy="10858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9525</xdr:colOff>
      <xdr:row>5</xdr:row>
      <xdr:rowOff>219075</xdr:rowOff>
    </xdr:from>
    <xdr:ext cx="2867025" cy="92392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26.359386574077" refreshedVersion="6" recordCount="291" xr:uid="{00000000-000A-0000-FFFF-FFFF00000000}">
  <cacheSource type="worksheet">
    <worksheetSource ref="B1:H292" sheet="Inventario"/>
  </cacheSource>
  <cacheFields count="7">
    <cacheField name="Cod_Producto" numFmtId="0">
      <sharedItems count="560">
        <s v="ATHEMS5-1"/>
        <s v="ATHEMS5-2"/>
        <s v="ATHESS2-1"/>
        <s v="ATHESS2-2"/>
        <s v="ATHESS2-3"/>
        <s v="ATHESS2-4"/>
        <s v="ATHESS2-5"/>
        <s v="ATHESS2-6"/>
        <s v="ATHESS2-7"/>
        <s v="ATHESS2-8"/>
        <s v="ATK&amp;254-1"/>
        <s v="ATK&amp;254-2"/>
        <s v="ATK&amp;254-3"/>
        <s v="ATK&amp;254-4"/>
        <s v="ATK&amp;254-5"/>
        <s v="ATK&amp;254-6"/>
        <s v="ATK&amp;254-7"/>
        <s v="ATK&amp;254-8"/>
        <s v="ATK&amp;254-9"/>
        <s v="ATK&amp;254-10"/>
        <s v="BAGATIP-1"/>
        <s v="BAGATIP-2"/>
        <s v="BAGEN/A-1"/>
        <s v="BAGEN/A-2"/>
        <s v="BAGEN/A-3"/>
        <s v="BAGEN/A-4"/>
        <s v="BAGEN/A-5"/>
        <s v="BAGEN/A-6"/>
        <s v="BASA720-1"/>
        <s v="BASA721-2"/>
        <s v="BASA722-3"/>
        <s v="BASA723-4"/>
        <s v="BASA724-5"/>
        <s v="BASA725-6"/>
        <s v="BASA726-7"/>
        <s v="BASA727-8"/>
        <s v="BATE6X5-1"/>
        <s v="BATE6X5-2"/>
        <s v="BATE6X5-3"/>
        <s v="BATE6X5-4"/>
        <s v="BAKE6X2-1"/>
        <s v="BAKE6X2-2"/>
        <s v="BAKE6X2-3"/>
        <s v="BAKE6X2-4"/>
        <s v="BIGEN/A-1"/>
        <s v="BIGEN/A-2"/>
        <s v="BIGEN/A-3"/>
        <s v="BIGEN/A-4"/>
        <s v="BIGEN/A-5"/>
        <s v="BIGEN/A-6"/>
        <s v="BOWIWIL-1"/>
        <s v="BOWIWIL-2"/>
        <s v="BOWIWIL-3"/>
        <s v="BOWIWIL-4"/>
        <s v="BOWIWIL-5"/>
        <s v="BOWIWIL-6"/>
        <s v="BOWIWIL-7"/>
        <s v="BOWIWIL-8"/>
        <s v="BOWIWIL-9"/>
        <s v="BOWIWIL-10"/>
        <s v="BOWIWIL-11"/>
        <s v="BOWIWIL-12"/>
        <s v="BOWIWIL-13"/>
        <s v="BOWIWIL-14"/>
        <s v="BOWIWIL-15"/>
        <s v="BOWIWIL-16"/>
        <s v="BOWIWIL-17"/>
        <s v="BOWIWIL-18"/>
        <s v="BOWIWIL-19"/>
        <s v="BOWIWIL-20"/>
        <s v="CAAO7R-1"/>
        <s v="CAAO7R-2"/>
        <s v="CAAO7R-3"/>
        <s v="CAAO7R-4"/>
        <s v="CAAO7R-5"/>
        <s v="CAAO7R-6"/>
        <s v="CAAO7R-7"/>
        <s v="CAAO7R-8"/>
        <s v="CAMO9R-1"/>
        <s v="CAMO9R-2"/>
        <s v="CAMO9R-3"/>
        <s v="CAMO9R-4"/>
        <s v="CAMO9R-5"/>
        <s v="CAMO9R-6"/>
        <s v="CAMO9R-7"/>
        <s v="CAMO9R-8"/>
        <s v="CAMO9R-9"/>
        <s v="CAMO9R-10"/>
        <s v="SEMOMLB-1"/>
        <s v="SEMOMLB-2"/>
        <s v="SIMOMLX-1"/>
        <s v="SIMOMLX-2"/>
        <s v="CABASIN-1"/>
        <s v="CABABAU-1"/>
        <s v="CAELSIN-1"/>
        <s v="CAWEWEN-1"/>
        <s v="CAHASIN-1"/>
        <s v="CAGEN/A-1"/>
        <s v="CAPEPEL-1"/>
        <s v="CAROMJ--1"/>
        <s v="CAROMJ--2"/>
        <s v="CAROMJ--3"/>
        <s v="CAROMJ--4"/>
        <s v="CAROMJ--5"/>
        <s v="CAROMJ--6"/>
        <s v="CAROMJ--7"/>
        <s v="CAROMJ--8"/>
        <s v="CAROMJ--9"/>
        <s v="CAROMJ--10"/>
        <s v="CAROMJ--11"/>
        <s v="CAROMJ--12"/>
        <s v="CAROMJ--13"/>
        <s v="CAROMJ--14"/>
        <s v="CAROMJ--15"/>
        <s v="CAROMJ--16"/>
        <s v="CAROMJ--17"/>
        <s v="CAROMJ--18"/>
        <s v="CAROMJ--19"/>
        <s v="CAROMJ--20"/>
        <s v="CAROMJ--21"/>
        <s v="CAPISIL-1"/>
        <s v="MTMAMTO-1"/>
        <s v="CAMAMAC-1"/>
        <s v="CAMAMAC-2"/>
        <s v="CAMAMAC-3"/>
        <s v="CAMAMAC-4"/>
        <s v="CAROROB-1"/>
        <s v="CAROROB-2"/>
        <s v="CASA90W-1"/>
        <s v="CASA90W-2"/>
        <s v="CASA90W-3"/>
        <s v="CASA90W-4"/>
        <s v="CASA90W-5"/>
        <s v="CASA90W-6"/>
        <s v="CADMSIN-1"/>
        <s v="COLACLU-1"/>
        <s v="CEGA2MM-1"/>
        <s v="CEGA2MM-2"/>
        <s v="CHLI600-1"/>
        <s v="CHLI600-2"/>
        <s v="CHMO750-1"/>
        <s v="CHMO750-2"/>
        <s v="COMOMLC-1"/>
        <s v="COMOMLC-2"/>
        <s v="COAO3X2-1"/>
        <s v="COASSIN-1"/>
        <s v="COBIBDL-1"/>
        <s v="COBIBDL-2"/>
        <s v="COBIBDL-3"/>
        <s v="COBIBDL-4"/>
        <s v="COBIBDL-5"/>
        <s v="COBIBDL-6"/>
        <s v="COBIBDL-7"/>
        <s v="COBIBDL-8"/>
        <s v="COBIBDL-9"/>
        <s v="COBIBDL-10"/>
        <s v="COBIBDL-11"/>
        <s v="COBIBDL-12"/>
        <s v="COBIBDL-13"/>
        <s v="COBIBDL-14"/>
        <s v="COBIBDL-15"/>
        <s v="COBIBDL-16"/>
        <s v="COHPX36-1"/>
        <s v="COSVEFX-1"/>
        <s v="COSVEFX-2"/>
        <s v="ESHA930-1"/>
        <s v="ESSOSIN-1"/>
        <s v="EXGE10 -1"/>
        <s v="EXGE10 -2"/>
        <s v="EXGE10 -3"/>
        <s v="EXGE10 -4"/>
        <s v="EXGE10 -5"/>
        <s v="EXGE10 -6"/>
        <s v="EXGE10 -7"/>
        <s v="EXGE10 -8"/>
        <s v="EXGE10 -9"/>
        <s v="EXGE10 -10"/>
        <s v="FIGEN/A-1"/>
        <s v="FIGEN/A-2"/>
        <s v="FIGEN/A-3"/>
        <s v="FIGEN/A-4"/>
        <s v="ESHA931-1"/>
        <s v="IMHIPL5-1"/>
        <s v="MAGA100-1"/>
        <s v="MAGA100-2"/>
        <s v="MAGA100-3"/>
        <s v="MAGA100-4"/>
        <s v="MAPUHF--1"/>
        <s v="MAMO150-1"/>
        <s v="MEK-K68-1"/>
        <s v="MESOEPM-1"/>
        <s v="MESOEPM-2"/>
        <s v="MESOSIG-1"/>
        <s v="MESOUI2-1"/>
        <s v="MIBESIN-1"/>
        <s v="MIBESIN-2"/>
        <s v="MINAHT--1"/>
        <s v="MISHSM5-1"/>
        <s v="INSHSM5-1"/>
        <s v="MISKUHF-1"/>
        <s v="MISKUHF-2"/>
        <s v="PA4LN/A-1"/>
        <s v="PA4LN/A-2"/>
        <s v="PAAO7X1-1"/>
        <s v="PAAO7X1-2"/>
        <s v="PAAO7X1-3"/>
        <s v="PAAO7X1-4"/>
        <s v="PAAO7X1-5"/>
        <s v="PAAO7X1-6"/>
        <s v="PAAO7X1-7"/>
        <s v="PAAO7X1-8"/>
        <s v="PAAO7X1-9"/>
        <s v="PAAO7X1-10"/>
        <s v="PAAO7X1-11"/>
        <s v="PAAO7X1-12"/>
        <s v="PAAO7X1-13"/>
        <s v="PAAO7X1-14"/>
        <s v="PAAO7X1-15"/>
        <s v="PAAO7X1-16"/>
        <s v="PAAO7X1-17"/>
        <s v="PAAO7X1-18"/>
        <s v="PAAO7X1-19"/>
        <s v="PAAO7X1-20"/>
        <s v="PAAO7X1-21"/>
        <s v="PAAO7X1-22"/>
        <s v="PAAO7X1-23"/>
        <s v="PAAO7X1-24"/>
        <s v="PABI4X5-1"/>
        <s v="PABI4X5-2"/>
        <s v="PABI4X5-3"/>
        <s v="PABI4X5-4"/>
        <s v="PABI4X5-5"/>
        <s v="PABI4X5-6"/>
        <s v="PABI4X5-7"/>
        <s v="PABI4X5-8"/>
        <s v="PAGEN/A-1"/>
        <s v="PAGEN/A-2"/>
        <s v="PAGEN/A-3"/>
        <s v="PAGEN/A-4"/>
        <s v="PAQSK12-1"/>
        <s v="PAQSK12-2"/>
        <s v="PAQSK12-3"/>
        <s v="PAQSK12-4"/>
        <s v="PAQSK12-5"/>
        <s v="PAQSK12-6"/>
        <s v="PAQSK10-1"/>
        <s v="PAQSK10-2"/>
        <s v="PASAS96-1"/>
        <s v="PASAS96-2"/>
        <s v="PASAS96-3"/>
        <s v="PASAS96-4"/>
        <s v="PASAS96-5"/>
        <s v="PASAS96-6"/>
        <s v="PASAS96-7"/>
        <s v="PASAS96-8"/>
        <s v="PEGEN/A-1"/>
        <s v="PEGEN/A-2"/>
        <s v="PEGEN/A-3"/>
        <s v="PEGEN/A-4"/>
        <s v="PEGEN/A-5"/>
        <s v="PEGEN/A-6"/>
        <s v="PEGEN/A-7"/>
        <s v="PIQI100-1"/>
        <s v="REGEN/A-1"/>
        <s v="REGEN/A-2"/>
        <s v="REGEN/A-3"/>
        <s v="REGEN/A-4"/>
        <s v="REGEN/A-5"/>
        <s v="SUAUALA-1"/>
        <s v="TAGEN/A-1"/>
        <s v="TALE32A-1"/>
        <s v="TALE32A-2"/>
        <s v="TOFEMEG-1"/>
        <s v="TOFEMEG-2"/>
        <s v="TOGEN/A-1"/>
        <s v="TRGA1MT-1"/>
        <s v="TRGA1MT-2"/>
        <s v="TRGA2MT-1"/>
        <s v="PAAO7X-03" u="1"/>
        <s v="PAAO7X-11" u="1"/>
        <s v="MINASI-01" u="1"/>
        <s v="BOGESI-01" u="1"/>
        <s v="CAMAMA-04" u="1"/>
        <s v="EXGE10-04" u="1"/>
        <s v="MAGASI-01" u="1"/>
        <s v="PAAO7X-04" u="1"/>
        <s v="PAAO7X-12" u="1"/>
        <s v="PAAO7X-20" u="1"/>
        <s v="BOGESI-02" u="1"/>
        <s v="BOGESI-10" u="1"/>
        <s v="EXGE10-05" u="1"/>
        <s v="MAGASI-02" u="1"/>
        <s v="PAAO7X-05" u="1"/>
        <s v="PAAO7X-13" u="1"/>
        <s v="PAAO7X-21" u="1"/>
        <s v="TRGE10-01" u="1"/>
        <s v="COSVSI-01" u="1"/>
        <s v="BOGESI-03" u="1"/>
        <s v="BOGESI-11" u="1"/>
        <s v="CAGESI-01" u="1"/>
        <s v="EXGE10-06" u="1"/>
        <s v="MAGASI-03" u="1"/>
        <s v="CASESI-01" u="1"/>
        <s v="PAAO7X-06" u="1"/>
        <s v="TOFEME-01" u="1"/>
        <s v="PAAO7X-14" u="1"/>
        <s v="PAAO7X-22" u="1"/>
        <s v="TRGE10-02" u="1"/>
        <s v="COSVSI-02" u="1"/>
        <s v="BOGESI-04" u="1"/>
        <s v="BOGESI-12" u="1"/>
        <s v="BOGESI-20" u="1"/>
        <s v="EXGE10-07" u="1"/>
        <s v="MIBESI-01" u="1"/>
        <s v="MAGASI-04" u="1"/>
        <s v="PAAO7X-07" u="1"/>
        <s v="TOFEME-02" u="1"/>
        <s v="PAAO7X-15" u="1"/>
        <s v="PAAO7X-23" u="1"/>
        <s v="TRGE10-03" u="1"/>
        <s v="BOGESI-05" u="1"/>
        <s v="BOGESI-13" u="1"/>
        <s v="EXGE10-08" u="1"/>
        <s v="MIBESI-02" u="1"/>
        <s v="PAAO7X-08" u="1"/>
        <s v="TOGESI-01" u="1"/>
        <s v="PAAO7X-16" u="1"/>
        <s v="PAAO7X-24" u="1"/>
        <s v="GRHASI-01" u="1"/>
        <s v="TRGE10-04" u="1"/>
        <s v="BOGESI-06" u="1"/>
        <s v="BOGESI-14" u="1"/>
        <s v="EXGE10-09" u="1"/>
        <s v="PAAO7X-09" u="1"/>
        <s v="PAAO7X-17" u="1"/>
        <s v="CHLI60-01" u="1"/>
        <s v="TRGE10-05" u="1"/>
        <s v="MISHSM-01" u="1"/>
        <s v="BOGESI-07" u="1"/>
        <s v="BOGESI-15" u="1"/>
        <s v="CABISI-01" u="1"/>
        <s v="CACISI-01" u="1"/>
        <s v="PAQSK1-01" u="1"/>
        <s v="TRGA1M-01" u="1"/>
        <s v="CAPISI-01" u="1"/>
        <s v="CAQISI-01" u="1"/>
        <s v="PAAO7X-18" u="1"/>
        <s v="CHLI60-02" u="1"/>
        <s v="TRGA2M-01" u="1"/>
        <s v="TRGE10-06" u="1"/>
        <s v="BOGESI-08" u="1"/>
        <s v="BOGESI-16" u="1"/>
        <s v="PAQSK1-02" u="1"/>
        <s v="TRGA1M-02" u="1"/>
        <s v="TRGA3M-01" u="1"/>
        <s v="PAAO7X-19" u="1"/>
        <s v="TRGA2M-02" u="1"/>
        <s v="BOGESI-09" u="1"/>
        <s v="BOGESI-17" u="1"/>
        <s v="PAQSK1-03" u="1"/>
        <s v="CASA90-01" u="1"/>
        <s v="TRGA3M-02" u="1"/>
        <s v="TRGA3M-10" u="1"/>
        <s v="CAMAMT-01" u="1"/>
        <s v="MALISI-01" u="1"/>
        <s v="BOGESI-18" u="1"/>
        <s v="CACLSI-01" u="1"/>
        <s v="PAQSK1-04" u="1"/>
        <s v="CAELSI-01" u="1"/>
        <s v="CASA90-02" u="1"/>
        <s v="TRGA3M-03" u="1"/>
        <s v="CAXLSI-01" u="1"/>
        <s v="BOGESI-19" u="1"/>
        <s v="PAQSK1-05" u="1"/>
        <s v="CADMSI-01" u="1"/>
        <s v="CASA90-03" u="1"/>
        <s v="TRGA3M-04" u="1"/>
        <s v="PAQSK1-06" u="1"/>
        <s v="CASA90-04" u="1"/>
        <s v="TRGA3M-05" u="1"/>
        <s v="CAINSI-01" u="1"/>
        <s v="CAAO7R-01" u="1"/>
        <s v="CABOSI-01" u="1"/>
        <s v="CASA90-05" u="1"/>
        <s v="CACOSI-01" u="1"/>
        <s v="TRGA3M-06" u="1"/>
        <s v="ESHASI-01" u="1"/>
        <s v="CEGA2M-01" u="1"/>
        <s v="INSHSM-01" u="1"/>
        <s v="CAROSI-01" u="1"/>
        <s v="CATOSI-01" u="1"/>
        <s v="ATK&amp;25-01" u="1"/>
        <s v="CAAO7R-02" u="1"/>
        <s v="CABOSI-02" u="1"/>
        <s v="CASA90-06" u="1"/>
        <s v="TRGA3M-07" u="1"/>
        <s v="CABOSI-10" u="1"/>
        <s v="CEGA2M-02" u="1"/>
        <s v="CAROSI-02" u="1"/>
        <s v="ATK&amp;25-02" u="1"/>
        <s v="ATK&amp;25-10" u="1"/>
        <s v="CAAO7R-03" u="1"/>
        <s v="CABOSI-03" u="1"/>
        <s v="TRGA3M-08" u="1"/>
        <s v="CABOSI-11" u="1"/>
        <s v="BASASI-01" u="1"/>
        <s v="BAGATI-01" u="1"/>
        <s v="MESOSI-01" u="1"/>
        <s v="BATE3X-01" u="1"/>
        <s v="ATK&amp;25-03" u="1"/>
        <s v="CAAO7R-04" u="1"/>
        <s v="CABOSI-04" u="1"/>
        <s v="TRGA3M-09" u="1"/>
        <s v="CABOSI-12" u="1"/>
        <s v="BASASI-02" u="1"/>
        <s v="CABOSI-20" u="1"/>
        <s v="BAGATI-02" u="1"/>
        <s v="MESOUI-01" u="1"/>
        <s v="BATE3X-02" u="1"/>
        <s v="CATRSI-01" u="1"/>
        <s v="ATK&amp;25-04" u="1"/>
        <s v="CAAO7R-05" u="1"/>
        <s v="CABOSI-05" u="1"/>
        <s v="CABOSI-13" u="1"/>
        <s v="BASASI-03" u="1"/>
        <s v="BATE3X-03" u="1"/>
        <s v="ATK&amp;25-05" u="1"/>
        <s v="BIGESI-01" u="1"/>
        <s v="CAAO7R-06" u="1"/>
        <s v="CABOSI-06" u="1"/>
        <s v="CABOSI-14" u="1"/>
        <s v="BASASI-04" u="1"/>
        <s v="BATE3X-04" u="1"/>
        <s v="ATHEMS-01" u="1"/>
        <s v="PAGE3X-01" u="1"/>
        <s v="ATK&amp;25-06" u="1"/>
        <s v="BIGESI-02" u="1"/>
        <s v="FIGESI-01" u="1"/>
        <s v="CAAO7R-07" u="1"/>
        <s v="BAGESI-01" u="1"/>
        <s v="CABOSI-07" u="1"/>
        <s v="CABOSI-15" u="1"/>
        <s v="CAAUSI-01" u="1"/>
        <s v="BAGETI-01" u="1"/>
        <s v="ATHEMS-02" u="1"/>
        <s v="PAGE3X-02" u="1"/>
        <s v="ATK&amp;25-07" u="1"/>
        <s v="BIGESI-03" u="1"/>
        <s v="FIGESI-02" u="1"/>
        <s v="CAAO7R-08" u="1"/>
        <s v="BAGESI-02" u="1"/>
        <s v="CABOSI-08" u="1"/>
        <s v="CABOSI-16" u="1"/>
        <s v="BAGETI-02" u="1"/>
        <s v="PAGE3X-03" u="1"/>
        <s v="ATK&amp;25-08" u="1"/>
        <s v="TUGESI-01" u="1"/>
        <s v="BIGESI-04" u="1"/>
        <s v="FIGESI-03" u="1"/>
        <s v="BAGESI-03" u="1"/>
        <s v="IMHIPL-01" u="1"/>
        <s v="CABOSI-09" u="1"/>
        <s v="CABOSI-17" u="1"/>
        <s v="COBISI-01" u="1"/>
        <s v="BAGETI-03" u="1"/>
        <s v="ATHESS-01" u="1"/>
        <s v="ATK&amp;25-09" u="1"/>
        <s v="TUGESI-02" u="1"/>
        <s v="BIGESI-05" u="1"/>
        <s v="FIGESI-04" u="1"/>
        <s v="PEGESI-01" u="1"/>
        <s v="BAGESI-04" u="1"/>
        <s v="CABOSI-18" u="1"/>
        <s v="COBISI-02" u="1"/>
        <s v="COBISI-10" u="1"/>
        <s v="REGESI-01" u="1"/>
        <s v="BAGETI-04" u="1"/>
        <s v="PAGESI-01" u="1"/>
        <s v="ATHESS-02" u="1"/>
        <s v="TUGESI-03" u="1"/>
        <s v="BIGESI-06" u="1"/>
        <s v="PEGESI-02" u="1"/>
        <s v="BAGESI-05" u="1"/>
        <s v="PASAS9-01" u="1"/>
        <s v="MESOEP-01" u="1"/>
        <s v="CABOSI-19" u="1"/>
        <s v="PABI4X-01" u="1"/>
        <s v="COBISI-03" u="1"/>
        <s v="COBISI-11" u="1"/>
        <s v="REGESI-02" u="1"/>
        <s v="PAGESI-02" u="1"/>
        <s v="TAGESI-01" u="1"/>
        <s v="TALESI-01" u="1"/>
        <s v="ATHESS-03" u="1"/>
        <s v="COAO3X-01" u="1"/>
        <s v="TUGESI-04" u="1"/>
        <s v="PEGESI-03" u="1"/>
        <s v="BAGESI-06" u="1"/>
        <s v="PASAS9-02" u="1"/>
        <s v="MESOEP-02" u="1"/>
        <s v="PABI4X-02" u="1"/>
        <s v="COBISI-04" u="1"/>
        <s v="COBISI-12" u="1"/>
        <s v="REGESI-03" u="1"/>
        <s v="PAGESI-03" u="1"/>
        <s v="TALESI-02" u="1"/>
        <s v="ATHESS-04" u="1"/>
        <s v="TUGESI-05" u="1"/>
        <s v="PEGESI-04" u="1"/>
        <s v="PASAS9-03" u="1"/>
        <s v="PABI4X-03" u="1"/>
        <s v="COBISI-05" u="1"/>
        <s v="COBISI-13" u="1"/>
        <s v="REGESI-04" u="1"/>
        <s v="PAGESI-04" u="1"/>
        <s v="ATHESS-05" u="1"/>
        <s v="TUGESI-06" u="1"/>
        <s v="PEGESI-05" u="1"/>
        <s v="PASAS9-04" u="1"/>
        <s v="PABI4X-04" u="1"/>
        <s v="COBISI-06" u="1"/>
        <s v="COBISI-14" u="1"/>
        <s v="REGESI-05" u="1"/>
        <s v="ATHESS-06" u="1"/>
        <s v="TUGESI-07" u="1"/>
        <s v="PEGESI-06" u="1"/>
        <s v="SUAUAL-01" u="1"/>
        <s v="PABI4X-05" u="1"/>
        <s v="COBISI-07" u="1"/>
        <s v="COBISI-15" u="1"/>
        <s v="ATHESS-07" u="1"/>
        <s v="PEGESI-07" u="1"/>
        <s v="ESSOSI-01" u="1"/>
        <s v="PABI4X-06" u="1"/>
        <s v="COBISI-08" u="1"/>
        <s v="COBISI-16" u="1"/>
        <s v="MISKUH-01" u="1"/>
        <s v="ATHESS-08" u="1"/>
        <s v="COHPSI-01" u="1"/>
        <s v="PA4LSI-01" u="1"/>
        <s v="PABI4X-07" u="1"/>
        <s v="COBISI-09" u="1"/>
        <s v="MISKUH-02" u="1"/>
        <s v="PA4LSI-02" u="1"/>
        <s v="MEK-K6-01" u="1"/>
        <s v="PABI4X-08" u="1"/>
        <s v="CAMAMA-01" u="1"/>
        <s v="EXGE10-01" u="1"/>
        <s v="PAAO7X-01" u="1"/>
        <s v="CAHASI-01" u="1"/>
        <s v="COASSI-01" u="1"/>
        <s v="CAMAMA-02" u="1"/>
        <s v="EXGE10-02" u="1"/>
        <s v="EXGE10-10" u="1"/>
        <s v="PIQI10-01" u="1"/>
        <s v="PAAO7X-02" u="1"/>
        <s v="PAAO7X-10" u="1"/>
        <s v="MAPU90-01" u="1"/>
        <s v="CAMAMA-03" u="1"/>
        <s v="EXGE10-03" u="1"/>
      </sharedItems>
    </cacheField>
    <cacheField name="Tipo de Equipo" numFmtId="0">
      <sharedItems count="80">
        <s v="ATRILES MICROFONOS"/>
        <s v="ATRILES PARLANTES"/>
        <s v="BASES TRUSS"/>
        <s v="BARRA T"/>
        <s v="BARRA STROBE"/>
        <s v="BARRAS PIN"/>
        <s v="BIOMBO"/>
        <s v="BOLA DISCO 16&quot;"/>
        <s v="BOLA DISCO 21&quot;"/>
        <s v="CABEZA MOVIL BEAM"/>
        <s v="SEVEN EYES BACKLIGHT"/>
        <s v="SIX EYES BACKLIGHT"/>
        <s v="CAJA CABLES AUDIO"/>
        <s v="CAJA CINTAS"/>
        <s v="CAJA CLAMP"/>
        <s v="CAJA CONECTORES AUDIO"/>
        <s v="CAJA CONECTORES ELECTRICOS"/>
        <s v="CAJA FUNDAS BIOMBO"/>
        <s v="CAJA FUNDAS TRUSS"/>
        <s v="CAJA GUIRNALDAS HADAS"/>
        <s v="CAJA GUIRNALDAS TOSCANAS"/>
        <s v="CAJA INTERLOCK"/>
        <s v="CAJA MOTOR BOLA DISCO"/>
        <s v="CAJA PIVOTES"/>
        <s v="CAJA SEGURIDAD"/>
        <s v="CAJA XLR CORTOS"/>
        <s v="CAJA ZAPATILLAS"/>
        <s v="CAJA MTOUCH+NOTEBOOK"/>
        <s v="MTOUCH"/>
        <s v="CABEZA MOVIL WASH"/>
        <s v="CAJA BORDES PISTA DE BAILE"/>
        <s v="CAJA XLR LARGOS"/>
        <s v="CABEZA MOVIL SPOT"/>
        <s v="CAJA CONSOLA DMX"/>
        <s v="CONSOLA DMX"/>
        <s v="CERCHA 2 MTS"/>
        <s v="CHISPAS FRIAS"/>
        <s v="CO2"/>
        <s v="CORTINA LED"/>
        <s v="COMPUTADOR "/>
        <s v="COB LED"/>
        <s v="CONFETTI"/>
        <s v="ESCALA MEDIANA"/>
        <s v="ESCALA RETRACTIL"/>
        <s v="EXTENSIONES MONO"/>
        <s v="FIERRO BOLA DISCO"/>
        <s v="ESCALA GRANDE"/>
        <s v="IMPRESORA CABINA"/>
        <s v="MALACATES"/>
        <s v="MAQUINA HAZER"/>
        <s v="MESA SONIDO"/>
        <s v="MICROFONO"/>
        <s v="MICROFONO INALAMBRICO"/>
        <s v="INALAMBRICO MICROFONO"/>
        <s v="PASACABLE 4 LINEAS"/>
        <s v="PAR LED"/>
        <s v="PASACABLE 2 LINEAS"/>
        <s v="PARLANTE"/>
        <s v="PALETAS STROBE "/>
        <s v="PERFIL RECTANGULAR 3 MTS"/>
        <s v="PISTA DE BAILE B&amp;W"/>
        <s v="REGULADOR DE VOLTAJE"/>
        <s v="SUB BAJO"/>
        <s v="TARIMA"/>
        <s v="TABLERO TRIFASICO"/>
        <s v="TORRE"/>
        <s v="TOTEM FOTOGRAFICO"/>
        <s v="TRUSS 1 MT"/>
        <s v="TRUSS 2 MTS"/>
        <s v="COMPUTADOR" u="1"/>
        <s v="CAJA CONSOLA ILUMINACION" u="1"/>
        <s v="PANTALLA 3X4" u="1"/>
        <s v="MAQUINA NIEBLA" u="1"/>
        <s v="PALETAS STROBE" u="1"/>
        <s v="TUBO 3 MTS" u="1"/>
        <s v="TRUSS 3 MTS" u="1"/>
        <s v="TRIF EXTENSIONES" u="1"/>
        <s v="PANTALLA 3X3" u="1"/>
        <s v="BOLA DISCO" u="1"/>
        <s v="PANTALLA 3X2" u="1"/>
      </sharedItems>
    </cacheField>
    <cacheField name="Marca" numFmtId="0">
      <sharedItems count="52">
        <s v="HERCULES"/>
        <s v="K&amp;M"/>
        <s v="GALAXY"/>
        <s v="GENERICO"/>
        <s v="SANYI LIGHT"/>
        <s v="TECHSHOW"/>
        <s v="KEMAX"/>
        <s v="WILDPRO"/>
        <s v="AOLAIT"/>
        <s v="MOWL"/>
        <s v="BAUKER"/>
        <s v="ELECTRICO"/>
        <s v="WENCO"/>
        <s v="HADAS"/>
        <s v="PELICAN"/>
        <s v="ROBUST"/>
        <s v="PIVOTES"/>
        <s v="MARTIN"/>
        <s v="DMX"/>
        <s v="LA GAMME"/>
        <s v="LIGHTSOLUTION"/>
        <s v="ASUS"/>
        <s v="BIGDIPPER"/>
        <s v="HP"/>
        <s v="SV PRO"/>
        <s v="HALO"/>
        <s v="SODIMAC"/>
        <s v="HITI"/>
        <s v="PURPLE"/>
        <s v="K-ACOUSTIC"/>
        <s v="SOUNDCRAFT"/>
        <s v="BEHRINGER"/>
        <s v="NADY"/>
        <s v="SHURE"/>
        <s v="SKP"/>
        <s v="4LINEAS"/>
        <s v="QSC"/>
        <s v="QINGDAO"/>
        <s v="AUDIOLAB"/>
        <s v="LEXO"/>
        <s v="FENIX"/>
        <s v="TOSCANAS" u="1"/>
        <s v="SEGURIDAD" u="1"/>
        <s v="CONECTORES" u="1"/>
        <s v="XLR" u="1"/>
        <s v="AUDIO" u="1"/>
        <s v="TRUSS" u="1"/>
        <s v="INTERLOCK" u="1"/>
        <s v="BIOMBO" u="1"/>
        <s v="CINTAS" u="1"/>
        <s v="CLAMP" u="1"/>
        <s v="BOLA" u="1"/>
      </sharedItems>
    </cacheField>
    <cacheField name="Modelo" numFmtId="0">
      <sharedItems containsMixedTypes="1" containsNumber="1" containsInteger="1" minValue="720" maxValue="25400" count="65">
        <s v="MS533B"/>
        <s v="SS200BB"/>
        <n v="25400"/>
        <s v="TIPO CUADRADA"/>
        <s v="N/A"/>
        <n v="720"/>
        <n v="721"/>
        <n v="722"/>
        <n v="723"/>
        <n v="724"/>
        <n v="725"/>
        <n v="726"/>
        <n v="727"/>
        <s v="6X5W"/>
        <s v="6X20W"/>
        <s v="WILDPRO"/>
        <s v="7R"/>
        <s v="9R"/>
        <s v="MLBWJ01"/>
        <s v="MLXGD03"/>
        <s v="Sin Modelo"/>
        <s v="BAUKER"/>
        <s v="WENCO"/>
        <s v="PELICAN"/>
        <s v="MJ-5003 B"/>
        <s v="SILVER EAGLE"/>
        <s v="MTOUCH"/>
        <s v="MAC AURA XB"/>
        <s v="ROBUST"/>
        <s v="90W"/>
        <s v="CLUB - 12J"/>
        <s v="2MM"/>
        <s v="600W"/>
        <s v="750W"/>
        <s v="MLCO2-QZ03"/>
        <s v="3X2M (4U)"/>
        <s v="BDLC001H"/>
        <s v="X360 PAVILLION"/>
        <s v="EFXT-FX03"/>
        <s v="9309-507"/>
        <s v="10 MTS"/>
        <s v="9312-507"/>
        <s v="PL525"/>
        <s v="100 KG"/>
        <s v="HF-900"/>
        <n v="1500"/>
        <s v="K68"/>
        <s v="EPM6"/>
        <s v="SIGNATURE 10"/>
        <s v="UI24R"/>
        <s v="HT-1KU-TX-HT-NEUS"/>
        <s v="SM58"/>
        <s v="UHF600"/>
        <s v="7x12W"/>
        <s v="4X50W"/>
        <s v="K12.2"/>
        <s v="K10"/>
        <s v="S960ii"/>
        <s v="100MTS2"/>
        <s v="ALA218"/>
        <s v="32A"/>
        <s v="MEGARA 300"/>
        <s v="1MT-3MM"/>
        <s v="2MT-3MM"/>
        <n v="900" u="1"/>
      </sharedItems>
    </cacheField>
    <cacheField name="N* Serie" numFmtId="0">
      <sharedItems containsSemiMixedTypes="0" containsString="0" containsNumber="1" containsInteger="1" minValue="0" maxValue="0" count="1">
        <n v="0"/>
      </sharedItems>
    </cacheField>
    <cacheField name="Estado" numFmtId="0">
      <sharedItems containsNonDate="0" containsString="0" containsBlank="1" count="1">
        <m/>
      </sharedItems>
    </cacheField>
    <cacheField name="Observacion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x v="0"/>
    <x v="0"/>
    <x v="0"/>
    <x v="0"/>
    <x v="0"/>
    <x v="0"/>
    <x v="0"/>
  </r>
  <r>
    <x v="1"/>
    <x v="0"/>
    <x v="0"/>
    <x v="0"/>
    <x v="0"/>
    <x v="0"/>
    <x v="0"/>
  </r>
  <r>
    <x v="2"/>
    <x v="1"/>
    <x v="0"/>
    <x v="1"/>
    <x v="0"/>
    <x v="0"/>
    <x v="0"/>
  </r>
  <r>
    <x v="3"/>
    <x v="1"/>
    <x v="0"/>
    <x v="1"/>
    <x v="0"/>
    <x v="0"/>
    <x v="0"/>
  </r>
  <r>
    <x v="4"/>
    <x v="1"/>
    <x v="0"/>
    <x v="1"/>
    <x v="0"/>
    <x v="0"/>
    <x v="0"/>
  </r>
  <r>
    <x v="5"/>
    <x v="1"/>
    <x v="0"/>
    <x v="1"/>
    <x v="0"/>
    <x v="0"/>
    <x v="0"/>
  </r>
  <r>
    <x v="6"/>
    <x v="1"/>
    <x v="0"/>
    <x v="1"/>
    <x v="0"/>
    <x v="0"/>
    <x v="0"/>
  </r>
  <r>
    <x v="7"/>
    <x v="1"/>
    <x v="0"/>
    <x v="1"/>
    <x v="0"/>
    <x v="0"/>
    <x v="0"/>
  </r>
  <r>
    <x v="8"/>
    <x v="1"/>
    <x v="0"/>
    <x v="1"/>
    <x v="0"/>
    <x v="0"/>
    <x v="0"/>
  </r>
  <r>
    <x v="9"/>
    <x v="1"/>
    <x v="0"/>
    <x v="1"/>
    <x v="0"/>
    <x v="0"/>
    <x v="0"/>
  </r>
  <r>
    <x v="10"/>
    <x v="0"/>
    <x v="1"/>
    <x v="2"/>
    <x v="0"/>
    <x v="0"/>
    <x v="0"/>
  </r>
  <r>
    <x v="11"/>
    <x v="0"/>
    <x v="1"/>
    <x v="2"/>
    <x v="0"/>
    <x v="0"/>
    <x v="0"/>
  </r>
  <r>
    <x v="12"/>
    <x v="0"/>
    <x v="1"/>
    <x v="2"/>
    <x v="0"/>
    <x v="0"/>
    <x v="0"/>
  </r>
  <r>
    <x v="13"/>
    <x v="0"/>
    <x v="1"/>
    <x v="2"/>
    <x v="0"/>
    <x v="0"/>
    <x v="0"/>
  </r>
  <r>
    <x v="14"/>
    <x v="0"/>
    <x v="1"/>
    <x v="2"/>
    <x v="0"/>
    <x v="0"/>
    <x v="0"/>
  </r>
  <r>
    <x v="15"/>
    <x v="0"/>
    <x v="1"/>
    <x v="2"/>
    <x v="0"/>
    <x v="0"/>
    <x v="0"/>
  </r>
  <r>
    <x v="16"/>
    <x v="0"/>
    <x v="1"/>
    <x v="2"/>
    <x v="0"/>
    <x v="0"/>
    <x v="0"/>
  </r>
  <r>
    <x v="17"/>
    <x v="0"/>
    <x v="1"/>
    <x v="2"/>
    <x v="0"/>
    <x v="0"/>
    <x v="0"/>
  </r>
  <r>
    <x v="18"/>
    <x v="0"/>
    <x v="1"/>
    <x v="2"/>
    <x v="0"/>
    <x v="0"/>
    <x v="0"/>
  </r>
  <r>
    <x v="19"/>
    <x v="0"/>
    <x v="1"/>
    <x v="2"/>
    <x v="0"/>
    <x v="0"/>
    <x v="0"/>
  </r>
  <r>
    <x v="20"/>
    <x v="2"/>
    <x v="2"/>
    <x v="3"/>
    <x v="0"/>
    <x v="0"/>
    <x v="0"/>
  </r>
  <r>
    <x v="21"/>
    <x v="2"/>
    <x v="2"/>
    <x v="3"/>
    <x v="0"/>
    <x v="0"/>
    <x v="0"/>
  </r>
  <r>
    <x v="22"/>
    <x v="3"/>
    <x v="3"/>
    <x v="4"/>
    <x v="0"/>
    <x v="0"/>
    <x v="0"/>
  </r>
  <r>
    <x v="23"/>
    <x v="3"/>
    <x v="3"/>
    <x v="4"/>
    <x v="0"/>
    <x v="0"/>
    <x v="0"/>
  </r>
  <r>
    <x v="24"/>
    <x v="3"/>
    <x v="3"/>
    <x v="4"/>
    <x v="0"/>
    <x v="0"/>
    <x v="0"/>
  </r>
  <r>
    <x v="25"/>
    <x v="3"/>
    <x v="3"/>
    <x v="4"/>
    <x v="0"/>
    <x v="0"/>
    <x v="0"/>
  </r>
  <r>
    <x v="26"/>
    <x v="3"/>
    <x v="3"/>
    <x v="4"/>
    <x v="0"/>
    <x v="0"/>
    <x v="0"/>
  </r>
  <r>
    <x v="27"/>
    <x v="3"/>
    <x v="3"/>
    <x v="4"/>
    <x v="0"/>
    <x v="0"/>
    <x v="0"/>
  </r>
  <r>
    <x v="22"/>
    <x v="2"/>
    <x v="3"/>
    <x v="4"/>
    <x v="0"/>
    <x v="0"/>
    <x v="0"/>
  </r>
  <r>
    <x v="23"/>
    <x v="2"/>
    <x v="3"/>
    <x v="4"/>
    <x v="0"/>
    <x v="0"/>
    <x v="0"/>
  </r>
  <r>
    <x v="24"/>
    <x v="2"/>
    <x v="3"/>
    <x v="4"/>
    <x v="0"/>
    <x v="0"/>
    <x v="0"/>
  </r>
  <r>
    <x v="25"/>
    <x v="2"/>
    <x v="3"/>
    <x v="4"/>
    <x v="0"/>
    <x v="0"/>
    <x v="0"/>
  </r>
  <r>
    <x v="28"/>
    <x v="4"/>
    <x v="4"/>
    <x v="5"/>
    <x v="0"/>
    <x v="0"/>
    <x v="0"/>
  </r>
  <r>
    <x v="29"/>
    <x v="4"/>
    <x v="4"/>
    <x v="6"/>
    <x v="0"/>
    <x v="0"/>
    <x v="0"/>
  </r>
  <r>
    <x v="30"/>
    <x v="4"/>
    <x v="4"/>
    <x v="7"/>
    <x v="0"/>
    <x v="0"/>
    <x v="0"/>
  </r>
  <r>
    <x v="31"/>
    <x v="4"/>
    <x v="4"/>
    <x v="8"/>
    <x v="0"/>
    <x v="0"/>
    <x v="0"/>
  </r>
  <r>
    <x v="32"/>
    <x v="4"/>
    <x v="4"/>
    <x v="9"/>
    <x v="0"/>
    <x v="0"/>
    <x v="0"/>
  </r>
  <r>
    <x v="33"/>
    <x v="4"/>
    <x v="4"/>
    <x v="10"/>
    <x v="0"/>
    <x v="0"/>
    <x v="0"/>
  </r>
  <r>
    <x v="34"/>
    <x v="4"/>
    <x v="4"/>
    <x v="11"/>
    <x v="0"/>
    <x v="0"/>
    <x v="0"/>
  </r>
  <r>
    <x v="35"/>
    <x v="4"/>
    <x v="4"/>
    <x v="12"/>
    <x v="0"/>
    <x v="0"/>
    <x v="0"/>
  </r>
  <r>
    <x v="36"/>
    <x v="5"/>
    <x v="5"/>
    <x v="13"/>
    <x v="0"/>
    <x v="0"/>
    <x v="0"/>
  </r>
  <r>
    <x v="37"/>
    <x v="5"/>
    <x v="5"/>
    <x v="13"/>
    <x v="0"/>
    <x v="0"/>
    <x v="0"/>
  </r>
  <r>
    <x v="38"/>
    <x v="5"/>
    <x v="5"/>
    <x v="13"/>
    <x v="0"/>
    <x v="0"/>
    <x v="0"/>
  </r>
  <r>
    <x v="39"/>
    <x v="5"/>
    <x v="5"/>
    <x v="13"/>
    <x v="0"/>
    <x v="0"/>
    <x v="0"/>
  </r>
  <r>
    <x v="40"/>
    <x v="5"/>
    <x v="6"/>
    <x v="14"/>
    <x v="0"/>
    <x v="0"/>
    <x v="0"/>
  </r>
  <r>
    <x v="41"/>
    <x v="5"/>
    <x v="6"/>
    <x v="14"/>
    <x v="0"/>
    <x v="0"/>
    <x v="0"/>
  </r>
  <r>
    <x v="42"/>
    <x v="5"/>
    <x v="6"/>
    <x v="14"/>
    <x v="0"/>
    <x v="0"/>
    <x v="0"/>
  </r>
  <r>
    <x v="43"/>
    <x v="5"/>
    <x v="6"/>
    <x v="14"/>
    <x v="0"/>
    <x v="0"/>
    <x v="0"/>
  </r>
  <r>
    <x v="44"/>
    <x v="6"/>
    <x v="3"/>
    <x v="4"/>
    <x v="0"/>
    <x v="0"/>
    <x v="0"/>
  </r>
  <r>
    <x v="45"/>
    <x v="6"/>
    <x v="3"/>
    <x v="4"/>
    <x v="0"/>
    <x v="0"/>
    <x v="0"/>
  </r>
  <r>
    <x v="46"/>
    <x v="6"/>
    <x v="3"/>
    <x v="4"/>
    <x v="0"/>
    <x v="0"/>
    <x v="0"/>
  </r>
  <r>
    <x v="47"/>
    <x v="6"/>
    <x v="3"/>
    <x v="4"/>
    <x v="0"/>
    <x v="0"/>
    <x v="0"/>
  </r>
  <r>
    <x v="48"/>
    <x v="6"/>
    <x v="3"/>
    <x v="4"/>
    <x v="0"/>
    <x v="0"/>
    <x v="0"/>
  </r>
  <r>
    <x v="49"/>
    <x v="6"/>
    <x v="3"/>
    <x v="4"/>
    <x v="0"/>
    <x v="0"/>
    <x v="0"/>
  </r>
  <r>
    <x v="50"/>
    <x v="7"/>
    <x v="7"/>
    <x v="15"/>
    <x v="0"/>
    <x v="0"/>
    <x v="0"/>
  </r>
  <r>
    <x v="51"/>
    <x v="7"/>
    <x v="7"/>
    <x v="15"/>
    <x v="0"/>
    <x v="0"/>
    <x v="0"/>
  </r>
  <r>
    <x v="52"/>
    <x v="7"/>
    <x v="7"/>
    <x v="15"/>
    <x v="0"/>
    <x v="0"/>
    <x v="0"/>
  </r>
  <r>
    <x v="53"/>
    <x v="7"/>
    <x v="7"/>
    <x v="15"/>
    <x v="0"/>
    <x v="0"/>
    <x v="0"/>
  </r>
  <r>
    <x v="54"/>
    <x v="7"/>
    <x v="7"/>
    <x v="15"/>
    <x v="0"/>
    <x v="0"/>
    <x v="0"/>
  </r>
  <r>
    <x v="55"/>
    <x v="7"/>
    <x v="7"/>
    <x v="15"/>
    <x v="0"/>
    <x v="0"/>
    <x v="0"/>
  </r>
  <r>
    <x v="56"/>
    <x v="7"/>
    <x v="7"/>
    <x v="15"/>
    <x v="0"/>
    <x v="0"/>
    <x v="0"/>
  </r>
  <r>
    <x v="57"/>
    <x v="7"/>
    <x v="7"/>
    <x v="15"/>
    <x v="0"/>
    <x v="0"/>
    <x v="0"/>
  </r>
  <r>
    <x v="58"/>
    <x v="7"/>
    <x v="7"/>
    <x v="15"/>
    <x v="0"/>
    <x v="0"/>
    <x v="0"/>
  </r>
  <r>
    <x v="59"/>
    <x v="7"/>
    <x v="7"/>
    <x v="15"/>
    <x v="0"/>
    <x v="0"/>
    <x v="0"/>
  </r>
  <r>
    <x v="60"/>
    <x v="7"/>
    <x v="7"/>
    <x v="15"/>
    <x v="0"/>
    <x v="0"/>
    <x v="0"/>
  </r>
  <r>
    <x v="61"/>
    <x v="7"/>
    <x v="7"/>
    <x v="15"/>
    <x v="0"/>
    <x v="0"/>
    <x v="0"/>
  </r>
  <r>
    <x v="62"/>
    <x v="7"/>
    <x v="7"/>
    <x v="15"/>
    <x v="0"/>
    <x v="0"/>
    <x v="0"/>
  </r>
  <r>
    <x v="63"/>
    <x v="7"/>
    <x v="7"/>
    <x v="15"/>
    <x v="0"/>
    <x v="0"/>
    <x v="0"/>
  </r>
  <r>
    <x v="64"/>
    <x v="7"/>
    <x v="7"/>
    <x v="15"/>
    <x v="0"/>
    <x v="0"/>
    <x v="0"/>
  </r>
  <r>
    <x v="65"/>
    <x v="7"/>
    <x v="7"/>
    <x v="15"/>
    <x v="0"/>
    <x v="0"/>
    <x v="0"/>
  </r>
  <r>
    <x v="66"/>
    <x v="7"/>
    <x v="7"/>
    <x v="15"/>
    <x v="0"/>
    <x v="0"/>
    <x v="0"/>
  </r>
  <r>
    <x v="67"/>
    <x v="7"/>
    <x v="7"/>
    <x v="15"/>
    <x v="0"/>
    <x v="0"/>
    <x v="0"/>
  </r>
  <r>
    <x v="68"/>
    <x v="7"/>
    <x v="7"/>
    <x v="15"/>
    <x v="0"/>
    <x v="0"/>
    <x v="0"/>
  </r>
  <r>
    <x v="69"/>
    <x v="7"/>
    <x v="7"/>
    <x v="15"/>
    <x v="0"/>
    <x v="0"/>
    <x v="0"/>
  </r>
  <r>
    <x v="50"/>
    <x v="8"/>
    <x v="7"/>
    <x v="15"/>
    <x v="0"/>
    <x v="0"/>
    <x v="0"/>
  </r>
  <r>
    <x v="70"/>
    <x v="9"/>
    <x v="8"/>
    <x v="16"/>
    <x v="0"/>
    <x v="0"/>
    <x v="0"/>
  </r>
  <r>
    <x v="71"/>
    <x v="9"/>
    <x v="8"/>
    <x v="16"/>
    <x v="0"/>
    <x v="0"/>
    <x v="0"/>
  </r>
  <r>
    <x v="72"/>
    <x v="9"/>
    <x v="8"/>
    <x v="16"/>
    <x v="0"/>
    <x v="0"/>
    <x v="0"/>
  </r>
  <r>
    <x v="73"/>
    <x v="9"/>
    <x v="8"/>
    <x v="16"/>
    <x v="0"/>
    <x v="0"/>
    <x v="0"/>
  </r>
  <r>
    <x v="74"/>
    <x v="9"/>
    <x v="8"/>
    <x v="16"/>
    <x v="0"/>
    <x v="0"/>
    <x v="0"/>
  </r>
  <r>
    <x v="75"/>
    <x v="9"/>
    <x v="8"/>
    <x v="16"/>
    <x v="0"/>
    <x v="0"/>
    <x v="0"/>
  </r>
  <r>
    <x v="76"/>
    <x v="9"/>
    <x v="8"/>
    <x v="16"/>
    <x v="0"/>
    <x v="0"/>
    <x v="0"/>
  </r>
  <r>
    <x v="77"/>
    <x v="9"/>
    <x v="8"/>
    <x v="16"/>
    <x v="0"/>
    <x v="0"/>
    <x v="0"/>
  </r>
  <r>
    <x v="78"/>
    <x v="9"/>
    <x v="9"/>
    <x v="17"/>
    <x v="0"/>
    <x v="0"/>
    <x v="0"/>
  </r>
  <r>
    <x v="79"/>
    <x v="9"/>
    <x v="9"/>
    <x v="17"/>
    <x v="0"/>
    <x v="0"/>
    <x v="0"/>
  </r>
  <r>
    <x v="80"/>
    <x v="9"/>
    <x v="9"/>
    <x v="17"/>
    <x v="0"/>
    <x v="0"/>
    <x v="0"/>
  </r>
  <r>
    <x v="81"/>
    <x v="9"/>
    <x v="9"/>
    <x v="17"/>
    <x v="0"/>
    <x v="0"/>
    <x v="0"/>
  </r>
  <r>
    <x v="82"/>
    <x v="9"/>
    <x v="9"/>
    <x v="17"/>
    <x v="0"/>
    <x v="0"/>
    <x v="0"/>
  </r>
  <r>
    <x v="83"/>
    <x v="9"/>
    <x v="9"/>
    <x v="17"/>
    <x v="0"/>
    <x v="0"/>
    <x v="0"/>
  </r>
  <r>
    <x v="84"/>
    <x v="9"/>
    <x v="9"/>
    <x v="17"/>
    <x v="0"/>
    <x v="0"/>
    <x v="0"/>
  </r>
  <r>
    <x v="85"/>
    <x v="9"/>
    <x v="9"/>
    <x v="17"/>
    <x v="0"/>
    <x v="0"/>
    <x v="0"/>
  </r>
  <r>
    <x v="86"/>
    <x v="9"/>
    <x v="9"/>
    <x v="17"/>
    <x v="0"/>
    <x v="0"/>
    <x v="0"/>
  </r>
  <r>
    <x v="87"/>
    <x v="9"/>
    <x v="9"/>
    <x v="17"/>
    <x v="0"/>
    <x v="0"/>
    <x v="0"/>
  </r>
  <r>
    <x v="88"/>
    <x v="10"/>
    <x v="9"/>
    <x v="18"/>
    <x v="0"/>
    <x v="0"/>
    <x v="0"/>
  </r>
  <r>
    <x v="89"/>
    <x v="10"/>
    <x v="9"/>
    <x v="18"/>
    <x v="0"/>
    <x v="0"/>
    <x v="0"/>
  </r>
  <r>
    <x v="90"/>
    <x v="11"/>
    <x v="9"/>
    <x v="19"/>
    <x v="0"/>
    <x v="0"/>
    <x v="0"/>
  </r>
  <r>
    <x v="91"/>
    <x v="11"/>
    <x v="9"/>
    <x v="19"/>
    <x v="0"/>
    <x v="0"/>
    <x v="0"/>
  </r>
  <r>
    <x v="92"/>
    <x v="12"/>
    <x v="10"/>
    <x v="20"/>
    <x v="0"/>
    <x v="0"/>
    <x v="0"/>
  </r>
  <r>
    <x v="93"/>
    <x v="13"/>
    <x v="10"/>
    <x v="21"/>
    <x v="0"/>
    <x v="0"/>
    <x v="0"/>
  </r>
  <r>
    <x v="93"/>
    <x v="14"/>
    <x v="10"/>
    <x v="21"/>
    <x v="0"/>
    <x v="0"/>
    <x v="0"/>
  </r>
  <r>
    <x v="93"/>
    <x v="15"/>
    <x v="10"/>
    <x v="21"/>
    <x v="0"/>
    <x v="0"/>
    <x v="0"/>
  </r>
  <r>
    <x v="94"/>
    <x v="16"/>
    <x v="11"/>
    <x v="20"/>
    <x v="0"/>
    <x v="0"/>
    <x v="0"/>
  </r>
  <r>
    <x v="95"/>
    <x v="17"/>
    <x v="12"/>
    <x v="22"/>
    <x v="0"/>
    <x v="0"/>
    <x v="0"/>
  </r>
  <r>
    <x v="95"/>
    <x v="18"/>
    <x v="12"/>
    <x v="22"/>
    <x v="0"/>
    <x v="0"/>
    <x v="0"/>
  </r>
  <r>
    <x v="96"/>
    <x v="19"/>
    <x v="13"/>
    <x v="20"/>
    <x v="0"/>
    <x v="0"/>
    <x v="0"/>
  </r>
  <r>
    <x v="97"/>
    <x v="20"/>
    <x v="3"/>
    <x v="4"/>
    <x v="0"/>
    <x v="0"/>
    <x v="0"/>
  </r>
  <r>
    <x v="98"/>
    <x v="21"/>
    <x v="14"/>
    <x v="23"/>
    <x v="0"/>
    <x v="0"/>
    <x v="0"/>
  </r>
  <r>
    <x v="99"/>
    <x v="22"/>
    <x v="15"/>
    <x v="24"/>
    <x v="0"/>
    <x v="0"/>
    <x v="0"/>
  </r>
  <r>
    <x v="100"/>
    <x v="22"/>
    <x v="15"/>
    <x v="24"/>
    <x v="0"/>
    <x v="0"/>
    <x v="0"/>
  </r>
  <r>
    <x v="101"/>
    <x v="22"/>
    <x v="15"/>
    <x v="24"/>
    <x v="0"/>
    <x v="0"/>
    <x v="0"/>
  </r>
  <r>
    <x v="102"/>
    <x v="22"/>
    <x v="15"/>
    <x v="24"/>
    <x v="0"/>
    <x v="0"/>
    <x v="0"/>
  </r>
  <r>
    <x v="103"/>
    <x v="22"/>
    <x v="15"/>
    <x v="24"/>
    <x v="0"/>
    <x v="0"/>
    <x v="0"/>
  </r>
  <r>
    <x v="104"/>
    <x v="22"/>
    <x v="15"/>
    <x v="24"/>
    <x v="0"/>
    <x v="0"/>
    <x v="0"/>
  </r>
  <r>
    <x v="105"/>
    <x v="22"/>
    <x v="15"/>
    <x v="24"/>
    <x v="0"/>
    <x v="0"/>
    <x v="0"/>
  </r>
  <r>
    <x v="106"/>
    <x v="22"/>
    <x v="15"/>
    <x v="24"/>
    <x v="0"/>
    <x v="0"/>
    <x v="0"/>
  </r>
  <r>
    <x v="107"/>
    <x v="22"/>
    <x v="15"/>
    <x v="24"/>
    <x v="0"/>
    <x v="0"/>
    <x v="0"/>
  </r>
  <r>
    <x v="108"/>
    <x v="22"/>
    <x v="15"/>
    <x v="24"/>
    <x v="0"/>
    <x v="0"/>
    <x v="0"/>
  </r>
  <r>
    <x v="109"/>
    <x v="22"/>
    <x v="15"/>
    <x v="24"/>
    <x v="0"/>
    <x v="0"/>
    <x v="0"/>
  </r>
  <r>
    <x v="110"/>
    <x v="22"/>
    <x v="15"/>
    <x v="24"/>
    <x v="0"/>
    <x v="0"/>
    <x v="0"/>
  </r>
  <r>
    <x v="111"/>
    <x v="22"/>
    <x v="15"/>
    <x v="24"/>
    <x v="0"/>
    <x v="0"/>
    <x v="0"/>
  </r>
  <r>
    <x v="112"/>
    <x v="22"/>
    <x v="15"/>
    <x v="24"/>
    <x v="0"/>
    <x v="0"/>
    <x v="0"/>
  </r>
  <r>
    <x v="113"/>
    <x v="22"/>
    <x v="15"/>
    <x v="24"/>
    <x v="0"/>
    <x v="0"/>
    <x v="0"/>
  </r>
  <r>
    <x v="114"/>
    <x v="22"/>
    <x v="15"/>
    <x v="24"/>
    <x v="0"/>
    <x v="0"/>
    <x v="0"/>
  </r>
  <r>
    <x v="115"/>
    <x v="22"/>
    <x v="15"/>
    <x v="24"/>
    <x v="0"/>
    <x v="0"/>
    <x v="0"/>
  </r>
  <r>
    <x v="116"/>
    <x v="22"/>
    <x v="15"/>
    <x v="24"/>
    <x v="0"/>
    <x v="0"/>
    <x v="0"/>
  </r>
  <r>
    <x v="117"/>
    <x v="22"/>
    <x v="15"/>
    <x v="24"/>
    <x v="0"/>
    <x v="0"/>
    <x v="0"/>
  </r>
  <r>
    <x v="118"/>
    <x v="22"/>
    <x v="15"/>
    <x v="24"/>
    <x v="0"/>
    <x v="0"/>
    <x v="0"/>
  </r>
  <r>
    <x v="119"/>
    <x v="22"/>
    <x v="15"/>
    <x v="24"/>
    <x v="0"/>
    <x v="0"/>
    <x v="0"/>
  </r>
  <r>
    <x v="120"/>
    <x v="23"/>
    <x v="16"/>
    <x v="25"/>
    <x v="0"/>
    <x v="0"/>
    <x v="0"/>
  </r>
  <r>
    <x v="95"/>
    <x v="24"/>
    <x v="12"/>
    <x v="22"/>
    <x v="0"/>
    <x v="0"/>
    <x v="0"/>
  </r>
  <r>
    <x v="98"/>
    <x v="25"/>
    <x v="14"/>
    <x v="23"/>
    <x v="0"/>
    <x v="0"/>
    <x v="0"/>
  </r>
  <r>
    <x v="95"/>
    <x v="26"/>
    <x v="12"/>
    <x v="22"/>
    <x v="0"/>
    <x v="0"/>
    <x v="0"/>
  </r>
  <r>
    <x v="98"/>
    <x v="27"/>
    <x v="14"/>
    <x v="23"/>
    <x v="0"/>
    <x v="0"/>
    <x v="0"/>
  </r>
  <r>
    <x v="121"/>
    <x v="28"/>
    <x v="17"/>
    <x v="26"/>
    <x v="0"/>
    <x v="0"/>
    <x v="0"/>
  </r>
  <r>
    <x v="122"/>
    <x v="29"/>
    <x v="17"/>
    <x v="27"/>
    <x v="0"/>
    <x v="0"/>
    <x v="0"/>
  </r>
  <r>
    <x v="123"/>
    <x v="29"/>
    <x v="17"/>
    <x v="27"/>
    <x v="0"/>
    <x v="0"/>
    <x v="0"/>
  </r>
  <r>
    <x v="124"/>
    <x v="29"/>
    <x v="17"/>
    <x v="27"/>
    <x v="0"/>
    <x v="0"/>
    <x v="0"/>
  </r>
  <r>
    <x v="125"/>
    <x v="29"/>
    <x v="17"/>
    <x v="27"/>
    <x v="0"/>
    <x v="0"/>
    <x v="0"/>
  </r>
  <r>
    <x v="99"/>
    <x v="30"/>
    <x v="15"/>
    <x v="24"/>
    <x v="0"/>
    <x v="0"/>
    <x v="0"/>
  </r>
  <r>
    <x v="126"/>
    <x v="31"/>
    <x v="15"/>
    <x v="28"/>
    <x v="0"/>
    <x v="0"/>
    <x v="0"/>
  </r>
  <r>
    <x v="127"/>
    <x v="31"/>
    <x v="15"/>
    <x v="28"/>
    <x v="0"/>
    <x v="0"/>
    <x v="0"/>
  </r>
  <r>
    <x v="128"/>
    <x v="32"/>
    <x v="4"/>
    <x v="29"/>
    <x v="0"/>
    <x v="0"/>
    <x v="0"/>
  </r>
  <r>
    <x v="129"/>
    <x v="32"/>
    <x v="4"/>
    <x v="29"/>
    <x v="0"/>
    <x v="0"/>
    <x v="0"/>
  </r>
  <r>
    <x v="130"/>
    <x v="32"/>
    <x v="4"/>
    <x v="29"/>
    <x v="0"/>
    <x v="0"/>
    <x v="0"/>
  </r>
  <r>
    <x v="131"/>
    <x v="32"/>
    <x v="4"/>
    <x v="29"/>
    <x v="0"/>
    <x v="0"/>
    <x v="0"/>
  </r>
  <r>
    <x v="132"/>
    <x v="32"/>
    <x v="4"/>
    <x v="29"/>
    <x v="0"/>
    <x v="0"/>
    <x v="0"/>
  </r>
  <r>
    <x v="133"/>
    <x v="32"/>
    <x v="4"/>
    <x v="29"/>
    <x v="0"/>
    <x v="0"/>
    <x v="0"/>
  </r>
  <r>
    <x v="134"/>
    <x v="33"/>
    <x v="18"/>
    <x v="20"/>
    <x v="0"/>
    <x v="0"/>
    <x v="0"/>
  </r>
  <r>
    <x v="135"/>
    <x v="34"/>
    <x v="19"/>
    <x v="30"/>
    <x v="0"/>
    <x v="0"/>
    <x v="0"/>
  </r>
  <r>
    <x v="136"/>
    <x v="35"/>
    <x v="2"/>
    <x v="31"/>
    <x v="0"/>
    <x v="0"/>
    <x v="0"/>
  </r>
  <r>
    <x v="137"/>
    <x v="35"/>
    <x v="2"/>
    <x v="31"/>
    <x v="0"/>
    <x v="0"/>
    <x v="0"/>
  </r>
  <r>
    <x v="138"/>
    <x v="36"/>
    <x v="20"/>
    <x v="32"/>
    <x v="0"/>
    <x v="0"/>
    <x v="0"/>
  </r>
  <r>
    <x v="139"/>
    <x v="36"/>
    <x v="20"/>
    <x v="32"/>
    <x v="0"/>
    <x v="0"/>
    <x v="0"/>
  </r>
  <r>
    <x v="140"/>
    <x v="36"/>
    <x v="9"/>
    <x v="33"/>
    <x v="0"/>
    <x v="0"/>
    <x v="0"/>
  </r>
  <r>
    <x v="141"/>
    <x v="36"/>
    <x v="9"/>
    <x v="33"/>
    <x v="0"/>
    <x v="0"/>
    <x v="0"/>
  </r>
  <r>
    <x v="142"/>
    <x v="37"/>
    <x v="9"/>
    <x v="34"/>
    <x v="0"/>
    <x v="0"/>
    <x v="0"/>
  </r>
  <r>
    <x v="143"/>
    <x v="37"/>
    <x v="9"/>
    <x v="34"/>
    <x v="0"/>
    <x v="0"/>
    <x v="0"/>
  </r>
  <r>
    <x v="144"/>
    <x v="38"/>
    <x v="8"/>
    <x v="35"/>
    <x v="0"/>
    <x v="0"/>
    <x v="0"/>
  </r>
  <r>
    <x v="145"/>
    <x v="39"/>
    <x v="21"/>
    <x v="20"/>
    <x v="0"/>
    <x v="0"/>
    <x v="0"/>
  </r>
  <r>
    <x v="146"/>
    <x v="40"/>
    <x v="22"/>
    <x v="36"/>
    <x v="0"/>
    <x v="0"/>
    <x v="0"/>
  </r>
  <r>
    <x v="147"/>
    <x v="40"/>
    <x v="22"/>
    <x v="36"/>
    <x v="0"/>
    <x v="0"/>
    <x v="0"/>
  </r>
  <r>
    <x v="148"/>
    <x v="40"/>
    <x v="22"/>
    <x v="36"/>
    <x v="0"/>
    <x v="0"/>
    <x v="0"/>
  </r>
  <r>
    <x v="149"/>
    <x v="40"/>
    <x v="22"/>
    <x v="36"/>
    <x v="0"/>
    <x v="0"/>
    <x v="0"/>
  </r>
  <r>
    <x v="150"/>
    <x v="40"/>
    <x v="22"/>
    <x v="36"/>
    <x v="0"/>
    <x v="0"/>
    <x v="0"/>
  </r>
  <r>
    <x v="151"/>
    <x v="40"/>
    <x v="22"/>
    <x v="36"/>
    <x v="0"/>
    <x v="0"/>
    <x v="0"/>
  </r>
  <r>
    <x v="152"/>
    <x v="40"/>
    <x v="22"/>
    <x v="36"/>
    <x v="0"/>
    <x v="0"/>
    <x v="0"/>
  </r>
  <r>
    <x v="153"/>
    <x v="40"/>
    <x v="22"/>
    <x v="36"/>
    <x v="0"/>
    <x v="0"/>
    <x v="0"/>
  </r>
  <r>
    <x v="154"/>
    <x v="40"/>
    <x v="22"/>
    <x v="36"/>
    <x v="0"/>
    <x v="0"/>
    <x v="0"/>
  </r>
  <r>
    <x v="155"/>
    <x v="40"/>
    <x v="22"/>
    <x v="36"/>
    <x v="0"/>
    <x v="0"/>
    <x v="0"/>
  </r>
  <r>
    <x v="156"/>
    <x v="40"/>
    <x v="22"/>
    <x v="36"/>
    <x v="0"/>
    <x v="0"/>
    <x v="0"/>
  </r>
  <r>
    <x v="157"/>
    <x v="40"/>
    <x v="22"/>
    <x v="36"/>
    <x v="0"/>
    <x v="0"/>
    <x v="0"/>
  </r>
  <r>
    <x v="158"/>
    <x v="40"/>
    <x v="22"/>
    <x v="36"/>
    <x v="0"/>
    <x v="0"/>
    <x v="0"/>
  </r>
  <r>
    <x v="159"/>
    <x v="40"/>
    <x v="22"/>
    <x v="36"/>
    <x v="0"/>
    <x v="0"/>
    <x v="0"/>
  </r>
  <r>
    <x v="160"/>
    <x v="40"/>
    <x v="22"/>
    <x v="36"/>
    <x v="0"/>
    <x v="0"/>
    <x v="0"/>
  </r>
  <r>
    <x v="161"/>
    <x v="40"/>
    <x v="22"/>
    <x v="36"/>
    <x v="0"/>
    <x v="0"/>
    <x v="0"/>
  </r>
  <r>
    <x v="162"/>
    <x v="39"/>
    <x v="23"/>
    <x v="37"/>
    <x v="0"/>
    <x v="0"/>
    <x v="0"/>
  </r>
  <r>
    <x v="163"/>
    <x v="41"/>
    <x v="24"/>
    <x v="38"/>
    <x v="0"/>
    <x v="0"/>
    <x v="0"/>
  </r>
  <r>
    <x v="164"/>
    <x v="41"/>
    <x v="24"/>
    <x v="38"/>
    <x v="0"/>
    <x v="0"/>
    <x v="0"/>
  </r>
  <r>
    <x v="165"/>
    <x v="42"/>
    <x v="25"/>
    <x v="39"/>
    <x v="0"/>
    <x v="0"/>
    <x v="0"/>
  </r>
  <r>
    <x v="166"/>
    <x v="43"/>
    <x v="26"/>
    <x v="20"/>
    <x v="0"/>
    <x v="0"/>
    <x v="0"/>
  </r>
  <r>
    <x v="167"/>
    <x v="44"/>
    <x v="3"/>
    <x v="40"/>
    <x v="0"/>
    <x v="0"/>
    <x v="0"/>
  </r>
  <r>
    <x v="168"/>
    <x v="44"/>
    <x v="3"/>
    <x v="40"/>
    <x v="0"/>
    <x v="0"/>
    <x v="0"/>
  </r>
  <r>
    <x v="169"/>
    <x v="44"/>
    <x v="3"/>
    <x v="40"/>
    <x v="0"/>
    <x v="0"/>
    <x v="0"/>
  </r>
  <r>
    <x v="170"/>
    <x v="44"/>
    <x v="3"/>
    <x v="40"/>
    <x v="0"/>
    <x v="0"/>
    <x v="0"/>
  </r>
  <r>
    <x v="171"/>
    <x v="44"/>
    <x v="3"/>
    <x v="40"/>
    <x v="0"/>
    <x v="0"/>
    <x v="0"/>
  </r>
  <r>
    <x v="172"/>
    <x v="44"/>
    <x v="3"/>
    <x v="40"/>
    <x v="0"/>
    <x v="0"/>
    <x v="0"/>
  </r>
  <r>
    <x v="173"/>
    <x v="44"/>
    <x v="3"/>
    <x v="40"/>
    <x v="0"/>
    <x v="0"/>
    <x v="0"/>
  </r>
  <r>
    <x v="174"/>
    <x v="44"/>
    <x v="3"/>
    <x v="40"/>
    <x v="0"/>
    <x v="0"/>
    <x v="0"/>
  </r>
  <r>
    <x v="175"/>
    <x v="44"/>
    <x v="3"/>
    <x v="40"/>
    <x v="0"/>
    <x v="0"/>
    <x v="0"/>
  </r>
  <r>
    <x v="176"/>
    <x v="44"/>
    <x v="3"/>
    <x v="40"/>
    <x v="0"/>
    <x v="0"/>
    <x v="0"/>
  </r>
  <r>
    <x v="177"/>
    <x v="45"/>
    <x v="3"/>
    <x v="4"/>
    <x v="0"/>
    <x v="0"/>
    <x v="0"/>
  </r>
  <r>
    <x v="178"/>
    <x v="45"/>
    <x v="3"/>
    <x v="4"/>
    <x v="0"/>
    <x v="0"/>
    <x v="0"/>
  </r>
  <r>
    <x v="179"/>
    <x v="45"/>
    <x v="3"/>
    <x v="4"/>
    <x v="0"/>
    <x v="0"/>
    <x v="0"/>
  </r>
  <r>
    <x v="180"/>
    <x v="45"/>
    <x v="3"/>
    <x v="4"/>
    <x v="0"/>
    <x v="0"/>
    <x v="0"/>
  </r>
  <r>
    <x v="181"/>
    <x v="46"/>
    <x v="25"/>
    <x v="41"/>
    <x v="0"/>
    <x v="0"/>
    <x v="0"/>
  </r>
  <r>
    <x v="182"/>
    <x v="47"/>
    <x v="27"/>
    <x v="42"/>
    <x v="0"/>
    <x v="0"/>
    <x v="0"/>
  </r>
  <r>
    <x v="183"/>
    <x v="48"/>
    <x v="2"/>
    <x v="43"/>
    <x v="0"/>
    <x v="0"/>
    <x v="0"/>
  </r>
  <r>
    <x v="184"/>
    <x v="48"/>
    <x v="2"/>
    <x v="43"/>
    <x v="0"/>
    <x v="0"/>
    <x v="0"/>
  </r>
  <r>
    <x v="185"/>
    <x v="48"/>
    <x v="2"/>
    <x v="43"/>
    <x v="0"/>
    <x v="0"/>
    <x v="0"/>
  </r>
  <r>
    <x v="186"/>
    <x v="48"/>
    <x v="2"/>
    <x v="43"/>
    <x v="0"/>
    <x v="0"/>
    <x v="0"/>
  </r>
  <r>
    <x v="187"/>
    <x v="49"/>
    <x v="28"/>
    <x v="44"/>
    <x v="0"/>
    <x v="0"/>
    <x v="0"/>
  </r>
  <r>
    <x v="188"/>
    <x v="49"/>
    <x v="9"/>
    <x v="45"/>
    <x v="0"/>
    <x v="0"/>
    <x v="0"/>
  </r>
  <r>
    <x v="189"/>
    <x v="50"/>
    <x v="29"/>
    <x v="46"/>
    <x v="0"/>
    <x v="0"/>
    <x v="0"/>
  </r>
  <r>
    <x v="190"/>
    <x v="50"/>
    <x v="30"/>
    <x v="47"/>
    <x v="0"/>
    <x v="0"/>
    <x v="0"/>
  </r>
  <r>
    <x v="191"/>
    <x v="50"/>
    <x v="30"/>
    <x v="47"/>
    <x v="0"/>
    <x v="0"/>
    <x v="0"/>
  </r>
  <r>
    <x v="192"/>
    <x v="50"/>
    <x v="30"/>
    <x v="48"/>
    <x v="0"/>
    <x v="0"/>
    <x v="0"/>
  </r>
  <r>
    <x v="193"/>
    <x v="50"/>
    <x v="30"/>
    <x v="49"/>
    <x v="0"/>
    <x v="0"/>
    <x v="0"/>
  </r>
  <r>
    <x v="194"/>
    <x v="51"/>
    <x v="31"/>
    <x v="20"/>
    <x v="0"/>
    <x v="0"/>
    <x v="0"/>
  </r>
  <r>
    <x v="195"/>
    <x v="51"/>
    <x v="31"/>
    <x v="20"/>
    <x v="0"/>
    <x v="0"/>
    <x v="0"/>
  </r>
  <r>
    <x v="196"/>
    <x v="52"/>
    <x v="32"/>
    <x v="50"/>
    <x v="0"/>
    <x v="0"/>
    <x v="0"/>
  </r>
  <r>
    <x v="197"/>
    <x v="51"/>
    <x v="33"/>
    <x v="51"/>
    <x v="0"/>
    <x v="0"/>
    <x v="0"/>
  </r>
  <r>
    <x v="198"/>
    <x v="53"/>
    <x v="33"/>
    <x v="51"/>
    <x v="0"/>
    <x v="0"/>
    <x v="0"/>
  </r>
  <r>
    <x v="199"/>
    <x v="51"/>
    <x v="34"/>
    <x v="52"/>
    <x v="0"/>
    <x v="0"/>
    <x v="0"/>
  </r>
  <r>
    <x v="200"/>
    <x v="51"/>
    <x v="34"/>
    <x v="52"/>
    <x v="0"/>
    <x v="0"/>
    <x v="0"/>
  </r>
  <r>
    <x v="201"/>
    <x v="54"/>
    <x v="35"/>
    <x v="4"/>
    <x v="0"/>
    <x v="0"/>
    <x v="0"/>
  </r>
  <r>
    <x v="202"/>
    <x v="54"/>
    <x v="35"/>
    <x v="4"/>
    <x v="0"/>
    <x v="0"/>
    <x v="0"/>
  </r>
  <r>
    <x v="203"/>
    <x v="55"/>
    <x v="8"/>
    <x v="53"/>
    <x v="0"/>
    <x v="0"/>
    <x v="0"/>
  </r>
  <r>
    <x v="204"/>
    <x v="55"/>
    <x v="8"/>
    <x v="53"/>
    <x v="0"/>
    <x v="0"/>
    <x v="0"/>
  </r>
  <r>
    <x v="205"/>
    <x v="55"/>
    <x v="8"/>
    <x v="53"/>
    <x v="0"/>
    <x v="0"/>
    <x v="0"/>
  </r>
  <r>
    <x v="206"/>
    <x v="55"/>
    <x v="8"/>
    <x v="53"/>
    <x v="0"/>
    <x v="0"/>
    <x v="0"/>
  </r>
  <r>
    <x v="207"/>
    <x v="55"/>
    <x v="8"/>
    <x v="53"/>
    <x v="0"/>
    <x v="0"/>
    <x v="0"/>
  </r>
  <r>
    <x v="208"/>
    <x v="55"/>
    <x v="8"/>
    <x v="53"/>
    <x v="0"/>
    <x v="0"/>
    <x v="0"/>
  </r>
  <r>
    <x v="209"/>
    <x v="55"/>
    <x v="8"/>
    <x v="53"/>
    <x v="0"/>
    <x v="0"/>
    <x v="0"/>
  </r>
  <r>
    <x v="210"/>
    <x v="55"/>
    <x v="8"/>
    <x v="53"/>
    <x v="0"/>
    <x v="0"/>
    <x v="0"/>
  </r>
  <r>
    <x v="211"/>
    <x v="55"/>
    <x v="8"/>
    <x v="53"/>
    <x v="0"/>
    <x v="0"/>
    <x v="0"/>
  </r>
  <r>
    <x v="212"/>
    <x v="55"/>
    <x v="8"/>
    <x v="53"/>
    <x v="0"/>
    <x v="0"/>
    <x v="0"/>
  </r>
  <r>
    <x v="213"/>
    <x v="55"/>
    <x v="8"/>
    <x v="53"/>
    <x v="0"/>
    <x v="0"/>
    <x v="0"/>
  </r>
  <r>
    <x v="214"/>
    <x v="55"/>
    <x v="8"/>
    <x v="53"/>
    <x v="0"/>
    <x v="0"/>
    <x v="0"/>
  </r>
  <r>
    <x v="215"/>
    <x v="55"/>
    <x v="8"/>
    <x v="53"/>
    <x v="0"/>
    <x v="0"/>
    <x v="0"/>
  </r>
  <r>
    <x v="216"/>
    <x v="55"/>
    <x v="8"/>
    <x v="53"/>
    <x v="0"/>
    <x v="0"/>
    <x v="0"/>
  </r>
  <r>
    <x v="217"/>
    <x v="55"/>
    <x v="8"/>
    <x v="53"/>
    <x v="0"/>
    <x v="0"/>
    <x v="0"/>
  </r>
  <r>
    <x v="218"/>
    <x v="55"/>
    <x v="8"/>
    <x v="53"/>
    <x v="0"/>
    <x v="0"/>
    <x v="0"/>
  </r>
  <r>
    <x v="219"/>
    <x v="55"/>
    <x v="8"/>
    <x v="53"/>
    <x v="0"/>
    <x v="0"/>
    <x v="0"/>
  </r>
  <r>
    <x v="220"/>
    <x v="55"/>
    <x v="8"/>
    <x v="53"/>
    <x v="0"/>
    <x v="0"/>
    <x v="0"/>
  </r>
  <r>
    <x v="221"/>
    <x v="55"/>
    <x v="8"/>
    <x v="53"/>
    <x v="0"/>
    <x v="0"/>
    <x v="0"/>
  </r>
  <r>
    <x v="222"/>
    <x v="55"/>
    <x v="8"/>
    <x v="53"/>
    <x v="0"/>
    <x v="0"/>
    <x v="0"/>
  </r>
  <r>
    <x v="223"/>
    <x v="55"/>
    <x v="8"/>
    <x v="53"/>
    <x v="0"/>
    <x v="0"/>
    <x v="0"/>
  </r>
  <r>
    <x v="224"/>
    <x v="55"/>
    <x v="8"/>
    <x v="53"/>
    <x v="0"/>
    <x v="0"/>
    <x v="0"/>
  </r>
  <r>
    <x v="225"/>
    <x v="55"/>
    <x v="8"/>
    <x v="53"/>
    <x v="0"/>
    <x v="0"/>
    <x v="0"/>
  </r>
  <r>
    <x v="226"/>
    <x v="55"/>
    <x v="8"/>
    <x v="53"/>
    <x v="0"/>
    <x v="0"/>
    <x v="0"/>
  </r>
  <r>
    <x v="227"/>
    <x v="55"/>
    <x v="22"/>
    <x v="54"/>
    <x v="0"/>
    <x v="0"/>
    <x v="0"/>
  </r>
  <r>
    <x v="228"/>
    <x v="55"/>
    <x v="22"/>
    <x v="54"/>
    <x v="0"/>
    <x v="0"/>
    <x v="0"/>
  </r>
  <r>
    <x v="229"/>
    <x v="55"/>
    <x v="22"/>
    <x v="54"/>
    <x v="0"/>
    <x v="0"/>
    <x v="0"/>
  </r>
  <r>
    <x v="230"/>
    <x v="55"/>
    <x v="22"/>
    <x v="54"/>
    <x v="0"/>
    <x v="0"/>
    <x v="0"/>
  </r>
  <r>
    <x v="231"/>
    <x v="55"/>
    <x v="22"/>
    <x v="54"/>
    <x v="0"/>
    <x v="0"/>
    <x v="0"/>
  </r>
  <r>
    <x v="232"/>
    <x v="55"/>
    <x v="22"/>
    <x v="54"/>
    <x v="0"/>
    <x v="0"/>
    <x v="0"/>
  </r>
  <r>
    <x v="233"/>
    <x v="55"/>
    <x v="22"/>
    <x v="54"/>
    <x v="0"/>
    <x v="0"/>
    <x v="0"/>
  </r>
  <r>
    <x v="234"/>
    <x v="55"/>
    <x v="22"/>
    <x v="54"/>
    <x v="0"/>
    <x v="0"/>
    <x v="0"/>
  </r>
  <r>
    <x v="235"/>
    <x v="56"/>
    <x v="3"/>
    <x v="4"/>
    <x v="0"/>
    <x v="0"/>
    <x v="0"/>
  </r>
  <r>
    <x v="236"/>
    <x v="56"/>
    <x v="3"/>
    <x v="4"/>
    <x v="0"/>
    <x v="0"/>
    <x v="0"/>
  </r>
  <r>
    <x v="237"/>
    <x v="56"/>
    <x v="3"/>
    <x v="4"/>
    <x v="0"/>
    <x v="0"/>
    <x v="0"/>
  </r>
  <r>
    <x v="238"/>
    <x v="56"/>
    <x v="3"/>
    <x v="4"/>
    <x v="0"/>
    <x v="0"/>
    <x v="0"/>
  </r>
  <r>
    <x v="239"/>
    <x v="57"/>
    <x v="36"/>
    <x v="55"/>
    <x v="0"/>
    <x v="0"/>
    <x v="0"/>
  </r>
  <r>
    <x v="240"/>
    <x v="57"/>
    <x v="36"/>
    <x v="55"/>
    <x v="0"/>
    <x v="0"/>
    <x v="0"/>
  </r>
  <r>
    <x v="241"/>
    <x v="57"/>
    <x v="36"/>
    <x v="55"/>
    <x v="0"/>
    <x v="0"/>
    <x v="0"/>
  </r>
  <r>
    <x v="242"/>
    <x v="57"/>
    <x v="36"/>
    <x v="55"/>
    <x v="0"/>
    <x v="0"/>
    <x v="0"/>
  </r>
  <r>
    <x v="243"/>
    <x v="57"/>
    <x v="36"/>
    <x v="55"/>
    <x v="0"/>
    <x v="0"/>
    <x v="0"/>
  </r>
  <r>
    <x v="244"/>
    <x v="57"/>
    <x v="36"/>
    <x v="55"/>
    <x v="0"/>
    <x v="0"/>
    <x v="0"/>
  </r>
  <r>
    <x v="245"/>
    <x v="57"/>
    <x v="36"/>
    <x v="56"/>
    <x v="0"/>
    <x v="0"/>
    <x v="0"/>
  </r>
  <r>
    <x v="246"/>
    <x v="57"/>
    <x v="36"/>
    <x v="56"/>
    <x v="0"/>
    <x v="0"/>
    <x v="0"/>
  </r>
  <r>
    <x v="247"/>
    <x v="58"/>
    <x v="4"/>
    <x v="57"/>
    <x v="0"/>
    <x v="0"/>
    <x v="0"/>
  </r>
  <r>
    <x v="248"/>
    <x v="58"/>
    <x v="4"/>
    <x v="57"/>
    <x v="0"/>
    <x v="0"/>
    <x v="0"/>
  </r>
  <r>
    <x v="249"/>
    <x v="58"/>
    <x v="4"/>
    <x v="57"/>
    <x v="0"/>
    <x v="0"/>
    <x v="0"/>
  </r>
  <r>
    <x v="250"/>
    <x v="58"/>
    <x v="4"/>
    <x v="57"/>
    <x v="0"/>
    <x v="0"/>
    <x v="0"/>
  </r>
  <r>
    <x v="251"/>
    <x v="58"/>
    <x v="4"/>
    <x v="57"/>
    <x v="0"/>
    <x v="0"/>
    <x v="0"/>
  </r>
  <r>
    <x v="252"/>
    <x v="58"/>
    <x v="4"/>
    <x v="57"/>
    <x v="0"/>
    <x v="0"/>
    <x v="0"/>
  </r>
  <r>
    <x v="253"/>
    <x v="58"/>
    <x v="4"/>
    <x v="57"/>
    <x v="0"/>
    <x v="0"/>
    <x v="0"/>
  </r>
  <r>
    <x v="254"/>
    <x v="58"/>
    <x v="4"/>
    <x v="57"/>
    <x v="0"/>
    <x v="0"/>
    <x v="0"/>
  </r>
  <r>
    <x v="255"/>
    <x v="59"/>
    <x v="3"/>
    <x v="4"/>
    <x v="0"/>
    <x v="0"/>
    <x v="0"/>
  </r>
  <r>
    <x v="256"/>
    <x v="59"/>
    <x v="3"/>
    <x v="4"/>
    <x v="0"/>
    <x v="0"/>
    <x v="0"/>
  </r>
  <r>
    <x v="257"/>
    <x v="59"/>
    <x v="3"/>
    <x v="4"/>
    <x v="0"/>
    <x v="0"/>
    <x v="0"/>
  </r>
  <r>
    <x v="258"/>
    <x v="59"/>
    <x v="3"/>
    <x v="4"/>
    <x v="0"/>
    <x v="0"/>
    <x v="0"/>
  </r>
  <r>
    <x v="259"/>
    <x v="59"/>
    <x v="3"/>
    <x v="4"/>
    <x v="0"/>
    <x v="0"/>
    <x v="0"/>
  </r>
  <r>
    <x v="260"/>
    <x v="59"/>
    <x v="3"/>
    <x v="4"/>
    <x v="0"/>
    <x v="0"/>
    <x v="0"/>
  </r>
  <r>
    <x v="261"/>
    <x v="59"/>
    <x v="3"/>
    <x v="4"/>
    <x v="0"/>
    <x v="0"/>
    <x v="0"/>
  </r>
  <r>
    <x v="262"/>
    <x v="60"/>
    <x v="37"/>
    <x v="58"/>
    <x v="0"/>
    <x v="0"/>
    <x v="0"/>
  </r>
  <r>
    <x v="263"/>
    <x v="61"/>
    <x v="3"/>
    <x v="4"/>
    <x v="0"/>
    <x v="0"/>
    <x v="0"/>
  </r>
  <r>
    <x v="264"/>
    <x v="61"/>
    <x v="3"/>
    <x v="4"/>
    <x v="0"/>
    <x v="0"/>
    <x v="0"/>
  </r>
  <r>
    <x v="265"/>
    <x v="61"/>
    <x v="3"/>
    <x v="4"/>
    <x v="0"/>
    <x v="0"/>
    <x v="0"/>
  </r>
  <r>
    <x v="266"/>
    <x v="61"/>
    <x v="3"/>
    <x v="4"/>
    <x v="0"/>
    <x v="0"/>
    <x v="0"/>
  </r>
  <r>
    <x v="267"/>
    <x v="61"/>
    <x v="3"/>
    <x v="4"/>
    <x v="0"/>
    <x v="0"/>
    <x v="0"/>
  </r>
  <r>
    <x v="268"/>
    <x v="62"/>
    <x v="38"/>
    <x v="59"/>
    <x v="0"/>
    <x v="0"/>
    <x v="0"/>
  </r>
  <r>
    <x v="269"/>
    <x v="63"/>
    <x v="3"/>
    <x v="4"/>
    <x v="0"/>
    <x v="0"/>
    <x v="0"/>
  </r>
  <r>
    <x v="270"/>
    <x v="64"/>
    <x v="39"/>
    <x v="60"/>
    <x v="0"/>
    <x v="0"/>
    <x v="0"/>
  </r>
  <r>
    <x v="271"/>
    <x v="64"/>
    <x v="39"/>
    <x v="60"/>
    <x v="0"/>
    <x v="0"/>
    <x v="0"/>
  </r>
  <r>
    <x v="272"/>
    <x v="65"/>
    <x v="40"/>
    <x v="61"/>
    <x v="0"/>
    <x v="0"/>
    <x v="0"/>
  </r>
  <r>
    <x v="273"/>
    <x v="65"/>
    <x v="40"/>
    <x v="61"/>
    <x v="0"/>
    <x v="0"/>
    <x v="0"/>
  </r>
  <r>
    <x v="274"/>
    <x v="66"/>
    <x v="3"/>
    <x v="4"/>
    <x v="0"/>
    <x v="0"/>
    <x v="0"/>
  </r>
  <r>
    <x v="275"/>
    <x v="67"/>
    <x v="2"/>
    <x v="62"/>
    <x v="0"/>
    <x v="0"/>
    <x v="0"/>
  </r>
  <r>
    <x v="276"/>
    <x v="67"/>
    <x v="2"/>
    <x v="62"/>
    <x v="0"/>
    <x v="0"/>
    <x v="0"/>
  </r>
  <r>
    <x v="277"/>
    <x v="68"/>
    <x v="2"/>
    <x v="6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Inv_Clasif" cacheId="29" applyNumberFormats="0" applyBorderFormats="0" applyFontFormats="0" applyPatternFormats="0" applyAlignmentFormats="0" applyWidthHeightFormats="0" dataCaption="" updatedVersion="6" rowGrandTotals="0" compact="0" compactData="0">
  <location ref="A2:G101" firstHeaderRow="1" firstDataRow="1" firstDataCol="7"/>
  <pivotFields count="7">
    <pivotField name="Cod_Producto" axis="axisRow" compact="0" outline="0" multipleItemSelectionAllowed="1" showAll="0" sortType="ascending" defaultSubtotal="0">
      <items count="560">
        <item m="1" x="433"/>
        <item m="1" x="444"/>
        <item x="0"/>
        <item x="1"/>
        <item m="1" x="465"/>
        <item m="1" x="478"/>
        <item m="1" x="493"/>
        <item m="1" x="506"/>
        <item m="1" x="515"/>
        <item m="1" x="523"/>
        <item m="1" x="530"/>
        <item m="1" x="537"/>
        <item x="2"/>
        <item x="3"/>
        <item x="4"/>
        <item x="5"/>
        <item x="6"/>
        <item x="7"/>
        <item x="8"/>
        <item x="9"/>
        <item m="1" x="391"/>
        <item m="1" x="399"/>
        <item m="1" x="409"/>
        <item m="1" x="420"/>
        <item m="1" x="426"/>
        <item m="1" x="435"/>
        <item m="1" x="446"/>
        <item m="1" x="455"/>
        <item m="1" x="466"/>
        <item m="1" x="400"/>
        <item x="10"/>
        <item x="19"/>
        <item x="11"/>
        <item x="12"/>
        <item x="13"/>
        <item x="14"/>
        <item x="15"/>
        <item x="16"/>
        <item x="17"/>
        <item x="18"/>
        <item m="1" x="406"/>
        <item m="1" x="416"/>
        <item x="20"/>
        <item x="21"/>
        <item x="22"/>
        <item x="23"/>
        <item x="24"/>
        <item x="25"/>
        <item x="26"/>
        <item x="27"/>
        <item m="1" x="439"/>
        <item m="1" x="450"/>
        <item m="1" x="459"/>
        <item m="1" x="471"/>
        <item m="1" x="482"/>
        <item m="1" x="497"/>
        <item m="1" x="443"/>
        <item m="1" x="453"/>
        <item m="1" x="464"/>
        <item m="1" x="476"/>
        <item x="40"/>
        <item x="41"/>
        <item x="42"/>
        <item x="43"/>
        <item x="28"/>
        <item x="29"/>
        <item x="30"/>
        <item x="31"/>
        <item x="32"/>
        <item x="33"/>
        <item x="34"/>
        <item x="35"/>
        <item m="1" x="405"/>
        <item m="1" x="414"/>
        <item m="1" x="424"/>
        <item m="1" x="431"/>
        <item m="1" x="408"/>
        <item m="1" x="418"/>
        <item m="1" x="425"/>
        <item m="1" x="432"/>
        <item x="36"/>
        <item x="37"/>
        <item x="38"/>
        <item x="39"/>
        <item x="44"/>
        <item x="45"/>
        <item x="46"/>
        <item x="47"/>
        <item x="48"/>
        <item x="49"/>
        <item m="1" x="427"/>
        <item m="1" x="436"/>
        <item m="1" x="447"/>
        <item m="1" x="457"/>
        <item m="1" x="468"/>
        <item m="1" x="480"/>
        <item m="1" x="281"/>
        <item m="1" x="288"/>
        <item m="1" x="297"/>
        <item m="1" x="309"/>
        <item m="1" x="320"/>
        <item m="1" x="330"/>
        <item m="1" x="338"/>
        <item m="1" x="350"/>
        <item m="1" x="357"/>
        <item m="1" x="289"/>
        <item m="1" x="298"/>
        <item m="1" x="310"/>
        <item m="1" x="321"/>
        <item m="1" x="331"/>
        <item m="1" x="339"/>
        <item m="1" x="351"/>
        <item m="1" x="358"/>
        <item m="1" x="365"/>
        <item m="1" x="372"/>
        <item m="1" x="311"/>
        <item x="50"/>
        <item x="59"/>
        <item x="60"/>
        <item x="61"/>
        <item x="62"/>
        <item x="63"/>
        <item x="64"/>
        <item x="65"/>
        <item x="66"/>
        <item x="67"/>
        <item x="68"/>
        <item x="51"/>
        <item x="69"/>
        <item x="52"/>
        <item x="53"/>
        <item x="54"/>
        <item x="55"/>
        <item x="56"/>
        <item x="57"/>
        <item x="58"/>
        <item m="1" x="381"/>
        <item m="1" x="392"/>
        <item m="1" x="401"/>
        <item m="1" x="410"/>
        <item m="1" x="421"/>
        <item m="1" x="428"/>
        <item m="1" x="438"/>
        <item m="1" x="449"/>
        <item x="70"/>
        <item x="71"/>
        <item x="72"/>
        <item x="73"/>
        <item x="74"/>
        <item x="75"/>
        <item x="76"/>
        <item x="77"/>
        <item m="1" x="442"/>
        <item x="93"/>
        <item x="92"/>
        <item m="1" x="340"/>
        <item m="1" x="382"/>
        <item m="1" x="393"/>
        <item m="1" x="402"/>
        <item m="1" x="411"/>
        <item m="1" x="422"/>
        <item m="1" x="429"/>
        <item m="1" x="440"/>
        <item m="1" x="451"/>
        <item m="1" x="461"/>
        <item m="1" x="396"/>
        <item m="1" x="404"/>
        <item m="1" x="413"/>
        <item m="1" x="423"/>
        <item m="1" x="430"/>
        <item m="1" x="441"/>
        <item m="1" x="452"/>
        <item m="1" x="462"/>
        <item m="1" x="472"/>
        <item m="1" x="485"/>
        <item m="1" x="415"/>
        <item m="1" x="341"/>
        <item m="1" x="366"/>
        <item m="1" x="384"/>
        <item m="1" x="374"/>
        <item x="134"/>
        <item m="1" x="368"/>
        <item x="94"/>
        <item x="97"/>
        <item m="1" x="299"/>
        <item m="1" x="549"/>
        <item x="96"/>
        <item m="1" x="380"/>
        <item m="1" x="546"/>
        <item m="1" x="551"/>
        <item m="1" x="558"/>
        <item m="1" x="282"/>
        <item x="122"/>
        <item x="123"/>
        <item x="124"/>
        <item x="125"/>
        <item m="1" x="363"/>
        <item x="78"/>
        <item x="87"/>
        <item x="79"/>
        <item x="80"/>
        <item x="81"/>
        <item x="82"/>
        <item x="83"/>
        <item x="84"/>
        <item x="85"/>
        <item x="86"/>
        <item x="98"/>
        <item m="1" x="344"/>
        <item x="120"/>
        <item m="1" x="345"/>
        <item x="99"/>
        <item x="108"/>
        <item x="109"/>
        <item x="110"/>
        <item x="111"/>
        <item x="112"/>
        <item x="113"/>
        <item x="114"/>
        <item x="115"/>
        <item x="116"/>
        <item x="117"/>
        <item x="100"/>
        <item x="118"/>
        <item x="119"/>
        <item x="101"/>
        <item x="102"/>
        <item x="103"/>
        <item x="104"/>
        <item x="105"/>
        <item x="106"/>
        <item x="107"/>
        <item x="126"/>
        <item x="127"/>
        <item m="1" x="389"/>
        <item m="1" x="398"/>
        <item m="1" x="360"/>
        <item m="1" x="369"/>
        <item m="1" x="375"/>
        <item m="1" x="378"/>
        <item m="1" x="383"/>
        <item m="1" x="394"/>
        <item x="128"/>
        <item x="129"/>
        <item x="130"/>
        <item x="131"/>
        <item x="132"/>
        <item x="133"/>
        <item m="1" x="302"/>
        <item m="1" x="390"/>
        <item m="1" x="419"/>
        <item x="95"/>
        <item m="1" x="371"/>
        <item m="1" x="387"/>
        <item m="1" x="397"/>
        <item x="136"/>
        <item x="137"/>
        <item m="1" x="335"/>
        <item m="1" x="347"/>
        <item x="138"/>
        <item x="139"/>
        <item x="140"/>
        <item x="141"/>
        <item m="1" x="494"/>
        <item x="144"/>
        <item m="1" x="550"/>
        <item x="145"/>
        <item x="146"/>
        <item x="155"/>
        <item x="156"/>
        <item x="157"/>
        <item x="158"/>
        <item x="159"/>
        <item x="160"/>
        <item x="161"/>
        <item x="147"/>
        <item x="148"/>
        <item x="149"/>
        <item x="150"/>
        <item x="151"/>
        <item x="152"/>
        <item x="153"/>
        <item x="154"/>
        <item m="1" x="463"/>
        <item m="1" x="473"/>
        <item m="1" x="487"/>
        <item m="1" x="501"/>
        <item m="1" x="511"/>
        <item m="1" x="520"/>
        <item m="1" x="528"/>
        <item m="1" x="534"/>
        <item m="1" x="541"/>
        <item m="1" x="474"/>
        <item m="1" x="488"/>
        <item m="1" x="502"/>
        <item m="1" x="512"/>
        <item m="1" x="521"/>
        <item m="1" x="529"/>
        <item m="1" x="535"/>
        <item m="1" x="538"/>
        <item x="162"/>
        <item x="135"/>
        <item x="142"/>
        <item x="143"/>
        <item x="163"/>
        <item x="164"/>
        <item m="1" x="296"/>
        <item m="1" x="308"/>
        <item x="165"/>
        <item x="181"/>
        <item m="1" x="386"/>
        <item m="1" x="532"/>
        <item x="166"/>
        <item x="167"/>
        <item x="176"/>
        <item x="168"/>
        <item x="169"/>
        <item x="170"/>
        <item x="171"/>
        <item x="172"/>
        <item x="173"/>
        <item x="174"/>
        <item x="175"/>
        <item m="1" x="547"/>
        <item m="1" x="552"/>
        <item m="1" x="559"/>
        <item m="1" x="283"/>
        <item m="1" x="290"/>
        <item m="1" x="300"/>
        <item m="1" x="312"/>
        <item m="1" x="322"/>
        <item m="1" x="332"/>
        <item m="1" x="553"/>
        <item x="177"/>
        <item x="178"/>
        <item x="179"/>
        <item x="180"/>
        <item m="1" x="437"/>
        <item m="1" x="448"/>
        <item m="1" x="458"/>
        <item m="1" x="469"/>
        <item m="1" x="328"/>
        <item m="1" x="460"/>
        <item x="182"/>
        <item m="1" x="388"/>
        <item x="198"/>
        <item x="183"/>
        <item x="184"/>
        <item x="185"/>
        <item x="186"/>
        <item m="1" x="284"/>
        <item m="1" x="291"/>
        <item m="1" x="301"/>
        <item m="1" x="314"/>
        <item m="1" x="364"/>
        <item x="188"/>
        <item m="1" x="557"/>
        <item x="187"/>
        <item m="1" x="544"/>
        <item x="189"/>
        <item m="1" x="484"/>
        <item m="1" x="499"/>
        <item x="190"/>
        <item x="191"/>
        <item m="1" x="407"/>
        <item x="192"/>
        <item m="1" x="417"/>
        <item x="193"/>
        <item m="1" x="313"/>
        <item m="1" x="323"/>
        <item x="194"/>
        <item x="195"/>
        <item x="196"/>
        <item m="1" x="280"/>
        <item m="1" x="337"/>
        <item x="197"/>
        <item m="1" x="536"/>
        <item m="1" x="542"/>
        <item x="199"/>
        <item x="200"/>
        <item x="121"/>
        <item x="201"/>
        <item x="202"/>
        <item m="1" x="539"/>
        <item m="1" x="543"/>
        <item m="1" x="548"/>
        <item m="1" x="555"/>
        <item m="1" x="278"/>
        <item m="1" x="285"/>
        <item m="1" x="292"/>
        <item m="1" x="303"/>
        <item m="1" x="315"/>
        <item m="1" x="324"/>
        <item m="1" x="333"/>
        <item m="1" x="556"/>
        <item m="1" x="279"/>
        <item m="1" x="286"/>
        <item m="1" x="293"/>
        <item m="1" x="305"/>
        <item m="1" x="317"/>
        <item m="1" x="326"/>
        <item m="1" x="334"/>
        <item m="1" x="346"/>
        <item m="1" x="355"/>
        <item m="1" x="287"/>
        <item m="1" x="294"/>
        <item m="1" x="306"/>
        <item m="1" x="318"/>
        <item m="1" x="327"/>
        <item x="203"/>
        <item x="212"/>
        <item x="213"/>
        <item x="214"/>
        <item x="215"/>
        <item x="216"/>
        <item x="217"/>
        <item x="218"/>
        <item x="219"/>
        <item x="220"/>
        <item x="221"/>
        <item x="204"/>
        <item x="222"/>
        <item x="223"/>
        <item x="224"/>
        <item x="225"/>
        <item x="226"/>
        <item x="205"/>
        <item x="206"/>
        <item x="207"/>
        <item x="208"/>
        <item x="209"/>
        <item x="210"/>
        <item x="211"/>
        <item m="1" x="486"/>
        <item m="1" x="500"/>
        <item m="1" x="510"/>
        <item m="1" x="519"/>
        <item m="1" x="527"/>
        <item m="1" x="533"/>
        <item m="1" x="540"/>
        <item m="1" x="545"/>
        <item x="227"/>
        <item x="228"/>
        <item x="229"/>
        <item x="230"/>
        <item x="231"/>
        <item x="232"/>
        <item x="233"/>
        <item x="234"/>
        <item m="1" x="434"/>
        <item m="1" x="445"/>
        <item m="1" x="454"/>
        <item x="235"/>
        <item x="236"/>
        <item x="237"/>
        <item x="238"/>
        <item m="1" x="477"/>
        <item m="1" x="490"/>
        <item m="1" x="504"/>
        <item m="1" x="514"/>
        <item m="1" x="342"/>
        <item m="1" x="352"/>
        <item m="1" x="359"/>
        <item m="1" x="367"/>
        <item m="1" x="373"/>
        <item m="1" x="377"/>
        <item x="245"/>
        <item x="246"/>
        <item x="239"/>
        <item x="240"/>
        <item x="241"/>
        <item x="242"/>
        <item x="243"/>
        <item x="244"/>
        <item m="1" x="483"/>
        <item m="1" x="498"/>
        <item m="1" x="509"/>
        <item m="1" x="518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m="1" x="470"/>
        <item m="1" x="481"/>
        <item m="1" x="496"/>
        <item m="1" x="508"/>
        <item m="1" x="517"/>
        <item m="1" x="525"/>
        <item m="1" x="531"/>
        <item m="1" x="554"/>
        <item x="262"/>
        <item x="263"/>
        <item x="264"/>
        <item x="265"/>
        <item x="266"/>
        <item x="267"/>
        <item m="1" x="475"/>
        <item m="1" x="489"/>
        <item m="1" x="503"/>
        <item m="1" x="513"/>
        <item m="1" x="522"/>
        <item x="88"/>
        <item x="89"/>
        <item x="90"/>
        <item x="91"/>
        <item m="1" x="526"/>
        <item x="268"/>
        <item x="269"/>
        <item m="1" x="491"/>
        <item x="270"/>
        <item x="271"/>
        <item m="1" x="492"/>
        <item m="1" x="505"/>
        <item m="1" x="304"/>
        <item m="1" x="316"/>
        <item x="272"/>
        <item x="273"/>
        <item x="274"/>
        <item m="1" x="325"/>
        <item m="1" x="343"/>
        <item m="1" x="353"/>
        <item x="275"/>
        <item x="276"/>
        <item m="1" x="348"/>
        <item m="1" x="356"/>
        <item x="277"/>
        <item m="1" x="354"/>
        <item m="1" x="361"/>
        <item m="1" x="370"/>
        <item m="1" x="376"/>
        <item m="1" x="379"/>
        <item m="1" x="385"/>
        <item m="1" x="395"/>
        <item m="1" x="403"/>
        <item m="1" x="412"/>
        <item m="1" x="362"/>
        <item m="1" x="295"/>
        <item m="1" x="307"/>
        <item m="1" x="319"/>
        <item m="1" x="329"/>
        <item m="1" x="336"/>
        <item m="1" x="349"/>
        <item m="1" x="456"/>
        <item m="1" x="467"/>
        <item m="1" x="479"/>
        <item m="1" x="495"/>
        <item m="1" x="507"/>
        <item m="1" x="516"/>
        <item m="1" x="524"/>
      </items>
    </pivotField>
    <pivotField name="Tipo de Equipo" axis="axisRow" compact="0" outline="0" multipleItemSelectionAllowed="1" showAll="0" sortType="ascending" defaultSubtotal="0">
      <items count="80">
        <item sd="0" x="0"/>
        <item sd="0" x="1"/>
        <item sd="0" x="4"/>
        <item sd="0" x="3"/>
        <item sd="0" x="5"/>
        <item sd="0" x="2"/>
        <item sd="0" x="6"/>
        <item sd="0" m="1" x="78"/>
        <item x="7"/>
        <item x="8"/>
        <item sd="0" x="9"/>
        <item sd="0" x="32"/>
        <item sd="0" x="29"/>
        <item sd="0" x="30"/>
        <item sd="0" x="12"/>
        <item sd="0" x="13"/>
        <item sd="0" x="14"/>
        <item sd="0" x="15"/>
        <item sd="0" x="16"/>
        <item sd="0" x="33"/>
        <item sd="0" m="1" x="70"/>
        <item sd="0" x="17"/>
        <item sd="0" x="18"/>
        <item sd="0" x="19"/>
        <item sd="0" x="20"/>
        <item sd="0" x="21"/>
        <item sd="0" x="22"/>
        <item x="27"/>
        <item sd="0" x="23"/>
        <item sd="0" x="24"/>
        <item sd="0" x="25"/>
        <item sd="0" x="31"/>
        <item sd="0" x="26"/>
        <item sd="0" x="35"/>
        <item sd="0" x="36"/>
        <item x="37"/>
        <item sd="0" x="40"/>
        <item sd="0" m="1" x="69"/>
        <item x="39"/>
        <item sd="0" x="41"/>
        <item x="34"/>
        <item sd="0" x="38"/>
        <item sd="0" x="46"/>
        <item sd="0" x="42"/>
        <item sd="0" x="43"/>
        <item sd="0" x="44"/>
        <item sd="0" x="45"/>
        <item sd="0" x="47"/>
        <item sd="0" x="53"/>
        <item sd="0" x="48"/>
        <item sd="0" x="49"/>
        <item sd="0" m="1" x="72"/>
        <item sd="0" x="50"/>
        <item sd="0" x="51"/>
        <item sd="0" x="52"/>
        <item x="28"/>
        <item sd="0" m="1" x="73"/>
        <item x="58"/>
        <item sd="0" m="1" x="79"/>
        <item sd="0" m="1" x="77"/>
        <item sd="0" m="1" x="71"/>
        <item sd="0" x="55"/>
        <item sd="0" x="57"/>
        <item sd="0" x="56"/>
        <item sd="0" x="54"/>
        <item sd="0" x="59"/>
        <item sd="0" x="60"/>
        <item sd="0" x="61"/>
        <item x="10"/>
        <item x="11"/>
        <item sd="0" x="62"/>
        <item sd="0" x="64"/>
        <item sd="0" x="63"/>
        <item sd="0" x="65"/>
        <item sd="0" x="66"/>
        <item sd="0" m="1" x="76"/>
        <item sd="0" x="67"/>
        <item sd="0" x="68"/>
        <item sd="0" m="1" x="75"/>
        <item sd="0" m="1" x="74"/>
      </items>
    </pivotField>
    <pivotField name="Marca" axis="axisRow" compact="0" outline="0" multipleItemSelectionAllowed="1" showAll="0" sortType="ascending" defaultSubtotal="0">
      <items count="52">
        <item x="35"/>
        <item x="8"/>
        <item x="21"/>
        <item m="1" x="45"/>
        <item x="38"/>
        <item x="10"/>
        <item x="31"/>
        <item x="22"/>
        <item m="1" x="48"/>
        <item m="1" x="51"/>
        <item m="1" x="49"/>
        <item m="1" x="50"/>
        <item m="1" x="43"/>
        <item x="18"/>
        <item x="11"/>
        <item x="40"/>
        <item x="2"/>
        <item x="3"/>
        <item x="13"/>
        <item x="25"/>
        <item x="0"/>
        <item x="27"/>
        <item x="23"/>
        <item m="1" x="47"/>
        <item x="29"/>
        <item sd="0" x="1"/>
        <item x="6"/>
        <item x="19"/>
        <item x="39"/>
        <item x="20"/>
        <item x="17"/>
        <item x="9"/>
        <item x="32"/>
        <item x="14"/>
        <item x="16"/>
        <item x="28"/>
        <item x="37"/>
        <item x="36"/>
        <item x="15"/>
        <item x="4"/>
        <item m="1" x="42"/>
        <item x="33"/>
        <item x="34"/>
        <item x="26"/>
        <item x="30"/>
        <item x="24"/>
        <item x="5"/>
        <item m="1" x="41"/>
        <item m="1" x="46"/>
        <item x="12"/>
        <item x="7"/>
        <item m="1" x="44"/>
      </items>
    </pivotField>
    <pivotField name="Modelo" axis="axisRow" compact="0" outline="0" multipleItemSelectionAllowed="1" showAll="0" sortType="ascending" defaultSubtotal="0">
      <items count="65">
        <item x="5"/>
        <item x="6"/>
        <item x="7"/>
        <item x="8"/>
        <item x="9"/>
        <item x="10"/>
        <item x="11"/>
        <item x="12"/>
        <item m="1" x="64"/>
        <item x="45"/>
        <item x="2"/>
        <item x="40"/>
        <item x="43"/>
        <item x="58"/>
        <item x="62"/>
        <item x="31"/>
        <item x="63"/>
        <item x="60"/>
        <item x="35"/>
        <item x="54"/>
        <item x="32"/>
        <item x="14"/>
        <item x="13"/>
        <item x="33"/>
        <item x="16"/>
        <item x="53"/>
        <item x="29"/>
        <item x="39"/>
        <item x="41"/>
        <item x="17"/>
        <item x="59"/>
        <item x="21"/>
        <item x="36"/>
        <item x="30"/>
        <item x="38"/>
        <item x="47"/>
        <item x="44"/>
        <item x="50"/>
        <item x="56"/>
        <item x="55"/>
        <item x="46"/>
        <item x="27"/>
        <item x="61"/>
        <item x="24"/>
        <item x="18"/>
        <item x="34"/>
        <item x="19"/>
        <item x="0"/>
        <item x="26"/>
        <item x="4"/>
        <item x="23"/>
        <item x="42"/>
        <item x="28"/>
        <item x="57"/>
        <item x="48"/>
        <item x="25"/>
        <item x="20"/>
        <item x="51"/>
        <item x="1"/>
        <item x="3"/>
        <item x="52"/>
        <item x="49"/>
        <item x="22"/>
        <item x="15"/>
        <item x="37"/>
      </items>
    </pivotField>
    <pivotField name="N* Serie" axis="axisRow" compact="0" outline="0" multipleItemSelectionAllowed="1" showAll="0" sortType="ascending" defaultSubtotal="0">
      <items count="1">
        <item x="0"/>
      </items>
    </pivotField>
    <pivotField name="Estado" axis="axisRow" compact="0" outline="0" multipleItemSelectionAllowed="1" showAll="0" sortType="ascending" defaultSubtotal="0">
      <items count="1">
        <item x="0"/>
      </items>
    </pivotField>
    <pivotField name="Observacion" axis="axisRow" compact="0" outline="0" multipleItemSelectionAllowed="1" showAll="0" sortType="ascending">
      <items count="2">
        <item x="0"/>
        <item t="default"/>
      </items>
    </pivotField>
  </pivotFields>
  <rowFields count="7">
    <field x="1"/>
    <field x="2"/>
    <field x="0"/>
    <field x="3"/>
    <field x="4"/>
    <field x="5"/>
    <field x="6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8"/>
      <x v="50"/>
      <x v="116"/>
      <x v="63"/>
      <x/>
      <x/>
      <x/>
    </i>
    <i r="2">
      <x v="117"/>
      <x v="63"/>
      <x/>
      <x/>
      <x/>
    </i>
    <i r="2">
      <x v="118"/>
      <x v="63"/>
      <x/>
      <x/>
      <x/>
    </i>
    <i r="2">
      <x v="119"/>
      <x v="63"/>
      <x/>
      <x/>
      <x/>
    </i>
    <i r="2">
      <x v="120"/>
      <x v="63"/>
      <x/>
      <x/>
      <x/>
    </i>
    <i r="2">
      <x v="121"/>
      <x v="63"/>
      <x/>
      <x/>
      <x/>
    </i>
    <i r="2">
      <x v="122"/>
      <x v="63"/>
      <x/>
      <x/>
      <x/>
    </i>
    <i r="2">
      <x v="123"/>
      <x v="63"/>
      <x/>
      <x/>
      <x/>
    </i>
    <i r="2">
      <x v="124"/>
      <x v="63"/>
      <x/>
      <x/>
      <x/>
    </i>
    <i r="2">
      <x v="125"/>
      <x v="63"/>
      <x/>
      <x/>
      <x/>
    </i>
    <i r="2">
      <x v="126"/>
      <x v="63"/>
      <x/>
      <x/>
      <x/>
    </i>
    <i r="2">
      <x v="127"/>
      <x v="63"/>
      <x/>
      <x/>
      <x/>
    </i>
    <i r="2">
      <x v="128"/>
      <x v="63"/>
      <x/>
      <x/>
      <x/>
    </i>
    <i r="2">
      <x v="129"/>
      <x v="63"/>
      <x/>
      <x/>
      <x/>
    </i>
    <i r="2">
      <x v="130"/>
      <x v="63"/>
      <x/>
      <x/>
      <x/>
    </i>
    <i r="2">
      <x v="131"/>
      <x v="63"/>
      <x/>
      <x/>
      <x/>
    </i>
    <i r="2">
      <x v="132"/>
      <x v="63"/>
      <x/>
      <x/>
      <x/>
    </i>
    <i r="2">
      <x v="133"/>
      <x v="63"/>
      <x/>
      <x/>
      <x/>
    </i>
    <i r="2">
      <x v="134"/>
      <x v="63"/>
      <x/>
      <x/>
      <x/>
    </i>
    <i r="2">
      <x v="135"/>
      <x v="63"/>
      <x/>
      <x/>
      <x/>
    </i>
    <i>
      <x v="9"/>
      <x v="50"/>
      <x v="116"/>
      <x v="63"/>
      <x/>
      <x/>
      <x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  <x v="33"/>
      <x v="207"/>
      <x v="50"/>
      <x/>
      <x/>
      <x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  <x v="31"/>
      <x v="302"/>
      <x v="45"/>
      <x/>
      <x/>
      <x/>
    </i>
    <i r="2">
      <x v="303"/>
      <x v="45"/>
      <x/>
      <x/>
      <x/>
    </i>
    <i>
      <x v="36"/>
    </i>
    <i>
      <x v="38"/>
      <x v="2"/>
      <x v="266"/>
      <x v="56"/>
      <x/>
      <x/>
      <x/>
    </i>
    <i r="1">
      <x v="22"/>
      <x v="300"/>
      <x v="64"/>
      <x/>
      <x/>
      <x/>
    </i>
    <i>
      <x v="39"/>
    </i>
    <i>
      <x v="40"/>
      <x v="27"/>
      <x v="301"/>
      <x v="33"/>
      <x/>
      <x/>
      <x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  <x v="30"/>
      <x v="380"/>
      <x v="48"/>
      <x/>
      <x/>
      <x/>
    </i>
    <i>
      <x v="57"/>
      <x v="39"/>
      <x v="478"/>
      <x v="53"/>
      <x/>
      <x/>
      <x/>
    </i>
    <i r="2">
      <x v="479"/>
      <x v="53"/>
      <x/>
      <x/>
      <x/>
    </i>
    <i r="2">
      <x v="480"/>
      <x v="53"/>
      <x/>
      <x/>
      <x/>
    </i>
    <i r="2">
      <x v="481"/>
      <x v="53"/>
      <x/>
      <x/>
      <x/>
    </i>
    <i r="2">
      <x v="482"/>
      <x v="53"/>
      <x/>
      <x/>
      <x/>
    </i>
    <i r="2">
      <x v="483"/>
      <x v="53"/>
      <x/>
      <x/>
      <x/>
    </i>
    <i r="2">
      <x v="484"/>
      <x v="53"/>
      <x/>
      <x/>
      <x/>
    </i>
    <i r="2">
      <x v="485"/>
      <x v="53"/>
      <x/>
      <x/>
      <x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  <x v="31"/>
      <x v="512"/>
      <x v="44"/>
      <x/>
      <x/>
      <x/>
    </i>
    <i r="2">
      <x v="513"/>
      <x v="44"/>
      <x/>
      <x/>
      <x/>
    </i>
    <i>
      <x v="69"/>
      <x v="31"/>
      <x v="514"/>
      <x v="46"/>
      <x/>
      <x/>
      <x/>
    </i>
    <i r="2">
      <x v="515"/>
      <x v="46"/>
      <x/>
      <x/>
      <x/>
    </i>
    <i>
      <x v="70"/>
    </i>
    <i>
      <x v="71"/>
    </i>
    <i>
      <x v="72"/>
    </i>
    <i>
      <x v="73"/>
    </i>
    <i>
      <x v="74"/>
    </i>
    <i>
      <x v="76"/>
    </i>
    <i>
      <x v="77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d_Gen" displayName="Cod_Gen" ref="A1:H94" headerRowDxfId="30" dataDxfId="29" totalsRowDxfId="28">
  <autoFilter ref="A1:H94" xr:uid="{00000000-0009-0000-0100-000001000000}"/>
  <tableColumns count="8">
    <tableColumn id="1" xr3:uid="{00000000-0010-0000-0000-000001000000}" name="Items" dataDxfId="27"/>
    <tableColumn id="2" xr3:uid="{00000000-0010-0000-0000-000002000000}" name="Codigo" dataDxfId="26"/>
    <tableColumn id="3" xr3:uid="{00000000-0010-0000-0000-000003000000}" name="Tipo de Equipo" dataDxfId="25"/>
    <tableColumn id="4" xr3:uid="{00000000-0010-0000-0000-000004000000}" name="Marca" dataDxfId="24"/>
    <tableColumn id="5" xr3:uid="{00000000-0010-0000-0000-000005000000}" name="Modelo" dataDxfId="23"/>
    <tableColumn id="6" xr3:uid="{00000000-0010-0000-0000-000006000000}" name="N* Serie" dataDxfId="22"/>
    <tableColumn id="8" xr3:uid="{E0B6F65C-AB45-2C4C-86A8-D9F1E77BEE0C}" name="Categoria" dataDxfId="21"/>
    <tableColumn id="7" xr3:uid="{00000000-0010-0000-0000-000007000000}" name="Cantidad Total" dataDxfId="20"/>
  </tableColumns>
  <tableStyleInfo name="Cod_Ge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2C8B32-066D-E442-A4FA-C808E4AC6BF7}" name="Cod_Gen6" displayName="Cod_Gen6" ref="A1:I325" headerRowDxfId="19" dataDxfId="18" totalsRowDxfId="17">
  <autoFilter ref="A1:I325" xr:uid="{00000000-0009-0000-0100-000001000000}"/>
  <tableColumns count="9">
    <tableColumn id="1" xr3:uid="{D52FF79E-E305-CB4B-96C1-AB3071B5FAA6}" name="Items" dataDxfId="16"/>
    <tableColumn id="2" xr3:uid="{F9D20E52-EE4C-074F-8B42-F15BD64869EA}" name="Codigo" dataDxfId="15"/>
    <tableColumn id="3" xr3:uid="{FAA9746F-A281-4244-ABF5-E4FCA36AE4A0}" name="Tipo de Equipo" dataDxfId="14"/>
    <tableColumn id="4" xr3:uid="{09F637B8-F2E4-AA4F-A9DD-F1BDAECB3EF6}" name="Marca" dataDxfId="13"/>
    <tableColumn id="5" xr3:uid="{B455A4A8-2951-304B-B512-5766F51777D6}" name="Modelo" dataDxfId="12"/>
    <tableColumn id="6" xr3:uid="{010D626A-30D9-1649-A7DE-678F9C687685}" name="N* Serie" dataDxfId="11"/>
    <tableColumn id="8" xr3:uid="{B6EF6271-5CF9-3941-B77B-029B21BAF37D}" name="Categoria" dataDxfId="10"/>
    <tableColumn id="9" xr3:uid="{4FEEF1FD-8EE7-A742-9DF1-A55522E239CA}" name="Cantidad unitaria" dataDxfId="9"/>
    <tableColumn id="7" xr3:uid="{14519F79-78F3-0F4A-BE40-31E84AD1439E}" name="Cantidad Total" dataDxfId="8"/>
  </tableColumns>
  <tableStyleInfo name="Cod_Ge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estion_Inventario" displayName="Gestion_Inventario" ref="A1:H320" headerRowDxfId="7">
  <autoFilter ref="A1:H320" xr:uid="{00000000-0009-0000-0100-000003000000}"/>
  <sortState ref="A2:H320">
    <sortCondition ref="G269"/>
  </sortState>
  <tableColumns count="8">
    <tableColumn id="1" xr3:uid="{00000000-0010-0000-0200-000001000000}" name="Items"/>
    <tableColumn id="2" xr3:uid="{00000000-0010-0000-0200-000002000000}" name="Cod_Producto" dataDxfId="6">
      <calculatedColumnFormula>Cod_Gen6[[#This Row],[Codigo]]</calculatedColumnFormula>
    </tableColumn>
    <tableColumn id="3" xr3:uid="{00000000-0010-0000-0200-000003000000}" name="Tipo de Equipo" dataDxfId="5">
      <calculatedColumnFormula>Cod_Gen6[[#This Row],[Tipo de Equipo]]</calculatedColumnFormula>
    </tableColumn>
    <tableColumn id="4" xr3:uid="{00000000-0010-0000-0200-000004000000}" name="Marca" dataDxfId="4">
      <calculatedColumnFormula>Cod_Gen6[[#This Row],[Marca]]</calculatedColumnFormula>
    </tableColumn>
    <tableColumn id="5" xr3:uid="{00000000-0010-0000-0200-000005000000}" name="Modelo" dataDxfId="3">
      <calculatedColumnFormula>Cod_Gen6[[#This Row],[Modelo]]</calculatedColumnFormula>
    </tableColumn>
    <tableColumn id="6" xr3:uid="{00000000-0010-0000-0200-000006000000}" name="N* Serie" dataDxfId="2">
      <calculatedColumnFormula>Cod_Gen6[[#This Row],[N* Serie]]</calculatedColumnFormula>
    </tableColumn>
    <tableColumn id="7" xr3:uid="{00000000-0010-0000-0200-000007000000}" name="Estado" dataDxfId="1"/>
    <tableColumn id="8" xr3:uid="{00000000-0010-0000-0200-000008000000}" name="Observacion" dataDxfId="0"/>
  </tableColumns>
  <tableStyleInfo name="Inventari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istro_Historial" displayName="Registro_Historial" ref="A1:N903">
  <autoFilter ref="A1:N903" xr:uid="{00000000-0009-0000-0100-000004000000}"/>
  <tableColumns count="14">
    <tableColumn id="1" xr3:uid="{00000000-0010-0000-0300-000001000000}" name="Salida Almacen"/>
    <tableColumn id="2" xr3:uid="{00000000-0010-0000-0300-000002000000}" name="Hora Salida"/>
    <tableColumn id="3" xr3:uid="{00000000-0010-0000-0300-000003000000}" name="Codigo Producto"/>
    <tableColumn id="4" xr3:uid="{00000000-0010-0000-0300-000004000000}" name="Cantidad"/>
    <tableColumn id="5" xr3:uid="{00000000-0010-0000-0300-000005000000}" name="Producto"/>
    <tableColumn id="6" xr3:uid="{00000000-0010-0000-0300-000006000000}" name="Marca"/>
    <tableColumn id="7" xr3:uid="{00000000-0010-0000-0300-000007000000}" name="Modelo"/>
    <tableColumn id="8" xr3:uid="{00000000-0010-0000-0300-000008000000}" name="N° Serie"/>
    <tableColumn id="9" xr3:uid="{00000000-0010-0000-0300-000009000000}" name="Ubicación Actual"/>
    <tableColumn id="10" xr3:uid="{00000000-0010-0000-0300-00000A000000}" name="Responsable"/>
    <tableColumn id="11" xr3:uid="{00000000-0010-0000-0300-00000B000000}" name="Obs.Salida"/>
    <tableColumn id="12" xr3:uid="{00000000-0010-0000-0300-00000C000000}" name="Retorno"/>
    <tableColumn id="13" xr3:uid="{00000000-0010-0000-0300-00000D000000}" name="Dias desde Salida"/>
    <tableColumn id="14" xr3:uid="{00000000-0010-0000-0300-00000E000000}" name="Advertencia"/>
  </tableColumns>
  <tableStyleInfo name="Registro_His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"/>
  <sheetViews>
    <sheetView workbookViewId="0">
      <selection activeCell="C33" sqref="C33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s="2"/>
      <c r="B2" s="3"/>
      <c r="C2" s="4"/>
    </row>
    <row r="3" spans="1:4" ht="15" x14ac:dyDescent="0.2">
      <c r="A3" s="2"/>
      <c r="B3" s="3"/>
      <c r="C3" s="4"/>
    </row>
    <row r="4" spans="1:4" ht="15" x14ac:dyDescent="0.2">
      <c r="A4" s="2"/>
      <c r="C4" s="4"/>
    </row>
    <row r="5" spans="1:4" ht="15" x14ac:dyDescent="0.2">
      <c r="A5" s="5"/>
      <c r="C5" s="4"/>
    </row>
    <row r="6" spans="1:4" ht="15" x14ac:dyDescent="0.2">
      <c r="A6" s="5"/>
      <c r="C6" s="4"/>
    </row>
    <row r="7" spans="1:4" ht="15" x14ac:dyDescent="0.2">
      <c r="A7" s="5"/>
      <c r="C7" s="4"/>
    </row>
    <row r="8" spans="1:4" ht="15" x14ac:dyDescent="0.2">
      <c r="C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11"/>
  <sheetViews>
    <sheetView workbookViewId="0">
      <pane ySplit="1" topLeftCell="A57" activePane="bottomLeft" state="frozen"/>
      <selection pane="bottomLeft" activeCell="I37" sqref="I37"/>
    </sheetView>
  </sheetViews>
  <sheetFormatPr baseColWidth="10" defaultColWidth="12.6640625" defaultRowHeight="15.75" customHeight="1" x14ac:dyDescent="0.2"/>
  <cols>
    <col min="1" max="1" width="8" style="80" bestFit="1" customWidth="1"/>
    <col min="2" max="2" width="9" style="80" bestFit="1" customWidth="1"/>
    <col min="3" max="3" width="24.5" style="80" bestFit="1" customWidth="1"/>
    <col min="4" max="4" width="13.33203125" style="80" bestFit="1" customWidth="1"/>
    <col min="5" max="5" width="16.33203125" style="80" bestFit="1" customWidth="1"/>
    <col min="6" max="6" width="12.5" style="80" bestFit="1" customWidth="1"/>
    <col min="7" max="7" width="13.5" style="80" bestFit="1" customWidth="1"/>
    <col min="8" max="8" width="17.1640625" style="80" bestFit="1" customWidth="1"/>
    <col min="9" max="16384" width="12.6640625" style="80"/>
  </cols>
  <sheetData>
    <row r="1" spans="1:27" s="114" customFormat="1" ht="15.75" customHeight="1" x14ac:dyDescent="0.2">
      <c r="A1" s="109" t="s">
        <v>4</v>
      </c>
      <c r="B1" s="110" t="s">
        <v>2</v>
      </c>
      <c r="C1" s="111" t="s">
        <v>5</v>
      </c>
      <c r="D1" s="111" t="s">
        <v>6</v>
      </c>
      <c r="E1" s="110" t="s">
        <v>7</v>
      </c>
      <c r="F1" s="111" t="s">
        <v>8</v>
      </c>
      <c r="G1" s="115" t="s">
        <v>483</v>
      </c>
      <c r="H1" s="112" t="s">
        <v>9</v>
      </c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spans="1:27" ht="15.75" customHeight="1" x14ac:dyDescent="0.2">
      <c r="A2" s="81">
        <v>1</v>
      </c>
      <c r="B2" s="82" t="str">
        <f t="shared" ref="B2:B65" si="0">UPPER(LEFT(C2,2)&amp;LEFT(D2,2)&amp;LEFT(E2,3))</f>
        <v>ATHEMS5</v>
      </c>
      <c r="C2" s="82" t="s">
        <v>10</v>
      </c>
      <c r="D2" s="82" t="s">
        <v>11</v>
      </c>
      <c r="E2" s="82" t="s">
        <v>12</v>
      </c>
      <c r="F2" s="82"/>
      <c r="G2" s="116" t="s">
        <v>31</v>
      </c>
      <c r="H2" s="83">
        <v>2</v>
      </c>
      <c r="I2" s="84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1:27" ht="15.75" customHeight="1" x14ac:dyDescent="0.2">
      <c r="A3" s="85">
        <v>2</v>
      </c>
      <c r="B3" s="82" t="str">
        <f t="shared" si="0"/>
        <v>ATHESS2</v>
      </c>
      <c r="C3" s="86" t="s">
        <v>13</v>
      </c>
      <c r="D3" s="86" t="s">
        <v>11</v>
      </c>
      <c r="E3" s="86" t="s">
        <v>14</v>
      </c>
      <c r="F3" s="86"/>
      <c r="G3" s="117" t="s">
        <v>31</v>
      </c>
      <c r="H3" s="87">
        <v>8</v>
      </c>
      <c r="I3" s="88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</row>
    <row r="4" spans="1:27" ht="15.75" customHeight="1" x14ac:dyDescent="0.2">
      <c r="A4" s="81">
        <v>3</v>
      </c>
      <c r="B4" s="82" t="str">
        <f t="shared" si="0"/>
        <v>ATK&amp;254</v>
      </c>
      <c r="C4" s="82" t="s">
        <v>10</v>
      </c>
      <c r="D4" s="82" t="s">
        <v>15</v>
      </c>
      <c r="E4" s="82">
        <v>25400</v>
      </c>
      <c r="F4" s="82"/>
      <c r="G4" s="117" t="s">
        <v>31</v>
      </c>
      <c r="H4" s="83">
        <v>10</v>
      </c>
      <c r="I4" s="8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</row>
    <row r="5" spans="1:27" ht="15.75" customHeight="1" x14ac:dyDescent="0.2">
      <c r="A5" s="81">
        <v>4</v>
      </c>
      <c r="B5" s="82" t="str">
        <f t="shared" si="0"/>
        <v>BAGATIP</v>
      </c>
      <c r="C5" s="86" t="s">
        <v>16</v>
      </c>
      <c r="D5" s="86" t="s">
        <v>17</v>
      </c>
      <c r="E5" s="86" t="s">
        <v>18</v>
      </c>
      <c r="F5" s="86"/>
      <c r="G5" s="116" t="s">
        <v>445</v>
      </c>
      <c r="H5" s="87">
        <v>2</v>
      </c>
      <c r="I5" s="88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</row>
    <row r="6" spans="1:27" ht="15.75" customHeight="1" x14ac:dyDescent="0.2">
      <c r="A6" s="85">
        <v>5</v>
      </c>
      <c r="B6" s="82" t="str">
        <f t="shared" si="0"/>
        <v>BAGEN/A</v>
      </c>
      <c r="C6" s="82" t="s">
        <v>19</v>
      </c>
      <c r="D6" s="82" t="s">
        <v>20</v>
      </c>
      <c r="E6" s="82" t="s">
        <v>462</v>
      </c>
      <c r="F6" s="82"/>
      <c r="G6" s="116" t="s">
        <v>445</v>
      </c>
      <c r="H6" s="83">
        <v>6</v>
      </c>
      <c r="I6" s="88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</row>
    <row r="7" spans="1:27" ht="15.75" customHeight="1" x14ac:dyDescent="0.2">
      <c r="A7" s="81">
        <v>6</v>
      </c>
      <c r="B7" s="82" t="str">
        <f t="shared" si="0"/>
        <v>BAGEN/A</v>
      </c>
      <c r="C7" s="86" t="s">
        <v>16</v>
      </c>
      <c r="D7" s="86" t="s">
        <v>20</v>
      </c>
      <c r="E7" s="86" t="s">
        <v>462</v>
      </c>
      <c r="F7" s="86"/>
      <c r="G7" s="116" t="s">
        <v>445</v>
      </c>
      <c r="H7" s="87">
        <v>4</v>
      </c>
      <c r="I7" s="88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27" ht="15.75" customHeight="1" x14ac:dyDescent="0.2">
      <c r="A8" s="81">
        <v>7</v>
      </c>
      <c r="B8" s="82" t="str">
        <f t="shared" si="0"/>
        <v>BASA720</v>
      </c>
      <c r="C8" s="82" t="s">
        <v>22</v>
      </c>
      <c r="D8" s="82" t="s">
        <v>23</v>
      </c>
      <c r="E8" s="82">
        <v>720</v>
      </c>
      <c r="F8" s="82"/>
      <c r="G8" s="116" t="s">
        <v>444</v>
      </c>
      <c r="H8" s="83">
        <v>8</v>
      </c>
      <c r="I8" s="88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</row>
    <row r="9" spans="1:27" ht="15.75" customHeight="1" x14ac:dyDescent="0.2">
      <c r="A9" s="85">
        <v>8</v>
      </c>
      <c r="B9" s="82" t="str">
        <f t="shared" si="0"/>
        <v>BATE6X5</v>
      </c>
      <c r="C9" s="86" t="s">
        <v>24</v>
      </c>
      <c r="D9" s="86" t="s">
        <v>25</v>
      </c>
      <c r="E9" s="86" t="s">
        <v>449</v>
      </c>
      <c r="F9" s="86"/>
      <c r="G9" s="116" t="s">
        <v>444</v>
      </c>
      <c r="H9" s="87">
        <v>4</v>
      </c>
      <c r="I9" s="88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</row>
    <row r="10" spans="1:27" ht="15.75" customHeight="1" x14ac:dyDescent="0.2">
      <c r="A10" s="81">
        <v>9</v>
      </c>
      <c r="B10" s="82" t="str">
        <f t="shared" si="0"/>
        <v>BAKE6X2</v>
      </c>
      <c r="C10" s="86" t="s">
        <v>24</v>
      </c>
      <c r="D10" s="86" t="s">
        <v>448</v>
      </c>
      <c r="E10" s="86" t="s">
        <v>450</v>
      </c>
      <c r="F10" s="86"/>
      <c r="G10" s="116" t="s">
        <v>444</v>
      </c>
      <c r="H10" s="87">
        <v>4</v>
      </c>
      <c r="I10" s="88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</row>
    <row r="11" spans="1:27" ht="15.75" customHeight="1" x14ac:dyDescent="0.2">
      <c r="A11" s="81">
        <v>10</v>
      </c>
      <c r="B11" s="82" t="str">
        <f t="shared" si="0"/>
        <v>BIGEN/A</v>
      </c>
      <c r="C11" s="82" t="s">
        <v>26</v>
      </c>
      <c r="D11" s="82" t="s">
        <v>20</v>
      </c>
      <c r="E11" s="86" t="s">
        <v>462</v>
      </c>
      <c r="F11" s="82"/>
      <c r="G11" s="116" t="s">
        <v>445</v>
      </c>
      <c r="H11" s="83">
        <v>6</v>
      </c>
      <c r="I11" s="88"/>
      <c r="J11" s="79"/>
      <c r="K11" s="89"/>
      <c r="L11" s="89"/>
      <c r="M11" s="89"/>
      <c r="N11" s="8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</row>
    <row r="12" spans="1:27" ht="15.75" customHeight="1" x14ac:dyDescent="0.2">
      <c r="A12" s="85">
        <v>11</v>
      </c>
      <c r="B12" s="82" t="str">
        <f t="shared" si="0"/>
        <v>BOWIWIL</v>
      </c>
      <c r="C12" s="86" t="s">
        <v>468</v>
      </c>
      <c r="D12" s="82" t="s">
        <v>467</v>
      </c>
      <c r="E12" s="82" t="s">
        <v>467</v>
      </c>
      <c r="F12" s="86"/>
      <c r="G12" s="117" t="s">
        <v>486</v>
      </c>
      <c r="H12" s="87">
        <v>20</v>
      </c>
      <c r="I12" s="88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</row>
    <row r="13" spans="1:27" ht="15.75" customHeight="1" x14ac:dyDescent="0.2">
      <c r="A13" s="81">
        <v>12</v>
      </c>
      <c r="B13" s="82" t="str">
        <f t="shared" si="0"/>
        <v>BOWIWIL</v>
      </c>
      <c r="C13" s="86" t="s">
        <v>469</v>
      </c>
      <c r="D13" s="82" t="s">
        <v>467</v>
      </c>
      <c r="E13" s="82" t="s">
        <v>467</v>
      </c>
      <c r="F13" s="106"/>
      <c r="G13" s="106" t="s">
        <v>486</v>
      </c>
      <c r="H13" s="107">
        <v>1</v>
      </c>
      <c r="I13" s="88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</row>
    <row r="14" spans="1:27" ht="15.75" customHeight="1" x14ac:dyDescent="0.2">
      <c r="A14" s="81">
        <v>13</v>
      </c>
      <c r="B14" s="82" t="str">
        <f t="shared" si="0"/>
        <v>CAAO7R</v>
      </c>
      <c r="C14" s="82" t="s">
        <v>27</v>
      </c>
      <c r="D14" s="82" t="s">
        <v>28</v>
      </c>
      <c r="E14" s="82" t="s">
        <v>29</v>
      </c>
      <c r="F14" s="82"/>
      <c r="G14" s="121" t="s">
        <v>444</v>
      </c>
      <c r="H14" s="83">
        <v>8</v>
      </c>
      <c r="I14" s="88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</row>
    <row r="15" spans="1:27" ht="15.75" customHeight="1" x14ac:dyDescent="0.2">
      <c r="A15" s="85">
        <v>14</v>
      </c>
      <c r="B15" s="82" t="str">
        <f t="shared" si="0"/>
        <v>CAMO9R</v>
      </c>
      <c r="C15" s="82" t="s">
        <v>27</v>
      </c>
      <c r="D15" s="106" t="s">
        <v>451</v>
      </c>
      <c r="E15" s="106" t="s">
        <v>453</v>
      </c>
      <c r="F15" s="106"/>
      <c r="G15" s="121" t="s">
        <v>444</v>
      </c>
      <c r="H15" s="107">
        <v>10</v>
      </c>
      <c r="I15" s="88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</row>
    <row r="16" spans="1:27" ht="15.75" customHeight="1" x14ac:dyDescent="0.2">
      <c r="A16" s="81">
        <v>15</v>
      </c>
      <c r="B16" s="82" t="str">
        <f t="shared" si="0"/>
        <v>SEMOML-</v>
      </c>
      <c r="C16" s="106" t="s">
        <v>459</v>
      </c>
      <c r="D16" s="106" t="s">
        <v>451</v>
      </c>
      <c r="E16" s="77" t="s">
        <v>455</v>
      </c>
      <c r="F16" s="106"/>
      <c r="G16" s="121" t="s">
        <v>444</v>
      </c>
      <c r="H16" s="107">
        <v>2</v>
      </c>
      <c r="I16" s="88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</row>
    <row r="17" spans="1:27" ht="15.75" customHeight="1" x14ac:dyDescent="0.2">
      <c r="A17" s="81">
        <v>16</v>
      </c>
      <c r="B17" s="82" t="str">
        <f t="shared" si="0"/>
        <v>SIMOML-</v>
      </c>
      <c r="C17" s="106" t="s">
        <v>460</v>
      </c>
      <c r="D17" s="106" t="s">
        <v>451</v>
      </c>
      <c r="E17" s="77" t="s">
        <v>456</v>
      </c>
      <c r="F17" s="106"/>
      <c r="G17" s="121" t="s">
        <v>444</v>
      </c>
      <c r="H17" s="107">
        <v>2</v>
      </c>
      <c r="I17" s="88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</row>
    <row r="18" spans="1:27" ht="15.75" customHeight="1" x14ac:dyDescent="0.2">
      <c r="A18" s="85">
        <v>17</v>
      </c>
      <c r="B18" s="82" t="str">
        <f t="shared" si="0"/>
        <v>CABASIN</v>
      </c>
      <c r="C18" s="86" t="s">
        <v>30</v>
      </c>
      <c r="D18" s="102" t="s">
        <v>461</v>
      </c>
      <c r="E18" s="86" t="s">
        <v>21</v>
      </c>
      <c r="F18" s="86"/>
      <c r="G18" s="117" t="s">
        <v>31</v>
      </c>
      <c r="H18" s="87">
        <v>1</v>
      </c>
      <c r="I18" s="88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7" ht="15.75" customHeight="1" x14ac:dyDescent="0.2">
      <c r="A19" s="81">
        <v>18</v>
      </c>
      <c r="B19" s="82" t="str">
        <f t="shared" si="0"/>
        <v>CABABAU</v>
      </c>
      <c r="C19" s="82" t="s">
        <v>32</v>
      </c>
      <c r="D19" s="102" t="s">
        <v>461</v>
      </c>
      <c r="E19" s="82" t="s">
        <v>461</v>
      </c>
      <c r="F19" s="82"/>
      <c r="G19" s="116" t="s">
        <v>446</v>
      </c>
      <c r="H19" s="83">
        <v>1</v>
      </c>
      <c r="I19" s="88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</row>
    <row r="20" spans="1:27" ht="15.75" customHeight="1" x14ac:dyDescent="0.2">
      <c r="A20" s="81">
        <v>19</v>
      </c>
      <c r="B20" s="82" t="str">
        <f t="shared" si="0"/>
        <v>CABABAU</v>
      </c>
      <c r="C20" s="86" t="s">
        <v>33</v>
      </c>
      <c r="D20" s="102" t="s">
        <v>461</v>
      </c>
      <c r="E20" s="82" t="s">
        <v>461</v>
      </c>
      <c r="F20" s="86"/>
      <c r="G20" s="117" t="s">
        <v>445</v>
      </c>
      <c r="H20" s="87">
        <v>1</v>
      </c>
      <c r="I20" s="88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</row>
    <row r="21" spans="1:27" ht="15.75" customHeight="1" x14ac:dyDescent="0.2">
      <c r="A21" s="85">
        <v>20</v>
      </c>
      <c r="B21" s="82" t="str">
        <f t="shared" si="0"/>
        <v>CABABAU</v>
      </c>
      <c r="C21" s="82" t="s">
        <v>34</v>
      </c>
      <c r="D21" s="102" t="s">
        <v>461</v>
      </c>
      <c r="E21" s="82" t="s">
        <v>461</v>
      </c>
      <c r="F21" s="82"/>
      <c r="G21" s="117" t="s">
        <v>31</v>
      </c>
      <c r="H21" s="83">
        <v>1</v>
      </c>
      <c r="I21" s="88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 spans="1:27" ht="15.75" customHeight="1" x14ac:dyDescent="0.2">
      <c r="A22" s="81">
        <v>21</v>
      </c>
      <c r="B22" s="82" t="str">
        <f t="shared" si="0"/>
        <v>CAELSIN</v>
      </c>
      <c r="C22" s="86" t="s">
        <v>35</v>
      </c>
      <c r="D22" s="86" t="s">
        <v>36</v>
      </c>
      <c r="E22" s="86" t="s">
        <v>21</v>
      </c>
      <c r="F22" s="86"/>
      <c r="G22" s="117" t="s">
        <v>485</v>
      </c>
      <c r="H22" s="87">
        <v>1</v>
      </c>
      <c r="I22" s="88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</row>
    <row r="23" spans="1:27" ht="15.75" customHeight="1" x14ac:dyDescent="0.2">
      <c r="A23" s="81">
        <v>22</v>
      </c>
      <c r="B23" s="82" t="str">
        <f t="shared" si="0"/>
        <v>CAWEWEN</v>
      </c>
      <c r="C23" s="82" t="s">
        <v>37</v>
      </c>
      <c r="D23" s="82" t="s">
        <v>463</v>
      </c>
      <c r="E23" s="82" t="s">
        <v>463</v>
      </c>
      <c r="F23" s="82"/>
      <c r="G23" s="116" t="s">
        <v>445</v>
      </c>
      <c r="H23" s="83">
        <v>1</v>
      </c>
      <c r="I23" s="88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90" t="s">
        <v>38</v>
      </c>
    </row>
    <row r="24" spans="1:27" ht="15.75" customHeight="1" x14ac:dyDescent="0.2">
      <c r="A24" s="85">
        <v>23</v>
      </c>
      <c r="B24" s="82" t="str">
        <f t="shared" si="0"/>
        <v>CAWEWEN</v>
      </c>
      <c r="C24" s="86" t="s">
        <v>39</v>
      </c>
      <c r="D24" s="86" t="s">
        <v>463</v>
      </c>
      <c r="E24" s="82" t="s">
        <v>463</v>
      </c>
      <c r="F24" s="86"/>
      <c r="G24" s="117" t="s">
        <v>445</v>
      </c>
      <c r="H24" s="87">
        <v>1</v>
      </c>
      <c r="I24" s="88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5" spans="1:27" ht="15.75" customHeight="1" x14ac:dyDescent="0.2">
      <c r="A25" s="81">
        <v>24</v>
      </c>
      <c r="B25" s="82" t="str">
        <f t="shared" si="0"/>
        <v>CAHASIN</v>
      </c>
      <c r="C25" s="82" t="s">
        <v>40</v>
      </c>
      <c r="D25" s="82" t="s">
        <v>41</v>
      </c>
      <c r="E25" s="82" t="s">
        <v>21</v>
      </c>
      <c r="F25" s="82"/>
      <c r="G25" s="121" t="s">
        <v>444</v>
      </c>
      <c r="H25" s="83">
        <v>1</v>
      </c>
      <c r="I25" s="88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</row>
    <row r="26" spans="1:27" ht="15.75" customHeight="1" x14ac:dyDescent="0.2">
      <c r="A26" s="81">
        <v>25</v>
      </c>
      <c r="B26" s="82" t="str">
        <f t="shared" si="0"/>
        <v>CAGEN/A</v>
      </c>
      <c r="C26" s="86" t="s">
        <v>42</v>
      </c>
      <c r="D26" s="82" t="s">
        <v>20</v>
      </c>
      <c r="E26" s="86" t="s">
        <v>462</v>
      </c>
      <c r="F26" s="86"/>
      <c r="G26" s="121" t="s">
        <v>444</v>
      </c>
      <c r="H26" s="87">
        <v>1</v>
      </c>
      <c r="I26" s="88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</row>
    <row r="27" spans="1:27" ht="15.75" customHeight="1" x14ac:dyDescent="0.2">
      <c r="A27" s="85">
        <v>26</v>
      </c>
      <c r="B27" s="82" t="str">
        <f t="shared" si="0"/>
        <v>CAPEPEL</v>
      </c>
      <c r="C27" s="82" t="s">
        <v>43</v>
      </c>
      <c r="D27" s="82" t="s">
        <v>464</v>
      </c>
      <c r="E27" s="82" t="s">
        <v>464</v>
      </c>
      <c r="F27" s="82"/>
      <c r="G27" s="117" t="s">
        <v>485</v>
      </c>
      <c r="H27" s="83">
        <v>1</v>
      </c>
      <c r="I27" s="88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</row>
    <row r="28" spans="1:27" ht="15.75" customHeight="1" x14ac:dyDescent="0.2">
      <c r="A28" s="81">
        <v>27</v>
      </c>
      <c r="B28" s="82" t="str">
        <f t="shared" si="0"/>
        <v>CAROMJ-</v>
      </c>
      <c r="C28" s="86" t="s">
        <v>44</v>
      </c>
      <c r="D28" s="86" t="s">
        <v>57</v>
      </c>
      <c r="E28" s="82" t="s">
        <v>466</v>
      </c>
      <c r="F28" s="86"/>
      <c r="G28" s="117" t="s">
        <v>486</v>
      </c>
      <c r="H28" s="87">
        <v>20</v>
      </c>
      <c r="I28" s="88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</row>
    <row r="29" spans="1:27" ht="15.75" customHeight="1" x14ac:dyDescent="0.2">
      <c r="A29" s="81">
        <v>28</v>
      </c>
      <c r="B29" s="82" t="str">
        <f t="shared" si="0"/>
        <v>CAPISIL</v>
      </c>
      <c r="C29" s="82" t="s">
        <v>45</v>
      </c>
      <c r="D29" s="82" t="s">
        <v>46</v>
      </c>
      <c r="E29" s="82" t="s">
        <v>465</v>
      </c>
      <c r="F29" s="82"/>
      <c r="G29" s="116" t="s">
        <v>445</v>
      </c>
      <c r="H29" s="83">
        <v>1</v>
      </c>
      <c r="I29" s="88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</row>
    <row r="30" spans="1:27" ht="15.75" customHeight="1" x14ac:dyDescent="0.2">
      <c r="A30" s="85">
        <v>29</v>
      </c>
      <c r="B30" s="82" t="str">
        <f t="shared" si="0"/>
        <v>CAWEWEN</v>
      </c>
      <c r="C30" s="86" t="s">
        <v>47</v>
      </c>
      <c r="D30" s="82" t="s">
        <v>463</v>
      </c>
      <c r="E30" s="82" t="s">
        <v>463</v>
      </c>
      <c r="F30" s="86"/>
      <c r="G30" s="117" t="s">
        <v>446</v>
      </c>
      <c r="H30" s="87">
        <v>1</v>
      </c>
      <c r="I30" s="88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</row>
    <row r="31" spans="1:27" ht="15.75" customHeight="1" x14ac:dyDescent="0.2">
      <c r="A31" s="81">
        <v>30</v>
      </c>
      <c r="B31" s="82" t="str">
        <f t="shared" si="0"/>
        <v>CAPEPEL</v>
      </c>
      <c r="C31" s="82" t="s">
        <v>48</v>
      </c>
      <c r="D31" s="82" t="s">
        <v>464</v>
      </c>
      <c r="E31" s="82" t="s">
        <v>464</v>
      </c>
      <c r="F31" s="82"/>
      <c r="G31" s="116" t="s">
        <v>444</v>
      </c>
      <c r="H31" s="83">
        <v>1</v>
      </c>
      <c r="I31" s="88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</row>
    <row r="32" spans="1:27" ht="15.75" customHeight="1" x14ac:dyDescent="0.2">
      <c r="A32" s="81">
        <v>31</v>
      </c>
      <c r="B32" s="82" t="str">
        <f t="shared" si="0"/>
        <v>CAWEWEN</v>
      </c>
      <c r="C32" s="86" t="s">
        <v>49</v>
      </c>
      <c r="D32" s="86" t="s">
        <v>463</v>
      </c>
      <c r="E32" s="86" t="s">
        <v>463</v>
      </c>
      <c r="F32" s="86"/>
      <c r="G32" s="117" t="s">
        <v>485</v>
      </c>
      <c r="H32" s="87">
        <v>1</v>
      </c>
      <c r="I32" s="88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</row>
    <row r="33" spans="1:27" ht="15.75" customHeight="1" x14ac:dyDescent="0.2">
      <c r="A33" s="85">
        <v>32</v>
      </c>
      <c r="B33" s="82" t="str">
        <f t="shared" si="0"/>
        <v>CAPEPEL</v>
      </c>
      <c r="C33" s="82" t="s">
        <v>470</v>
      </c>
      <c r="D33" s="82" t="s">
        <v>464</v>
      </c>
      <c r="E33" s="82" t="s">
        <v>464</v>
      </c>
      <c r="F33" s="82"/>
      <c r="G33" s="116" t="s">
        <v>444</v>
      </c>
      <c r="H33" s="83">
        <v>1</v>
      </c>
      <c r="I33" s="88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</row>
    <row r="34" spans="1:27" ht="15.75" customHeight="1" x14ac:dyDescent="0.2">
      <c r="A34" s="81">
        <v>33</v>
      </c>
      <c r="B34" s="82" t="str">
        <f t="shared" si="0"/>
        <v>MTMAMTO</v>
      </c>
      <c r="C34" s="106" t="s">
        <v>51</v>
      </c>
      <c r="D34" s="106" t="s">
        <v>50</v>
      </c>
      <c r="E34" s="106" t="s">
        <v>51</v>
      </c>
      <c r="F34" s="106"/>
      <c r="G34" s="106" t="s">
        <v>444</v>
      </c>
      <c r="H34" s="107">
        <v>1</v>
      </c>
      <c r="I34" s="88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</row>
    <row r="35" spans="1:27" ht="15.75" customHeight="1" x14ac:dyDescent="0.2">
      <c r="A35" s="81">
        <v>34</v>
      </c>
      <c r="B35" s="82" t="str">
        <f t="shared" si="0"/>
        <v>CAMAMAC</v>
      </c>
      <c r="C35" s="86" t="s">
        <v>52</v>
      </c>
      <c r="D35" s="86" t="s">
        <v>50</v>
      </c>
      <c r="E35" s="86" t="s">
        <v>53</v>
      </c>
      <c r="F35" s="86"/>
      <c r="G35" s="117" t="s">
        <v>444</v>
      </c>
      <c r="H35" s="87">
        <v>4</v>
      </c>
      <c r="I35" s="88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</row>
    <row r="36" spans="1:27" ht="15.75" customHeight="1" x14ac:dyDescent="0.2">
      <c r="A36" s="85">
        <v>35</v>
      </c>
      <c r="B36" s="82" t="str">
        <f t="shared" si="0"/>
        <v>CAROMJ-</v>
      </c>
      <c r="C36" s="82" t="s">
        <v>54</v>
      </c>
      <c r="D36" s="86" t="s">
        <v>57</v>
      </c>
      <c r="E36" s="82" t="s">
        <v>466</v>
      </c>
      <c r="F36" s="82"/>
      <c r="G36" s="116" t="s">
        <v>445</v>
      </c>
      <c r="H36" s="83">
        <v>1</v>
      </c>
      <c r="I36" s="88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</row>
    <row r="37" spans="1:27" ht="15.75" customHeight="1" x14ac:dyDescent="0.2">
      <c r="A37" s="81">
        <v>36</v>
      </c>
      <c r="B37" s="82" t="str">
        <f t="shared" si="0"/>
        <v>CAROROB</v>
      </c>
      <c r="C37" s="86" t="s">
        <v>56</v>
      </c>
      <c r="D37" s="86" t="s">
        <v>57</v>
      </c>
      <c r="E37" s="86" t="s">
        <v>57</v>
      </c>
      <c r="F37" s="86"/>
      <c r="G37" s="117" t="s">
        <v>444</v>
      </c>
      <c r="H37" s="87">
        <v>2</v>
      </c>
      <c r="I37" s="88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</row>
    <row r="38" spans="1:27" ht="15.75" customHeight="1" x14ac:dyDescent="0.2">
      <c r="A38" s="81">
        <v>37</v>
      </c>
      <c r="B38" s="82" t="str">
        <f t="shared" si="0"/>
        <v>CASA90W</v>
      </c>
      <c r="C38" s="82" t="s">
        <v>58</v>
      </c>
      <c r="D38" s="82" t="s">
        <v>23</v>
      </c>
      <c r="E38" s="82" t="s">
        <v>59</v>
      </c>
      <c r="F38" s="82"/>
      <c r="G38" s="116" t="s">
        <v>444</v>
      </c>
      <c r="H38" s="83">
        <v>6</v>
      </c>
      <c r="I38" s="88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</row>
    <row r="39" spans="1:27" ht="15.75" customHeight="1" x14ac:dyDescent="0.2">
      <c r="A39" s="85">
        <v>38</v>
      </c>
      <c r="B39" s="82" t="str">
        <f t="shared" si="0"/>
        <v>CADMSIN</v>
      </c>
      <c r="C39" s="86" t="s">
        <v>60</v>
      </c>
      <c r="D39" s="86" t="s">
        <v>61</v>
      </c>
      <c r="E39" s="86" t="s">
        <v>21</v>
      </c>
      <c r="F39" s="86"/>
      <c r="G39" s="117" t="s">
        <v>444</v>
      </c>
      <c r="H39" s="87">
        <v>1</v>
      </c>
      <c r="I39" s="88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</row>
    <row r="40" spans="1:27" ht="15.75" customHeight="1" x14ac:dyDescent="0.2">
      <c r="A40" s="81">
        <v>39</v>
      </c>
      <c r="B40" s="82" t="str">
        <f t="shared" si="0"/>
        <v>COLACLU</v>
      </c>
      <c r="C40" s="106" t="s">
        <v>472</v>
      </c>
      <c r="D40" s="106" t="s">
        <v>473</v>
      </c>
      <c r="E40" s="106" t="s">
        <v>474</v>
      </c>
      <c r="F40" s="106"/>
      <c r="G40" s="106" t="s">
        <v>444</v>
      </c>
      <c r="H40" s="107">
        <v>1</v>
      </c>
      <c r="I40" s="88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</row>
    <row r="41" spans="1:27" ht="15.75" customHeight="1" x14ac:dyDescent="0.2">
      <c r="A41" s="81">
        <v>40</v>
      </c>
      <c r="B41" s="82" t="str">
        <f t="shared" si="0"/>
        <v>CEGA2MM</v>
      </c>
      <c r="C41" s="82" t="s">
        <v>62</v>
      </c>
      <c r="D41" s="82" t="s">
        <v>17</v>
      </c>
      <c r="E41" s="82" t="s">
        <v>63</v>
      </c>
      <c r="F41" s="82"/>
      <c r="G41" s="116" t="s">
        <v>445</v>
      </c>
      <c r="H41" s="83">
        <v>2</v>
      </c>
      <c r="I41" s="88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</row>
    <row r="42" spans="1:27" ht="15.75" customHeight="1" x14ac:dyDescent="0.2">
      <c r="A42" s="85">
        <v>41</v>
      </c>
      <c r="B42" s="82" t="str">
        <f t="shared" si="0"/>
        <v>CHLI600</v>
      </c>
      <c r="C42" s="86" t="s">
        <v>64</v>
      </c>
      <c r="D42" s="86" t="s">
        <v>65</v>
      </c>
      <c r="E42" s="86" t="s">
        <v>66</v>
      </c>
      <c r="F42" s="86"/>
      <c r="G42" s="117" t="s">
        <v>486</v>
      </c>
      <c r="H42" s="87">
        <v>2</v>
      </c>
      <c r="I42" s="88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</row>
    <row r="43" spans="1:27" ht="15.75" customHeight="1" x14ac:dyDescent="0.2">
      <c r="A43" s="81">
        <v>42</v>
      </c>
      <c r="B43" s="82" t="str">
        <f t="shared" si="0"/>
        <v>CHMO750</v>
      </c>
      <c r="C43" s="86" t="s">
        <v>64</v>
      </c>
      <c r="D43" s="106" t="s">
        <v>451</v>
      </c>
      <c r="E43" s="106" t="s">
        <v>452</v>
      </c>
      <c r="F43" s="106"/>
      <c r="G43" s="106" t="s">
        <v>486</v>
      </c>
      <c r="H43" s="107">
        <v>2</v>
      </c>
      <c r="I43" s="88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</row>
    <row r="44" spans="1:27" ht="15.75" customHeight="1" x14ac:dyDescent="0.2">
      <c r="A44" s="81">
        <v>43</v>
      </c>
      <c r="B44" s="82" t="str">
        <f t="shared" si="0"/>
        <v>COMOML-</v>
      </c>
      <c r="C44" s="106" t="s">
        <v>458</v>
      </c>
      <c r="D44" s="106" t="s">
        <v>451</v>
      </c>
      <c r="E44" s="106" t="s">
        <v>454</v>
      </c>
      <c r="F44" s="106"/>
      <c r="G44" s="106" t="s">
        <v>486</v>
      </c>
      <c r="H44" s="107">
        <v>2</v>
      </c>
      <c r="I44" s="88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</row>
    <row r="45" spans="1:27" ht="15.75" customHeight="1" x14ac:dyDescent="0.2">
      <c r="A45" s="85">
        <v>44</v>
      </c>
      <c r="B45" s="82" t="str">
        <f t="shared" si="0"/>
        <v>COAO3X2</v>
      </c>
      <c r="C45" s="82" t="s">
        <v>67</v>
      </c>
      <c r="D45" s="82" t="s">
        <v>28</v>
      </c>
      <c r="E45" s="82" t="s">
        <v>68</v>
      </c>
      <c r="F45" s="82"/>
      <c r="G45" s="116" t="s">
        <v>486</v>
      </c>
      <c r="H45" s="83">
        <v>1</v>
      </c>
      <c r="I45" s="88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</row>
    <row r="46" spans="1:27" ht="15.75" customHeight="1" x14ac:dyDescent="0.2">
      <c r="A46" s="81">
        <v>45</v>
      </c>
      <c r="B46" s="82" t="str">
        <f t="shared" si="0"/>
        <v>COASSIN</v>
      </c>
      <c r="C46" s="86" t="s">
        <v>69</v>
      </c>
      <c r="D46" s="86" t="s">
        <v>70</v>
      </c>
      <c r="E46" s="86" t="s">
        <v>21</v>
      </c>
      <c r="F46" s="86"/>
      <c r="G46" s="117" t="s">
        <v>447</v>
      </c>
      <c r="H46" s="87">
        <v>1</v>
      </c>
      <c r="I46" s="88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</row>
    <row r="47" spans="1:27" ht="15.75" customHeight="1" x14ac:dyDescent="0.2">
      <c r="A47" s="81">
        <v>46</v>
      </c>
      <c r="B47" s="82" t="str">
        <f t="shared" si="0"/>
        <v>COBIBD-</v>
      </c>
      <c r="C47" s="82" t="s">
        <v>71</v>
      </c>
      <c r="D47" s="82" t="s">
        <v>72</v>
      </c>
      <c r="E47" s="82" t="s">
        <v>475</v>
      </c>
      <c r="F47" s="82"/>
      <c r="G47" s="116" t="s">
        <v>444</v>
      </c>
      <c r="H47" s="83">
        <v>16</v>
      </c>
      <c r="I47" s="88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</row>
    <row r="48" spans="1:27" ht="15.75" customHeight="1" x14ac:dyDescent="0.2">
      <c r="A48" s="85">
        <v>47</v>
      </c>
      <c r="B48" s="82" t="str">
        <f t="shared" si="0"/>
        <v>COHPX36</v>
      </c>
      <c r="C48" s="86" t="s">
        <v>69</v>
      </c>
      <c r="D48" s="86" t="s">
        <v>73</v>
      </c>
      <c r="E48" s="86" t="s">
        <v>471</v>
      </c>
      <c r="F48" s="86"/>
      <c r="G48" s="117" t="s">
        <v>447</v>
      </c>
      <c r="H48" s="87">
        <v>1</v>
      </c>
      <c r="I48" s="88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</row>
    <row r="49" spans="1:27" ht="15.75" customHeight="1" x14ac:dyDescent="0.2">
      <c r="A49" s="81">
        <v>48</v>
      </c>
      <c r="B49" s="82" t="str">
        <f t="shared" si="0"/>
        <v>COSVEFX</v>
      </c>
      <c r="C49" s="82" t="s">
        <v>74</v>
      </c>
      <c r="D49" s="82" t="s">
        <v>75</v>
      </c>
      <c r="E49" s="82" t="s">
        <v>476</v>
      </c>
      <c r="F49" s="82"/>
      <c r="G49" s="116" t="s">
        <v>486</v>
      </c>
      <c r="H49" s="83">
        <v>2</v>
      </c>
      <c r="I49" s="88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</row>
    <row r="50" spans="1:27" ht="15.75" customHeight="1" x14ac:dyDescent="0.2">
      <c r="A50" s="81">
        <v>49</v>
      </c>
      <c r="B50" s="82" t="str">
        <f t="shared" si="0"/>
        <v>ESHA930</v>
      </c>
      <c r="C50" s="86" t="s">
        <v>76</v>
      </c>
      <c r="D50" s="86" t="s">
        <v>77</v>
      </c>
      <c r="E50" s="86" t="s">
        <v>478</v>
      </c>
      <c r="F50" s="86"/>
      <c r="G50" s="116" t="s">
        <v>445</v>
      </c>
      <c r="H50" s="87">
        <v>1</v>
      </c>
      <c r="I50" s="88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</row>
    <row r="51" spans="1:27" ht="15.75" customHeight="1" x14ac:dyDescent="0.2">
      <c r="A51" s="85">
        <v>50</v>
      </c>
      <c r="B51" s="82" t="str">
        <f t="shared" si="0"/>
        <v>ESSOSIN</v>
      </c>
      <c r="C51" s="82" t="s">
        <v>78</v>
      </c>
      <c r="D51" s="82" t="s">
        <v>79</v>
      </c>
      <c r="E51" s="82" t="s">
        <v>21</v>
      </c>
      <c r="F51" s="82"/>
      <c r="G51" s="116" t="s">
        <v>445</v>
      </c>
      <c r="H51" s="83">
        <v>1</v>
      </c>
      <c r="I51" s="88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</row>
    <row r="52" spans="1:27" ht="15.75" customHeight="1" x14ac:dyDescent="0.2">
      <c r="A52" s="81">
        <v>51</v>
      </c>
      <c r="B52" s="82" t="str">
        <f t="shared" si="0"/>
        <v xml:space="preserve">EXGE10 </v>
      </c>
      <c r="C52" s="86" t="s">
        <v>80</v>
      </c>
      <c r="D52" s="86" t="s">
        <v>20</v>
      </c>
      <c r="E52" s="86" t="s">
        <v>81</v>
      </c>
      <c r="F52" s="86"/>
      <c r="G52" s="117" t="s">
        <v>485</v>
      </c>
      <c r="H52" s="87">
        <v>10</v>
      </c>
      <c r="I52" s="88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</row>
    <row r="53" spans="1:27" ht="15.75" customHeight="1" x14ac:dyDescent="0.2">
      <c r="A53" s="81">
        <v>52</v>
      </c>
      <c r="B53" s="82" t="str">
        <f t="shared" si="0"/>
        <v>FIGEN/A</v>
      </c>
      <c r="C53" s="82" t="s">
        <v>82</v>
      </c>
      <c r="D53" s="82" t="s">
        <v>20</v>
      </c>
      <c r="E53" s="82" t="s">
        <v>462</v>
      </c>
      <c r="F53" s="82"/>
      <c r="G53" s="116" t="s">
        <v>445</v>
      </c>
      <c r="H53" s="83">
        <v>4</v>
      </c>
      <c r="I53" s="88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</row>
    <row r="54" spans="1:27" ht="15.75" customHeight="1" x14ac:dyDescent="0.2">
      <c r="A54" s="85">
        <v>53</v>
      </c>
      <c r="B54" s="82" t="str">
        <f t="shared" si="0"/>
        <v>ESHA931</v>
      </c>
      <c r="C54" s="86" t="s">
        <v>287</v>
      </c>
      <c r="D54" s="86" t="s">
        <v>77</v>
      </c>
      <c r="E54" s="86" t="s">
        <v>477</v>
      </c>
      <c r="F54" s="86"/>
      <c r="G54" s="116" t="s">
        <v>445</v>
      </c>
      <c r="H54" s="87">
        <v>1</v>
      </c>
      <c r="I54" s="88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</row>
    <row r="55" spans="1:27" ht="15.75" customHeight="1" x14ac:dyDescent="0.2">
      <c r="A55" s="81">
        <v>54</v>
      </c>
      <c r="B55" s="82" t="str">
        <f t="shared" si="0"/>
        <v>IMHIPL5</v>
      </c>
      <c r="C55" s="82" t="s">
        <v>83</v>
      </c>
      <c r="D55" s="82" t="s">
        <v>84</v>
      </c>
      <c r="E55" s="82" t="s">
        <v>85</v>
      </c>
      <c r="F55" s="82"/>
      <c r="G55" s="116" t="s">
        <v>447</v>
      </c>
      <c r="H55" s="83">
        <v>1</v>
      </c>
      <c r="I55" s="88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</row>
    <row r="56" spans="1:27" ht="15.75" customHeight="1" x14ac:dyDescent="0.2">
      <c r="A56" s="81">
        <v>55</v>
      </c>
      <c r="B56" s="82" t="str">
        <f t="shared" si="0"/>
        <v>MAGA100</v>
      </c>
      <c r="C56" s="86" t="s">
        <v>86</v>
      </c>
      <c r="D56" s="86" t="s">
        <v>17</v>
      </c>
      <c r="E56" s="86" t="s">
        <v>479</v>
      </c>
      <c r="F56" s="86"/>
      <c r="G56" s="116" t="s">
        <v>445</v>
      </c>
      <c r="H56" s="87">
        <v>4</v>
      </c>
      <c r="I56" s="88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</row>
    <row r="57" spans="1:27" ht="15.75" customHeight="1" x14ac:dyDescent="0.2">
      <c r="A57" s="85">
        <v>56</v>
      </c>
      <c r="B57" s="82" t="str">
        <f t="shared" si="0"/>
        <v>MAPUHF-</v>
      </c>
      <c r="C57" s="86" t="s">
        <v>87</v>
      </c>
      <c r="D57" s="86" t="s">
        <v>88</v>
      </c>
      <c r="E57" s="86" t="s">
        <v>480</v>
      </c>
      <c r="F57" s="86"/>
      <c r="G57" s="117" t="s">
        <v>486</v>
      </c>
      <c r="H57" s="87">
        <v>1</v>
      </c>
      <c r="I57" s="88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</row>
    <row r="58" spans="1:27" ht="15.75" customHeight="1" x14ac:dyDescent="0.2">
      <c r="A58" s="81">
        <v>57</v>
      </c>
      <c r="B58" s="82" t="str">
        <f t="shared" si="0"/>
        <v>MAMO150</v>
      </c>
      <c r="C58" s="86" t="s">
        <v>87</v>
      </c>
      <c r="D58" s="106" t="s">
        <v>451</v>
      </c>
      <c r="E58" s="106">
        <v>1500</v>
      </c>
      <c r="F58" s="106"/>
      <c r="G58" s="106" t="s">
        <v>486</v>
      </c>
      <c r="H58" s="107">
        <v>1</v>
      </c>
      <c r="I58" s="88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</row>
    <row r="59" spans="1:27" ht="15.75" customHeight="1" x14ac:dyDescent="0.2">
      <c r="A59" s="81">
        <v>58</v>
      </c>
      <c r="B59" s="82" t="str">
        <f t="shared" si="0"/>
        <v>MEK-K68</v>
      </c>
      <c r="C59" s="82" t="s">
        <v>89</v>
      </c>
      <c r="D59" s="82" t="s">
        <v>90</v>
      </c>
      <c r="E59" s="82" t="s">
        <v>91</v>
      </c>
      <c r="F59" s="82"/>
      <c r="G59" s="117" t="s">
        <v>31</v>
      </c>
      <c r="H59" s="83">
        <v>1</v>
      </c>
      <c r="I59" s="88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</row>
    <row r="60" spans="1:27" ht="15.75" customHeight="1" x14ac:dyDescent="0.2">
      <c r="A60" s="85">
        <v>59</v>
      </c>
      <c r="B60" s="82" t="str">
        <f t="shared" si="0"/>
        <v>MESOEPM</v>
      </c>
      <c r="C60" s="86" t="s">
        <v>89</v>
      </c>
      <c r="D60" s="86" t="s">
        <v>92</v>
      </c>
      <c r="E60" s="86" t="s">
        <v>93</v>
      </c>
      <c r="F60" s="86"/>
      <c r="G60" s="117" t="s">
        <v>31</v>
      </c>
      <c r="H60" s="87">
        <v>2</v>
      </c>
      <c r="I60" s="88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</row>
    <row r="61" spans="1:27" ht="15.75" customHeight="1" x14ac:dyDescent="0.2">
      <c r="A61" s="81">
        <v>60</v>
      </c>
      <c r="B61" s="82" t="str">
        <f t="shared" si="0"/>
        <v>MESOSIG</v>
      </c>
      <c r="C61" s="82" t="s">
        <v>89</v>
      </c>
      <c r="D61" s="82" t="s">
        <v>92</v>
      </c>
      <c r="E61" s="82" t="s">
        <v>94</v>
      </c>
      <c r="F61" s="82"/>
      <c r="G61" s="117" t="s">
        <v>31</v>
      </c>
      <c r="H61" s="83">
        <v>1</v>
      </c>
      <c r="I61" s="88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</row>
    <row r="62" spans="1:27" ht="15.75" customHeight="1" x14ac:dyDescent="0.2">
      <c r="A62" s="81">
        <v>61</v>
      </c>
      <c r="B62" s="82" t="str">
        <f t="shared" si="0"/>
        <v>MESOUI2</v>
      </c>
      <c r="C62" s="86" t="s">
        <v>89</v>
      </c>
      <c r="D62" s="86" t="s">
        <v>92</v>
      </c>
      <c r="E62" s="86" t="s">
        <v>95</v>
      </c>
      <c r="F62" s="86"/>
      <c r="G62" s="117" t="s">
        <v>31</v>
      </c>
      <c r="H62" s="87">
        <v>1</v>
      </c>
      <c r="I62" s="88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</row>
    <row r="63" spans="1:27" ht="15" x14ac:dyDescent="0.2">
      <c r="A63" s="85">
        <v>62</v>
      </c>
      <c r="B63" s="82" t="str">
        <f t="shared" si="0"/>
        <v>MIBESIN</v>
      </c>
      <c r="C63" s="82" t="s">
        <v>96</v>
      </c>
      <c r="D63" s="82" t="s">
        <v>97</v>
      </c>
      <c r="E63" s="82" t="s">
        <v>21</v>
      </c>
      <c r="F63" s="82"/>
      <c r="G63" s="117" t="s">
        <v>31</v>
      </c>
      <c r="H63" s="83">
        <v>2</v>
      </c>
      <c r="I63" s="88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</row>
    <row r="64" spans="1:27" ht="15" x14ac:dyDescent="0.2">
      <c r="A64" s="81">
        <v>63</v>
      </c>
      <c r="B64" s="82" t="str">
        <f t="shared" si="0"/>
        <v>MINAHT-</v>
      </c>
      <c r="C64" s="86" t="s">
        <v>98</v>
      </c>
      <c r="D64" s="86" t="s">
        <v>99</v>
      </c>
      <c r="E64" s="86" t="s">
        <v>481</v>
      </c>
      <c r="F64" s="86"/>
      <c r="G64" s="117" t="s">
        <v>31</v>
      </c>
      <c r="H64" s="87">
        <v>1</v>
      </c>
      <c r="I64" s="88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</row>
    <row r="65" spans="1:27" ht="15" x14ac:dyDescent="0.2">
      <c r="A65" s="81">
        <v>64</v>
      </c>
      <c r="B65" s="82" t="str">
        <f t="shared" si="0"/>
        <v>MISHSM5</v>
      </c>
      <c r="C65" s="82" t="s">
        <v>96</v>
      </c>
      <c r="D65" s="82" t="s">
        <v>100</v>
      </c>
      <c r="E65" s="82" t="s">
        <v>101</v>
      </c>
      <c r="F65" s="82"/>
      <c r="G65" s="117" t="s">
        <v>31</v>
      </c>
      <c r="H65" s="83">
        <v>1</v>
      </c>
      <c r="I65" s="88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</row>
    <row r="66" spans="1:27" ht="15" x14ac:dyDescent="0.2">
      <c r="A66" s="85">
        <v>65</v>
      </c>
      <c r="B66" s="82" t="str">
        <f t="shared" ref="B66:B71" si="1">UPPER(LEFT(C66,2)&amp;LEFT(D66,2)&amp;LEFT(E66,3))</f>
        <v>INSHSM5</v>
      </c>
      <c r="C66" s="86" t="s">
        <v>102</v>
      </c>
      <c r="D66" s="86" t="s">
        <v>100</v>
      </c>
      <c r="E66" s="86" t="s">
        <v>101</v>
      </c>
      <c r="F66" s="86"/>
      <c r="G66" s="117" t="s">
        <v>31</v>
      </c>
      <c r="H66" s="87">
        <v>1</v>
      </c>
      <c r="I66" s="88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</row>
    <row r="67" spans="1:27" ht="15" x14ac:dyDescent="0.2">
      <c r="A67" s="81">
        <v>66</v>
      </c>
      <c r="B67" s="82" t="str">
        <f t="shared" si="1"/>
        <v>MISKUHF</v>
      </c>
      <c r="C67" s="82" t="s">
        <v>96</v>
      </c>
      <c r="D67" s="82" t="s">
        <v>103</v>
      </c>
      <c r="E67" s="82" t="s">
        <v>104</v>
      </c>
      <c r="F67" s="82"/>
      <c r="G67" s="117" t="s">
        <v>31</v>
      </c>
      <c r="H67" s="83">
        <v>2</v>
      </c>
      <c r="I67" s="88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</row>
    <row r="68" spans="1:27" ht="15" x14ac:dyDescent="0.2">
      <c r="A68" s="81">
        <v>67</v>
      </c>
      <c r="B68" s="82" t="str">
        <f t="shared" si="1"/>
        <v>PA4LN/A</v>
      </c>
      <c r="C68" s="86" t="s">
        <v>105</v>
      </c>
      <c r="D68" s="86" t="s">
        <v>106</v>
      </c>
      <c r="E68" s="86" t="s">
        <v>462</v>
      </c>
      <c r="F68" s="86"/>
      <c r="G68" s="117" t="s">
        <v>485</v>
      </c>
      <c r="H68" s="87">
        <v>2</v>
      </c>
      <c r="I68" s="88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</row>
    <row r="69" spans="1:27" ht="15" x14ac:dyDescent="0.2">
      <c r="A69" s="85">
        <v>68</v>
      </c>
      <c r="B69" s="82" t="str">
        <f t="shared" si="1"/>
        <v>PAAO7X1</v>
      </c>
      <c r="C69" s="82" t="s">
        <v>107</v>
      </c>
      <c r="D69" s="82" t="s">
        <v>28</v>
      </c>
      <c r="E69" s="82" t="s">
        <v>108</v>
      </c>
      <c r="F69" s="82"/>
      <c r="G69" s="116" t="s">
        <v>444</v>
      </c>
      <c r="H69" s="83">
        <v>24</v>
      </c>
      <c r="I69" s="88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</row>
    <row r="70" spans="1:27" ht="15" x14ac:dyDescent="0.2">
      <c r="A70" s="81">
        <v>69</v>
      </c>
      <c r="B70" s="82" t="str">
        <f t="shared" si="1"/>
        <v>PABI4X5</v>
      </c>
      <c r="C70" s="86" t="s">
        <v>107</v>
      </c>
      <c r="D70" s="86" t="s">
        <v>72</v>
      </c>
      <c r="E70" s="86" t="s">
        <v>109</v>
      </c>
      <c r="F70" s="86"/>
      <c r="G70" s="117" t="s">
        <v>444</v>
      </c>
      <c r="H70" s="87">
        <v>8</v>
      </c>
      <c r="I70" s="88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</row>
    <row r="71" spans="1:27" ht="15" x14ac:dyDescent="0.2">
      <c r="A71" s="81">
        <v>70</v>
      </c>
      <c r="B71" s="82" t="str">
        <f t="shared" si="1"/>
        <v>PAGEN/A</v>
      </c>
      <c r="C71" s="86" t="s">
        <v>110</v>
      </c>
      <c r="D71" s="86" t="s">
        <v>20</v>
      </c>
      <c r="E71" s="86" t="s">
        <v>462</v>
      </c>
      <c r="F71" s="86"/>
      <c r="G71" s="117" t="s">
        <v>485</v>
      </c>
      <c r="H71" s="87">
        <v>4</v>
      </c>
      <c r="I71" s="88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</row>
    <row r="72" spans="1:27" ht="15" x14ac:dyDescent="0.2">
      <c r="A72" s="85">
        <v>71</v>
      </c>
      <c r="B72" s="82" t="str">
        <f>UPPER(LEFT(C72,2)&amp;LEFT(D72,2)&amp;LEFT(E72,3))</f>
        <v>PAQSK12</v>
      </c>
      <c r="C72" s="82" t="s">
        <v>111</v>
      </c>
      <c r="D72" s="82" t="s">
        <v>112</v>
      </c>
      <c r="E72" s="82" t="s">
        <v>113</v>
      </c>
      <c r="F72" s="82"/>
      <c r="G72" s="117" t="s">
        <v>31</v>
      </c>
      <c r="H72" s="83">
        <v>6</v>
      </c>
      <c r="I72" s="88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</row>
    <row r="73" spans="1:27" ht="15" x14ac:dyDescent="0.2">
      <c r="A73" s="81">
        <v>72</v>
      </c>
      <c r="B73" s="82" t="str">
        <f t="shared" ref="B73:B89" si="2">UPPER(LEFT(C73,2)&amp;LEFT(D73,2)&amp;LEFT(E73,3))</f>
        <v>PAQSK10</v>
      </c>
      <c r="C73" s="82" t="s">
        <v>111</v>
      </c>
      <c r="D73" s="82" t="s">
        <v>112</v>
      </c>
      <c r="E73" s="82" t="s">
        <v>484</v>
      </c>
      <c r="F73" s="106"/>
      <c r="G73" s="117" t="s">
        <v>31</v>
      </c>
      <c r="H73" s="107"/>
      <c r="I73" s="88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</row>
    <row r="74" spans="1:27" ht="15" x14ac:dyDescent="0.2">
      <c r="A74" s="81">
        <v>73</v>
      </c>
      <c r="B74" s="82" t="str">
        <f t="shared" si="2"/>
        <v>PASAS96</v>
      </c>
      <c r="C74" s="86" t="s">
        <v>114</v>
      </c>
      <c r="D74" s="86" t="s">
        <v>23</v>
      </c>
      <c r="E74" s="86" t="s">
        <v>115</v>
      </c>
      <c r="F74" s="86"/>
      <c r="G74" s="117" t="s">
        <v>444</v>
      </c>
      <c r="H74" s="87">
        <v>4</v>
      </c>
      <c r="I74" s="88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</row>
    <row r="75" spans="1:27" ht="15" x14ac:dyDescent="0.2">
      <c r="A75" s="85">
        <v>74</v>
      </c>
      <c r="B75" s="82" t="str">
        <f t="shared" si="2"/>
        <v>PEGEN/A</v>
      </c>
      <c r="C75" s="82" t="s">
        <v>116</v>
      </c>
      <c r="D75" s="82" t="s">
        <v>20</v>
      </c>
      <c r="E75" s="82" t="s">
        <v>462</v>
      </c>
      <c r="F75" s="82"/>
      <c r="G75" s="116" t="s">
        <v>445</v>
      </c>
      <c r="H75" s="83">
        <v>7</v>
      </c>
      <c r="I75" s="88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</row>
    <row r="76" spans="1:27" ht="15" x14ac:dyDescent="0.2">
      <c r="A76" s="81">
        <v>75</v>
      </c>
      <c r="B76" s="82" t="str">
        <f t="shared" si="2"/>
        <v>PIQI100</v>
      </c>
      <c r="C76" s="86" t="s">
        <v>117</v>
      </c>
      <c r="D76" s="86" t="s">
        <v>55</v>
      </c>
      <c r="E76" s="86" t="s">
        <v>118</v>
      </c>
      <c r="F76" s="86"/>
      <c r="G76" s="117" t="s">
        <v>445</v>
      </c>
      <c r="H76" s="87">
        <v>1</v>
      </c>
      <c r="I76" s="88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</row>
    <row r="77" spans="1:27" ht="15" x14ac:dyDescent="0.2">
      <c r="A77" s="81">
        <v>76</v>
      </c>
      <c r="B77" s="82" t="str">
        <f t="shared" si="2"/>
        <v>REGEN/A</v>
      </c>
      <c r="C77" s="82" t="s">
        <v>119</v>
      </c>
      <c r="D77" s="82" t="s">
        <v>20</v>
      </c>
      <c r="E77" s="82" t="s">
        <v>462</v>
      </c>
      <c r="F77" s="82"/>
      <c r="G77" s="117" t="s">
        <v>485</v>
      </c>
      <c r="H77" s="83">
        <v>5</v>
      </c>
      <c r="I77" s="88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</row>
    <row r="78" spans="1:27" ht="15" x14ac:dyDescent="0.2">
      <c r="A78" s="85">
        <v>77</v>
      </c>
      <c r="B78" s="82" t="str">
        <f t="shared" si="2"/>
        <v>SUAUALA</v>
      </c>
      <c r="C78" s="86" t="s">
        <v>120</v>
      </c>
      <c r="D78" s="86" t="s">
        <v>121</v>
      </c>
      <c r="E78" s="86" t="s">
        <v>122</v>
      </c>
      <c r="F78" s="86"/>
      <c r="G78" s="117" t="s">
        <v>31</v>
      </c>
      <c r="H78" s="87">
        <v>1</v>
      </c>
      <c r="I78" s="88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</row>
    <row r="79" spans="1:27" ht="15" x14ac:dyDescent="0.2">
      <c r="A79" s="81">
        <v>78</v>
      </c>
      <c r="B79" s="82" t="str">
        <f t="shared" si="2"/>
        <v>TAGEN/A</v>
      </c>
      <c r="C79" s="82" t="s">
        <v>123</v>
      </c>
      <c r="D79" s="82" t="s">
        <v>20</v>
      </c>
      <c r="E79" s="82" t="s">
        <v>462</v>
      </c>
      <c r="F79" s="82"/>
      <c r="G79" s="116" t="s">
        <v>445</v>
      </c>
      <c r="H79" s="83">
        <v>1</v>
      </c>
      <c r="I79" s="88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</row>
    <row r="80" spans="1:27" ht="15" x14ac:dyDescent="0.2">
      <c r="A80" s="81">
        <v>79</v>
      </c>
      <c r="B80" s="82" t="str">
        <f t="shared" si="2"/>
        <v>TALE32A</v>
      </c>
      <c r="C80" s="86" t="s">
        <v>124</v>
      </c>
      <c r="D80" s="86" t="s">
        <v>125</v>
      </c>
      <c r="E80" s="86" t="s">
        <v>482</v>
      </c>
      <c r="F80" s="86"/>
      <c r="G80" s="117" t="s">
        <v>485</v>
      </c>
      <c r="H80" s="87">
        <v>2</v>
      </c>
      <c r="I80" s="88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</row>
    <row r="81" spans="1:27" ht="15" x14ac:dyDescent="0.2">
      <c r="A81" s="85">
        <v>80</v>
      </c>
      <c r="B81" s="82" t="str">
        <f t="shared" si="2"/>
        <v>TAGE32A</v>
      </c>
      <c r="C81" s="86" t="s">
        <v>124</v>
      </c>
      <c r="D81" s="106" t="s">
        <v>20</v>
      </c>
      <c r="E81" s="106" t="s">
        <v>482</v>
      </c>
      <c r="F81" s="106"/>
      <c r="G81" s="117" t="s">
        <v>485</v>
      </c>
      <c r="H81" s="107">
        <v>1</v>
      </c>
      <c r="I81" s="88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</row>
    <row r="82" spans="1:27" ht="15" x14ac:dyDescent="0.2">
      <c r="A82" s="81">
        <v>81</v>
      </c>
      <c r="B82" s="82" t="str">
        <f t="shared" si="2"/>
        <v>TOFEMEG</v>
      </c>
      <c r="C82" s="82" t="s">
        <v>126</v>
      </c>
      <c r="D82" s="82" t="s">
        <v>127</v>
      </c>
      <c r="E82" s="82" t="s">
        <v>457</v>
      </c>
      <c r="F82" s="82"/>
      <c r="G82" s="116" t="s">
        <v>445</v>
      </c>
      <c r="H82" s="83">
        <v>2</v>
      </c>
      <c r="I82" s="88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</row>
    <row r="83" spans="1:27" ht="15" x14ac:dyDescent="0.2">
      <c r="A83" s="81">
        <v>82</v>
      </c>
      <c r="B83" s="82" t="str">
        <f t="shared" si="2"/>
        <v>TOGEN/A</v>
      </c>
      <c r="C83" s="86" t="s">
        <v>128</v>
      </c>
      <c r="D83" s="86" t="s">
        <v>20</v>
      </c>
      <c r="E83" s="86" t="s">
        <v>462</v>
      </c>
      <c r="F83" s="86"/>
      <c r="G83" s="117" t="s">
        <v>486</v>
      </c>
      <c r="H83" s="87">
        <v>1</v>
      </c>
      <c r="I83" s="88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</row>
    <row r="84" spans="1:27" ht="15" x14ac:dyDescent="0.2">
      <c r="A84" s="85">
        <v>83</v>
      </c>
      <c r="B84" s="82" t="str">
        <f t="shared" si="2"/>
        <v>TRGA1MT</v>
      </c>
      <c r="C84" s="82" t="s">
        <v>129</v>
      </c>
      <c r="D84" s="82" t="s">
        <v>17</v>
      </c>
      <c r="E84" s="82" t="s">
        <v>130</v>
      </c>
      <c r="F84" s="82"/>
      <c r="G84" s="116" t="s">
        <v>445</v>
      </c>
      <c r="H84" s="83">
        <v>2</v>
      </c>
      <c r="I84" s="88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</row>
    <row r="85" spans="1:27" ht="15" x14ac:dyDescent="0.2">
      <c r="A85" s="81">
        <v>84</v>
      </c>
      <c r="B85" s="82" t="str">
        <f t="shared" si="2"/>
        <v>TRGA2MT</v>
      </c>
      <c r="C85" s="86" t="s">
        <v>131</v>
      </c>
      <c r="D85" s="86" t="s">
        <v>17</v>
      </c>
      <c r="E85" s="86" t="s">
        <v>132</v>
      </c>
      <c r="F85" s="86"/>
      <c r="G85" s="116" t="s">
        <v>445</v>
      </c>
      <c r="H85" s="87">
        <v>2</v>
      </c>
      <c r="I85" s="88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</row>
    <row r="86" spans="1:27" ht="15" x14ac:dyDescent="0.2">
      <c r="A86" s="81">
        <v>85</v>
      </c>
      <c r="B86" s="82" t="str">
        <f t="shared" si="2"/>
        <v>TRGA3MT</v>
      </c>
      <c r="C86" s="82" t="s">
        <v>133</v>
      </c>
      <c r="D86" s="82" t="s">
        <v>17</v>
      </c>
      <c r="E86" s="82" t="s">
        <v>134</v>
      </c>
      <c r="F86" s="82"/>
      <c r="G86" s="116" t="s">
        <v>445</v>
      </c>
      <c r="H86" s="83">
        <v>10</v>
      </c>
      <c r="I86" s="88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</row>
    <row r="87" spans="1:27" ht="15" x14ac:dyDescent="0.2">
      <c r="A87" s="85">
        <v>86</v>
      </c>
      <c r="B87" s="82" t="str">
        <f t="shared" si="2"/>
        <v>TRMO3MT</v>
      </c>
      <c r="C87" s="82" t="s">
        <v>133</v>
      </c>
      <c r="D87" s="82" t="s">
        <v>451</v>
      </c>
      <c r="E87" s="82" t="s">
        <v>134</v>
      </c>
      <c r="F87" s="82"/>
      <c r="G87" s="116" t="s">
        <v>445</v>
      </c>
      <c r="H87" s="83">
        <v>4</v>
      </c>
      <c r="I87" s="88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</row>
    <row r="88" spans="1:27" ht="15" x14ac:dyDescent="0.2">
      <c r="A88" s="81">
        <v>87</v>
      </c>
      <c r="B88" s="82" t="str">
        <f t="shared" si="2"/>
        <v xml:space="preserve">TRGE10 </v>
      </c>
      <c r="C88" s="86" t="s">
        <v>135</v>
      </c>
      <c r="D88" s="86" t="s">
        <v>20</v>
      </c>
      <c r="E88" s="86" t="s">
        <v>81</v>
      </c>
      <c r="F88" s="86"/>
      <c r="G88" s="117" t="s">
        <v>485</v>
      </c>
      <c r="H88" s="87">
        <v>6</v>
      </c>
      <c r="I88" s="88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</row>
    <row r="89" spans="1:27" ht="15" x14ac:dyDescent="0.2">
      <c r="A89" s="81">
        <v>88</v>
      </c>
      <c r="B89" s="82" t="str">
        <f t="shared" si="2"/>
        <v>TUGEN/A</v>
      </c>
      <c r="C89" s="82" t="s">
        <v>136</v>
      </c>
      <c r="D89" s="82" t="s">
        <v>20</v>
      </c>
      <c r="E89" s="82" t="s">
        <v>462</v>
      </c>
      <c r="F89" s="82"/>
      <c r="G89" s="116" t="s">
        <v>445</v>
      </c>
      <c r="H89" s="83">
        <v>7</v>
      </c>
      <c r="I89" s="88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</row>
    <row r="90" spans="1:27" ht="15" x14ac:dyDescent="0.2">
      <c r="A90" s="91"/>
      <c r="B90" s="86" t="str">
        <f t="shared" ref="B90:B94" si="3">UPPER(LEFT(C90,2)&amp;LEFT(D90,2)&amp;LEFT(E90,2))</f>
        <v/>
      </c>
      <c r="C90" s="128"/>
      <c r="D90" s="128"/>
      <c r="E90" s="128"/>
      <c r="F90" s="128"/>
      <c r="G90" s="122"/>
      <c r="H90" s="93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</row>
    <row r="91" spans="1:27" ht="15" x14ac:dyDescent="0.2">
      <c r="A91" s="94"/>
      <c r="B91" s="82" t="str">
        <f t="shared" si="3"/>
        <v/>
      </c>
      <c r="C91" s="129"/>
      <c r="D91" s="129"/>
      <c r="E91" s="129"/>
      <c r="F91" s="129"/>
      <c r="G91" s="133"/>
      <c r="H91" s="96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</row>
    <row r="92" spans="1:27" ht="15" x14ac:dyDescent="0.2">
      <c r="A92" s="91"/>
      <c r="B92" s="86" t="str">
        <f t="shared" si="3"/>
        <v/>
      </c>
      <c r="C92" s="128"/>
      <c r="D92" s="128"/>
      <c r="E92" s="128"/>
      <c r="F92" s="128"/>
      <c r="G92" s="122"/>
      <c r="H92" s="93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</row>
    <row r="93" spans="1:27" ht="15" x14ac:dyDescent="0.2">
      <c r="A93" s="94"/>
      <c r="B93" s="82" t="str">
        <f t="shared" si="3"/>
        <v/>
      </c>
      <c r="C93" s="129"/>
      <c r="D93" s="129"/>
      <c r="E93" s="129"/>
      <c r="F93" s="129"/>
      <c r="G93" s="133"/>
      <c r="H93" s="96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</row>
    <row r="94" spans="1:27" ht="15" x14ac:dyDescent="0.2">
      <c r="A94" s="97"/>
      <c r="B94" s="132" t="str">
        <f t="shared" si="3"/>
        <v/>
      </c>
      <c r="C94" s="130"/>
      <c r="D94" s="130"/>
      <c r="E94" s="130"/>
      <c r="F94" s="130"/>
      <c r="G94" s="134"/>
      <c r="H94" s="9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</row>
    <row r="95" spans="1:27" ht="15" x14ac:dyDescent="0.2">
      <c r="A95" s="100"/>
      <c r="B95" s="100"/>
      <c r="C95" s="101"/>
      <c r="D95" s="101"/>
      <c r="E95" s="100"/>
      <c r="F95" s="101"/>
      <c r="G95" s="101"/>
      <c r="H95" s="101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</row>
    <row r="96" spans="1:27" ht="15" x14ac:dyDescent="0.2">
      <c r="A96" s="100"/>
      <c r="B96" s="100"/>
      <c r="C96" s="101"/>
      <c r="D96" s="101"/>
      <c r="E96" s="100"/>
      <c r="F96" s="101"/>
      <c r="G96" s="101"/>
      <c r="H96" s="101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</row>
    <row r="97" spans="1:27" ht="15" x14ac:dyDescent="0.2">
      <c r="A97" s="100"/>
      <c r="B97" s="100"/>
      <c r="C97" s="101"/>
      <c r="D97" s="101"/>
      <c r="E97" s="100"/>
      <c r="F97" s="101"/>
      <c r="G97" s="101"/>
      <c r="H97" s="101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</row>
    <row r="98" spans="1:27" ht="15" x14ac:dyDescent="0.2">
      <c r="A98" s="100"/>
      <c r="B98" s="100"/>
      <c r="C98" s="101"/>
      <c r="D98" s="101"/>
      <c r="E98" s="100"/>
      <c r="F98" s="101"/>
      <c r="G98" s="101"/>
      <c r="H98" s="101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</row>
    <row r="99" spans="1:27" ht="15" x14ac:dyDescent="0.2">
      <c r="A99" s="100"/>
      <c r="B99" s="100"/>
      <c r="C99" s="101"/>
      <c r="D99" s="101"/>
      <c r="E99" s="100"/>
      <c r="F99" s="101"/>
      <c r="G99" s="101"/>
      <c r="H99" s="101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</row>
    <row r="100" spans="1:27" ht="15" x14ac:dyDescent="0.2">
      <c r="A100" s="100"/>
      <c r="B100" s="100"/>
      <c r="C100" s="101"/>
      <c r="D100" s="101"/>
      <c r="E100" s="100"/>
      <c r="F100" s="101"/>
      <c r="G100" s="101"/>
      <c r="H100" s="101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</row>
    <row r="101" spans="1:27" ht="15" x14ac:dyDescent="0.2">
      <c r="A101" s="100"/>
      <c r="B101" s="100"/>
      <c r="C101" s="101"/>
      <c r="D101" s="101"/>
      <c r="E101" s="100"/>
      <c r="F101" s="101"/>
      <c r="G101" s="101"/>
      <c r="H101" s="101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</row>
    <row r="102" spans="1:27" ht="15" x14ac:dyDescent="0.2">
      <c r="A102" s="100"/>
      <c r="B102" s="100"/>
      <c r="C102" s="101"/>
      <c r="D102" s="101"/>
      <c r="E102" s="100"/>
      <c r="F102" s="101"/>
      <c r="G102" s="101"/>
      <c r="H102" s="101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</row>
    <row r="103" spans="1:27" ht="15" x14ac:dyDescent="0.2">
      <c r="A103" s="100"/>
      <c r="B103" s="100"/>
      <c r="C103" s="101"/>
      <c r="D103" s="101"/>
      <c r="E103" s="100"/>
      <c r="F103" s="101"/>
      <c r="G103" s="101"/>
      <c r="H103" s="101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</row>
    <row r="104" spans="1:27" ht="15" x14ac:dyDescent="0.2">
      <c r="A104" s="100"/>
      <c r="B104" s="100"/>
      <c r="C104" s="101"/>
      <c r="D104" s="101"/>
      <c r="E104" s="100"/>
      <c r="F104" s="101"/>
      <c r="G104" s="101"/>
      <c r="H104" s="101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</row>
    <row r="105" spans="1:27" ht="15" x14ac:dyDescent="0.2">
      <c r="A105" s="100"/>
      <c r="B105" s="100"/>
      <c r="C105" s="101"/>
      <c r="D105" s="101"/>
      <c r="E105" s="100"/>
      <c r="F105" s="101"/>
      <c r="G105" s="101"/>
      <c r="H105" s="101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</row>
    <row r="106" spans="1:27" ht="15" x14ac:dyDescent="0.2">
      <c r="A106" s="100"/>
      <c r="B106" s="100"/>
      <c r="C106" s="101"/>
      <c r="D106" s="101"/>
      <c r="E106" s="100"/>
      <c r="F106" s="101"/>
      <c r="G106" s="101"/>
      <c r="H106" s="101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</row>
    <row r="107" spans="1:27" ht="15" x14ac:dyDescent="0.2">
      <c r="A107" s="100"/>
      <c r="B107" s="100"/>
      <c r="C107" s="101"/>
      <c r="D107" s="101"/>
      <c r="E107" s="100"/>
      <c r="F107" s="101"/>
      <c r="G107" s="101"/>
      <c r="H107" s="101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</row>
    <row r="108" spans="1:27" ht="15" x14ac:dyDescent="0.2">
      <c r="A108" s="100"/>
      <c r="B108" s="100"/>
      <c r="C108" s="101"/>
      <c r="D108" s="101"/>
      <c r="E108" s="100"/>
      <c r="F108" s="101"/>
      <c r="G108" s="101"/>
      <c r="H108" s="101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</row>
    <row r="109" spans="1:27" ht="15" x14ac:dyDescent="0.2">
      <c r="A109" s="100"/>
      <c r="B109" s="100"/>
      <c r="C109" s="101"/>
      <c r="D109" s="101"/>
      <c r="E109" s="100"/>
      <c r="F109" s="101"/>
      <c r="G109" s="101"/>
      <c r="H109" s="101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</row>
    <row r="110" spans="1:27" ht="15" x14ac:dyDescent="0.2">
      <c r="A110" s="100"/>
      <c r="B110" s="100"/>
      <c r="C110" s="101"/>
      <c r="D110" s="101"/>
      <c r="E110" s="100"/>
      <c r="F110" s="101"/>
      <c r="G110" s="101"/>
      <c r="H110" s="101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</row>
    <row r="111" spans="1:27" ht="15" x14ac:dyDescent="0.2">
      <c r="A111" s="100"/>
      <c r="B111" s="100"/>
      <c r="C111" s="101"/>
      <c r="D111" s="101"/>
      <c r="E111" s="100"/>
      <c r="F111" s="101"/>
      <c r="G111" s="101"/>
      <c r="H111" s="101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</row>
    <row r="112" spans="1:27" ht="15" x14ac:dyDescent="0.2">
      <c r="A112" s="100"/>
      <c r="B112" s="100"/>
      <c r="C112" s="101"/>
      <c r="D112" s="101"/>
      <c r="E112" s="100"/>
      <c r="F112" s="101"/>
      <c r="G112" s="101"/>
      <c r="H112" s="101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</row>
    <row r="113" spans="1:27" ht="15" x14ac:dyDescent="0.2">
      <c r="A113" s="100"/>
      <c r="B113" s="100"/>
      <c r="C113" s="101"/>
      <c r="D113" s="101"/>
      <c r="E113" s="100"/>
      <c r="F113" s="101"/>
      <c r="G113" s="101"/>
      <c r="H113" s="101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</row>
    <row r="114" spans="1:27" ht="15" x14ac:dyDescent="0.2">
      <c r="A114" s="100"/>
      <c r="B114" s="100"/>
      <c r="C114" s="101"/>
      <c r="D114" s="101"/>
      <c r="E114" s="100"/>
      <c r="F114" s="101"/>
      <c r="G114" s="101"/>
      <c r="H114" s="101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</row>
    <row r="115" spans="1:27" ht="15" x14ac:dyDescent="0.2">
      <c r="A115" s="100"/>
      <c r="B115" s="100"/>
      <c r="C115" s="101"/>
      <c r="D115" s="101"/>
      <c r="E115" s="100"/>
      <c r="F115" s="101"/>
      <c r="G115" s="101"/>
      <c r="H115" s="101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</row>
    <row r="116" spans="1:27" ht="15" x14ac:dyDescent="0.2">
      <c r="A116" s="100"/>
      <c r="B116" s="100"/>
      <c r="C116" s="101"/>
      <c r="D116" s="101"/>
      <c r="E116" s="100"/>
      <c r="F116" s="101"/>
      <c r="G116" s="101"/>
      <c r="H116" s="101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</row>
    <row r="117" spans="1:27" ht="15" x14ac:dyDescent="0.2">
      <c r="A117" s="100"/>
      <c r="B117" s="100"/>
      <c r="C117" s="101"/>
      <c r="D117" s="101"/>
      <c r="E117" s="100"/>
      <c r="F117" s="101"/>
      <c r="G117" s="101"/>
      <c r="H117" s="101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</row>
    <row r="118" spans="1:27" ht="15" x14ac:dyDescent="0.2">
      <c r="A118" s="100"/>
      <c r="B118" s="100"/>
      <c r="C118" s="101"/>
      <c r="D118" s="101"/>
      <c r="E118" s="100"/>
      <c r="F118" s="101"/>
      <c r="G118" s="101"/>
      <c r="H118" s="101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</row>
    <row r="119" spans="1:27" ht="15" x14ac:dyDescent="0.2">
      <c r="A119" s="100"/>
      <c r="B119" s="100"/>
      <c r="C119" s="101"/>
      <c r="D119" s="101"/>
      <c r="E119" s="100"/>
      <c r="F119" s="101"/>
      <c r="G119" s="101"/>
      <c r="H119" s="101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</row>
    <row r="120" spans="1:27" ht="15" x14ac:dyDescent="0.2">
      <c r="A120" s="100"/>
      <c r="B120" s="100"/>
      <c r="C120" s="101"/>
      <c r="D120" s="101"/>
      <c r="E120" s="100"/>
      <c r="F120" s="101"/>
      <c r="G120" s="101"/>
      <c r="H120" s="101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</row>
    <row r="121" spans="1:27" ht="15" x14ac:dyDescent="0.2">
      <c r="A121" s="100"/>
      <c r="B121" s="100"/>
      <c r="C121" s="101"/>
      <c r="D121" s="101"/>
      <c r="E121" s="100"/>
      <c r="F121" s="101"/>
      <c r="G121" s="101"/>
      <c r="H121" s="101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</row>
    <row r="122" spans="1:27" ht="15" x14ac:dyDescent="0.2">
      <c r="A122" s="100"/>
      <c r="B122" s="100"/>
      <c r="C122" s="101"/>
      <c r="D122" s="101"/>
      <c r="E122" s="100"/>
      <c r="F122" s="101"/>
      <c r="G122" s="101"/>
      <c r="H122" s="101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</row>
    <row r="123" spans="1:27" ht="15" x14ac:dyDescent="0.2">
      <c r="A123" s="100"/>
      <c r="B123" s="100"/>
      <c r="C123" s="101"/>
      <c r="D123" s="101"/>
      <c r="E123" s="100"/>
      <c r="F123" s="101"/>
      <c r="G123" s="101"/>
      <c r="H123" s="101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</row>
    <row r="124" spans="1:27" ht="15" x14ac:dyDescent="0.2">
      <c r="A124" s="100"/>
      <c r="B124" s="100"/>
      <c r="C124" s="101"/>
      <c r="D124" s="101"/>
      <c r="E124" s="100"/>
      <c r="F124" s="101"/>
      <c r="G124" s="101"/>
      <c r="H124" s="101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</row>
    <row r="125" spans="1:27" ht="15" x14ac:dyDescent="0.2">
      <c r="A125" s="100"/>
      <c r="B125" s="100"/>
      <c r="C125" s="101"/>
      <c r="D125" s="101"/>
      <c r="E125" s="100"/>
      <c r="F125" s="101"/>
      <c r="G125" s="101"/>
      <c r="H125" s="101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</row>
    <row r="126" spans="1:27" ht="15" x14ac:dyDescent="0.2">
      <c r="A126" s="100"/>
      <c r="B126" s="100"/>
      <c r="C126" s="101"/>
      <c r="D126" s="101"/>
      <c r="E126" s="100"/>
      <c r="F126" s="101"/>
      <c r="G126" s="101"/>
      <c r="H126" s="101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</row>
    <row r="127" spans="1:27" ht="15" x14ac:dyDescent="0.2">
      <c r="A127" s="100"/>
      <c r="B127" s="100"/>
      <c r="C127" s="101"/>
      <c r="D127" s="101"/>
      <c r="E127" s="100"/>
      <c r="F127" s="101"/>
      <c r="G127" s="101"/>
      <c r="H127" s="101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</row>
    <row r="128" spans="1:27" ht="15" x14ac:dyDescent="0.2">
      <c r="A128" s="100"/>
      <c r="B128" s="100"/>
      <c r="C128" s="101"/>
      <c r="D128" s="101"/>
      <c r="E128" s="100"/>
      <c r="F128" s="101"/>
      <c r="G128" s="101"/>
      <c r="H128" s="101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</row>
    <row r="129" spans="1:27" ht="15" x14ac:dyDescent="0.2">
      <c r="A129" s="100"/>
      <c r="B129" s="100"/>
      <c r="C129" s="101"/>
      <c r="D129" s="101"/>
      <c r="E129" s="100"/>
      <c r="F129" s="101"/>
      <c r="G129" s="101"/>
      <c r="H129" s="101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</row>
    <row r="130" spans="1:27" ht="15" x14ac:dyDescent="0.2">
      <c r="A130" s="100"/>
      <c r="B130" s="100"/>
      <c r="C130" s="101"/>
      <c r="D130" s="101"/>
      <c r="E130" s="100"/>
      <c r="F130" s="101"/>
      <c r="G130" s="101"/>
      <c r="H130" s="101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</row>
    <row r="131" spans="1:27" ht="15" x14ac:dyDescent="0.2">
      <c r="A131" s="100"/>
      <c r="B131" s="100"/>
      <c r="C131" s="101"/>
      <c r="D131" s="101"/>
      <c r="E131" s="100"/>
      <c r="F131" s="101"/>
      <c r="G131" s="101"/>
      <c r="H131" s="101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</row>
    <row r="132" spans="1:27" ht="15" x14ac:dyDescent="0.2">
      <c r="A132" s="100"/>
      <c r="B132" s="100"/>
      <c r="C132" s="101"/>
      <c r="D132" s="101"/>
      <c r="E132" s="100"/>
      <c r="F132" s="101"/>
      <c r="G132" s="101"/>
      <c r="H132" s="101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</row>
    <row r="133" spans="1:27" ht="15" x14ac:dyDescent="0.2">
      <c r="A133" s="100"/>
      <c r="B133" s="100"/>
      <c r="C133" s="101"/>
      <c r="D133" s="101"/>
      <c r="E133" s="100"/>
      <c r="F133" s="101"/>
      <c r="G133" s="101"/>
      <c r="H133" s="101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</row>
    <row r="134" spans="1:27" ht="15" x14ac:dyDescent="0.2">
      <c r="A134" s="100"/>
      <c r="B134" s="100"/>
      <c r="C134" s="101"/>
      <c r="D134" s="101"/>
      <c r="E134" s="100"/>
      <c r="F134" s="101"/>
      <c r="G134" s="101"/>
      <c r="H134" s="101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</row>
    <row r="135" spans="1:27" ht="15" x14ac:dyDescent="0.2">
      <c r="A135" s="100"/>
      <c r="B135" s="100"/>
      <c r="C135" s="101"/>
      <c r="D135" s="101"/>
      <c r="E135" s="100"/>
      <c r="F135" s="101"/>
      <c r="G135" s="101"/>
      <c r="H135" s="101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</row>
    <row r="136" spans="1:27" ht="15" x14ac:dyDescent="0.2">
      <c r="A136" s="100"/>
      <c r="B136" s="100"/>
      <c r="C136" s="101"/>
      <c r="D136" s="101"/>
      <c r="E136" s="100"/>
      <c r="F136" s="101"/>
      <c r="G136" s="101"/>
      <c r="H136" s="101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</row>
    <row r="137" spans="1:27" ht="15" x14ac:dyDescent="0.2">
      <c r="A137" s="100"/>
      <c r="B137" s="100"/>
      <c r="C137" s="101"/>
      <c r="D137" s="101"/>
      <c r="E137" s="100"/>
      <c r="F137" s="101"/>
      <c r="G137" s="101"/>
      <c r="H137" s="101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</row>
    <row r="138" spans="1:27" ht="15" x14ac:dyDescent="0.2">
      <c r="A138" s="100"/>
      <c r="B138" s="100"/>
      <c r="C138" s="101"/>
      <c r="D138" s="101"/>
      <c r="E138" s="100"/>
      <c r="F138" s="101"/>
      <c r="G138" s="101"/>
      <c r="H138" s="101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</row>
    <row r="139" spans="1:27" ht="15" x14ac:dyDescent="0.2">
      <c r="A139" s="100"/>
      <c r="B139" s="100"/>
      <c r="C139" s="101"/>
      <c r="D139" s="101"/>
      <c r="E139" s="100"/>
      <c r="F139" s="101"/>
      <c r="G139" s="101"/>
      <c r="H139" s="101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</row>
    <row r="140" spans="1:27" ht="15" x14ac:dyDescent="0.2">
      <c r="A140" s="100"/>
      <c r="B140" s="100"/>
      <c r="C140" s="101"/>
      <c r="D140" s="101"/>
      <c r="E140" s="100"/>
      <c r="F140" s="101"/>
      <c r="G140" s="101"/>
      <c r="H140" s="101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</row>
    <row r="141" spans="1:27" ht="15" x14ac:dyDescent="0.2">
      <c r="A141" s="100"/>
      <c r="B141" s="100"/>
      <c r="C141" s="101"/>
      <c r="D141" s="101"/>
      <c r="E141" s="100"/>
      <c r="F141" s="101"/>
      <c r="G141" s="101"/>
      <c r="H141" s="101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</row>
    <row r="142" spans="1:27" ht="15" x14ac:dyDescent="0.2">
      <c r="A142" s="100"/>
      <c r="B142" s="100"/>
      <c r="C142" s="101"/>
      <c r="D142" s="101"/>
      <c r="E142" s="100"/>
      <c r="F142" s="101"/>
      <c r="G142" s="101"/>
      <c r="H142" s="101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</row>
    <row r="143" spans="1:27" ht="15" x14ac:dyDescent="0.2">
      <c r="A143" s="100"/>
      <c r="B143" s="100"/>
      <c r="C143" s="101"/>
      <c r="D143" s="101"/>
      <c r="E143" s="100"/>
      <c r="F143" s="101"/>
      <c r="G143" s="101"/>
      <c r="H143" s="101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</row>
    <row r="144" spans="1:27" ht="15" x14ac:dyDescent="0.2">
      <c r="A144" s="100"/>
      <c r="B144" s="100"/>
      <c r="C144" s="101"/>
      <c r="D144" s="101"/>
      <c r="E144" s="100"/>
      <c r="F144" s="101"/>
      <c r="G144" s="101"/>
      <c r="H144" s="101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</row>
    <row r="145" spans="1:27" ht="15" x14ac:dyDescent="0.2">
      <c r="A145" s="100"/>
      <c r="B145" s="100"/>
      <c r="C145" s="101"/>
      <c r="D145" s="101"/>
      <c r="E145" s="100"/>
      <c r="F145" s="101"/>
      <c r="G145" s="101"/>
      <c r="H145" s="101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</row>
    <row r="146" spans="1:27" ht="15" x14ac:dyDescent="0.2">
      <c r="A146" s="100"/>
      <c r="B146" s="100"/>
      <c r="C146" s="101"/>
      <c r="D146" s="101"/>
      <c r="E146" s="100"/>
      <c r="F146" s="101"/>
      <c r="G146" s="101"/>
      <c r="H146" s="101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</row>
    <row r="147" spans="1:27" ht="15" x14ac:dyDescent="0.2">
      <c r="A147" s="100"/>
      <c r="B147" s="100"/>
      <c r="C147" s="101"/>
      <c r="D147" s="101"/>
      <c r="E147" s="100"/>
      <c r="F147" s="101"/>
      <c r="G147" s="101"/>
      <c r="H147" s="101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</row>
    <row r="148" spans="1:27" ht="15" x14ac:dyDescent="0.2">
      <c r="A148" s="100"/>
      <c r="B148" s="100"/>
      <c r="C148" s="101"/>
      <c r="D148" s="101"/>
      <c r="E148" s="100"/>
      <c r="F148" s="101"/>
      <c r="G148" s="101"/>
      <c r="H148" s="101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</row>
    <row r="149" spans="1:27" ht="15" x14ac:dyDescent="0.2">
      <c r="A149" s="100"/>
      <c r="B149" s="100"/>
      <c r="C149" s="101"/>
      <c r="D149" s="101"/>
      <c r="E149" s="100"/>
      <c r="F149" s="101"/>
      <c r="G149" s="101"/>
      <c r="H149" s="101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</row>
    <row r="150" spans="1:27" ht="15" x14ac:dyDescent="0.2">
      <c r="A150" s="100"/>
      <c r="B150" s="100"/>
      <c r="C150" s="101"/>
      <c r="D150" s="101"/>
      <c r="E150" s="100"/>
      <c r="F150" s="101"/>
      <c r="G150" s="101"/>
      <c r="H150" s="101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</row>
    <row r="151" spans="1:27" ht="15" x14ac:dyDescent="0.2">
      <c r="A151" s="100"/>
      <c r="B151" s="100"/>
      <c r="C151" s="101"/>
      <c r="D151" s="101"/>
      <c r="E151" s="100"/>
      <c r="F151" s="101"/>
      <c r="G151" s="101"/>
      <c r="H151" s="101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</row>
    <row r="152" spans="1:27" ht="15" x14ac:dyDescent="0.2">
      <c r="A152" s="100"/>
      <c r="B152" s="100"/>
      <c r="C152" s="101"/>
      <c r="D152" s="101"/>
      <c r="E152" s="100"/>
      <c r="F152" s="101"/>
      <c r="G152" s="101"/>
      <c r="H152" s="101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</row>
    <row r="153" spans="1:27" ht="15" x14ac:dyDescent="0.2">
      <c r="A153" s="100"/>
      <c r="B153" s="100"/>
      <c r="C153" s="101"/>
      <c r="D153" s="101"/>
      <c r="E153" s="100"/>
      <c r="F153" s="101"/>
      <c r="G153" s="101"/>
      <c r="H153" s="101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</row>
    <row r="154" spans="1:27" ht="15" x14ac:dyDescent="0.2">
      <c r="A154" s="100"/>
      <c r="B154" s="100"/>
      <c r="C154" s="101"/>
      <c r="D154" s="101"/>
      <c r="E154" s="100"/>
      <c r="F154" s="101"/>
      <c r="G154" s="101"/>
      <c r="H154" s="101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</row>
    <row r="155" spans="1:27" ht="15" x14ac:dyDescent="0.2">
      <c r="A155" s="100"/>
      <c r="B155" s="100"/>
      <c r="C155" s="101"/>
      <c r="D155" s="101"/>
      <c r="E155" s="100"/>
      <c r="F155" s="101"/>
      <c r="G155" s="101"/>
      <c r="H155" s="101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</row>
    <row r="156" spans="1:27" ht="15" x14ac:dyDescent="0.2">
      <c r="A156" s="100"/>
      <c r="B156" s="100"/>
      <c r="C156" s="101"/>
      <c r="D156" s="101"/>
      <c r="E156" s="100"/>
      <c r="F156" s="101"/>
      <c r="G156" s="101"/>
      <c r="H156" s="101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</row>
    <row r="157" spans="1:27" ht="15" x14ac:dyDescent="0.2">
      <c r="A157" s="100"/>
      <c r="B157" s="100"/>
      <c r="C157" s="101"/>
      <c r="D157" s="101"/>
      <c r="E157" s="100"/>
      <c r="F157" s="101"/>
      <c r="G157" s="101"/>
      <c r="H157" s="101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</row>
    <row r="158" spans="1:27" ht="15" x14ac:dyDescent="0.2">
      <c r="A158" s="100"/>
      <c r="B158" s="100"/>
      <c r="C158" s="101"/>
      <c r="D158" s="101"/>
      <c r="E158" s="100"/>
      <c r="F158" s="101"/>
      <c r="G158" s="101"/>
      <c r="H158" s="101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</row>
    <row r="159" spans="1:27" ht="15" x14ac:dyDescent="0.2">
      <c r="A159" s="100"/>
      <c r="B159" s="100"/>
      <c r="C159" s="101"/>
      <c r="D159" s="101"/>
      <c r="E159" s="100"/>
      <c r="F159" s="101"/>
      <c r="G159" s="101"/>
      <c r="H159" s="101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</row>
    <row r="160" spans="1:27" ht="15" x14ac:dyDescent="0.2">
      <c r="A160" s="100"/>
      <c r="B160" s="100"/>
      <c r="C160" s="101"/>
      <c r="D160" s="101"/>
      <c r="E160" s="100"/>
      <c r="F160" s="101"/>
      <c r="G160" s="101"/>
      <c r="H160" s="101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</row>
    <row r="161" spans="1:27" ht="15" x14ac:dyDescent="0.2">
      <c r="A161" s="100"/>
      <c r="B161" s="100"/>
      <c r="C161" s="101"/>
      <c r="D161" s="101"/>
      <c r="E161" s="100"/>
      <c r="F161" s="101"/>
      <c r="G161" s="101"/>
      <c r="H161" s="101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</row>
    <row r="162" spans="1:27" ht="15" x14ac:dyDescent="0.2">
      <c r="A162" s="100"/>
      <c r="B162" s="100"/>
      <c r="C162" s="101"/>
      <c r="D162" s="101"/>
      <c r="E162" s="100"/>
      <c r="F162" s="101"/>
      <c r="G162" s="101"/>
      <c r="H162" s="101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</row>
    <row r="163" spans="1:27" ht="15" x14ac:dyDescent="0.2">
      <c r="A163" s="100"/>
      <c r="B163" s="100"/>
      <c r="C163" s="101"/>
      <c r="D163" s="101"/>
      <c r="E163" s="100"/>
      <c r="F163" s="101"/>
      <c r="G163" s="101"/>
      <c r="H163" s="101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</row>
    <row r="164" spans="1:27" ht="15" x14ac:dyDescent="0.2">
      <c r="A164" s="100"/>
      <c r="B164" s="100"/>
      <c r="C164" s="101"/>
      <c r="D164" s="101"/>
      <c r="E164" s="100"/>
      <c r="F164" s="101"/>
      <c r="G164" s="101"/>
      <c r="H164" s="101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</row>
    <row r="165" spans="1:27" ht="15" x14ac:dyDescent="0.2">
      <c r="A165" s="100"/>
      <c r="B165" s="100"/>
      <c r="C165" s="101"/>
      <c r="D165" s="101"/>
      <c r="E165" s="100"/>
      <c r="F165" s="101"/>
      <c r="G165" s="101"/>
      <c r="H165" s="101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</row>
    <row r="166" spans="1:27" ht="15" x14ac:dyDescent="0.2">
      <c r="A166" s="100"/>
      <c r="B166" s="100"/>
      <c r="C166" s="101"/>
      <c r="D166" s="101"/>
      <c r="E166" s="100"/>
      <c r="F166" s="101"/>
      <c r="G166" s="101"/>
      <c r="H166" s="101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</row>
    <row r="167" spans="1:27" ht="15" x14ac:dyDescent="0.2">
      <c r="A167" s="100"/>
      <c r="B167" s="100"/>
      <c r="C167" s="101"/>
      <c r="D167" s="101"/>
      <c r="E167" s="100"/>
      <c r="F167" s="101"/>
      <c r="G167" s="101"/>
      <c r="H167" s="101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</row>
    <row r="168" spans="1:27" ht="15" x14ac:dyDescent="0.2">
      <c r="A168" s="100"/>
      <c r="B168" s="100"/>
      <c r="C168" s="101"/>
      <c r="D168" s="101"/>
      <c r="E168" s="100"/>
      <c r="F168" s="101"/>
      <c r="G168" s="101"/>
      <c r="H168" s="101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</row>
    <row r="169" spans="1:27" ht="15" x14ac:dyDescent="0.2">
      <c r="A169" s="100"/>
      <c r="B169" s="100"/>
      <c r="C169" s="101"/>
      <c r="D169" s="101"/>
      <c r="E169" s="100"/>
      <c r="F169" s="101"/>
      <c r="G169" s="101"/>
      <c r="H169" s="101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</row>
    <row r="170" spans="1:27" ht="15" x14ac:dyDescent="0.2">
      <c r="A170" s="100"/>
      <c r="B170" s="100"/>
      <c r="C170" s="101"/>
      <c r="D170" s="101"/>
      <c r="E170" s="100"/>
      <c r="F170" s="101"/>
      <c r="G170" s="101"/>
      <c r="H170" s="101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</row>
    <row r="171" spans="1:27" ht="15" x14ac:dyDescent="0.2">
      <c r="A171" s="100"/>
      <c r="B171" s="100"/>
      <c r="C171" s="101"/>
      <c r="D171" s="101"/>
      <c r="E171" s="100"/>
      <c r="F171" s="101"/>
      <c r="G171" s="101"/>
      <c r="H171" s="101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</row>
    <row r="172" spans="1:27" ht="15" x14ac:dyDescent="0.2">
      <c r="A172" s="100"/>
      <c r="B172" s="100"/>
      <c r="C172" s="101"/>
      <c r="D172" s="101"/>
      <c r="E172" s="100"/>
      <c r="F172" s="101"/>
      <c r="G172" s="101"/>
      <c r="H172" s="101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</row>
    <row r="173" spans="1:27" ht="15" x14ac:dyDescent="0.2">
      <c r="A173" s="100"/>
      <c r="B173" s="100"/>
      <c r="C173" s="101"/>
      <c r="D173" s="101"/>
      <c r="E173" s="100"/>
      <c r="F173" s="101"/>
      <c r="G173" s="101"/>
      <c r="H173" s="101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</row>
    <row r="174" spans="1:27" ht="15" x14ac:dyDescent="0.2">
      <c r="A174" s="100"/>
      <c r="B174" s="100"/>
      <c r="C174" s="101"/>
      <c r="D174" s="101"/>
      <c r="E174" s="100"/>
      <c r="F174" s="101"/>
      <c r="G174" s="101"/>
      <c r="H174" s="101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</row>
    <row r="175" spans="1:27" ht="15" x14ac:dyDescent="0.2">
      <c r="A175" s="100"/>
      <c r="B175" s="100"/>
      <c r="C175" s="101"/>
      <c r="D175" s="101"/>
      <c r="E175" s="100"/>
      <c r="F175" s="101"/>
      <c r="G175" s="101"/>
      <c r="H175" s="101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</row>
    <row r="176" spans="1:27" ht="15" x14ac:dyDescent="0.2">
      <c r="A176" s="100"/>
      <c r="B176" s="100"/>
      <c r="C176" s="101"/>
      <c r="D176" s="101"/>
      <c r="E176" s="100"/>
      <c r="F176" s="101"/>
      <c r="G176" s="101"/>
      <c r="H176" s="101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</row>
    <row r="177" spans="1:27" ht="15" x14ac:dyDescent="0.2">
      <c r="A177" s="100"/>
      <c r="B177" s="100"/>
      <c r="C177" s="101"/>
      <c r="D177" s="101"/>
      <c r="E177" s="100"/>
      <c r="F177" s="101"/>
      <c r="G177" s="101"/>
      <c r="H177" s="101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</row>
    <row r="178" spans="1:27" ht="15" x14ac:dyDescent="0.2">
      <c r="A178" s="100"/>
      <c r="B178" s="100"/>
      <c r="C178" s="101"/>
      <c r="D178" s="101"/>
      <c r="E178" s="100"/>
      <c r="F178" s="101"/>
      <c r="G178" s="101"/>
      <c r="H178" s="101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</row>
    <row r="179" spans="1:27" ht="15" x14ac:dyDescent="0.2">
      <c r="A179" s="100"/>
      <c r="B179" s="100"/>
      <c r="C179" s="101"/>
      <c r="D179" s="101"/>
      <c r="E179" s="100"/>
      <c r="F179" s="101"/>
      <c r="G179" s="101"/>
      <c r="H179" s="101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</row>
    <row r="180" spans="1:27" ht="15" x14ac:dyDescent="0.2">
      <c r="A180" s="100"/>
      <c r="B180" s="100"/>
      <c r="C180" s="101"/>
      <c r="D180" s="101"/>
      <c r="E180" s="100"/>
      <c r="F180" s="101"/>
      <c r="G180" s="101"/>
      <c r="H180" s="101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</row>
    <row r="181" spans="1:27" ht="15" x14ac:dyDescent="0.2">
      <c r="A181" s="100"/>
      <c r="B181" s="100"/>
      <c r="C181" s="101"/>
      <c r="D181" s="101"/>
      <c r="E181" s="100"/>
      <c r="F181" s="101"/>
      <c r="G181" s="101"/>
      <c r="H181" s="101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</row>
    <row r="182" spans="1:27" ht="15" x14ac:dyDescent="0.2">
      <c r="A182" s="100"/>
      <c r="B182" s="100"/>
      <c r="C182" s="101"/>
      <c r="D182" s="101"/>
      <c r="E182" s="100"/>
      <c r="F182" s="101"/>
      <c r="G182" s="101"/>
      <c r="H182" s="101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</row>
    <row r="183" spans="1:27" ht="15" x14ac:dyDescent="0.2">
      <c r="A183" s="100"/>
      <c r="B183" s="100"/>
      <c r="C183" s="101"/>
      <c r="D183" s="101"/>
      <c r="E183" s="100"/>
      <c r="F183" s="101"/>
      <c r="G183" s="101"/>
      <c r="H183" s="101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</row>
    <row r="184" spans="1:27" ht="15" x14ac:dyDescent="0.2">
      <c r="A184" s="100"/>
      <c r="B184" s="100"/>
      <c r="C184" s="101"/>
      <c r="D184" s="101"/>
      <c r="E184" s="100"/>
      <c r="F184" s="101"/>
      <c r="G184" s="101"/>
      <c r="H184" s="101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</row>
    <row r="185" spans="1:27" ht="15" x14ac:dyDescent="0.2">
      <c r="A185" s="100"/>
      <c r="B185" s="100"/>
      <c r="C185" s="101"/>
      <c r="D185" s="101"/>
      <c r="E185" s="100"/>
      <c r="F185" s="101"/>
      <c r="G185" s="101"/>
      <c r="H185" s="101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</row>
    <row r="186" spans="1:27" ht="15" x14ac:dyDescent="0.2">
      <c r="A186" s="100"/>
      <c r="B186" s="100"/>
      <c r="C186" s="101"/>
      <c r="D186" s="101"/>
      <c r="E186" s="100"/>
      <c r="F186" s="101"/>
      <c r="G186" s="101"/>
      <c r="H186" s="101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</row>
    <row r="187" spans="1:27" ht="15" x14ac:dyDescent="0.2">
      <c r="A187" s="100"/>
      <c r="B187" s="100"/>
      <c r="C187" s="101"/>
      <c r="D187" s="101"/>
      <c r="E187" s="100"/>
      <c r="F187" s="101"/>
      <c r="G187" s="101"/>
      <c r="H187" s="101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</row>
    <row r="188" spans="1:27" ht="15" x14ac:dyDescent="0.2">
      <c r="A188" s="100"/>
      <c r="B188" s="100"/>
      <c r="C188" s="101"/>
      <c r="D188" s="101"/>
      <c r="E188" s="100"/>
      <c r="F188" s="101"/>
      <c r="G188" s="101"/>
      <c r="H188" s="101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</row>
    <row r="189" spans="1:27" ht="15" x14ac:dyDescent="0.2">
      <c r="A189" s="100"/>
      <c r="B189" s="100"/>
      <c r="C189" s="101"/>
      <c r="D189" s="101"/>
      <c r="E189" s="100"/>
      <c r="F189" s="101"/>
      <c r="G189" s="101"/>
      <c r="H189" s="101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</row>
    <row r="190" spans="1:27" ht="15" x14ac:dyDescent="0.2">
      <c r="A190" s="100"/>
      <c r="B190" s="100"/>
      <c r="C190" s="101"/>
      <c r="D190" s="101"/>
      <c r="E190" s="100"/>
      <c r="F190" s="101"/>
      <c r="G190" s="101"/>
      <c r="H190" s="101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</row>
    <row r="191" spans="1:27" ht="15" x14ac:dyDescent="0.2">
      <c r="A191" s="100"/>
      <c r="B191" s="100"/>
      <c r="C191" s="101"/>
      <c r="D191" s="101"/>
      <c r="E191" s="100"/>
      <c r="F191" s="101"/>
      <c r="G191" s="101"/>
      <c r="H191" s="101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</row>
    <row r="192" spans="1:27" ht="15" x14ac:dyDescent="0.2">
      <c r="A192" s="100"/>
      <c r="B192" s="100"/>
      <c r="C192" s="101"/>
      <c r="D192" s="101"/>
      <c r="E192" s="100"/>
      <c r="F192" s="101"/>
      <c r="G192" s="101"/>
      <c r="H192" s="101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</row>
    <row r="193" spans="1:27" ht="15" x14ac:dyDescent="0.2">
      <c r="A193" s="100"/>
      <c r="B193" s="100"/>
      <c r="C193" s="101"/>
      <c r="D193" s="101"/>
      <c r="E193" s="100"/>
      <c r="F193" s="101"/>
      <c r="G193" s="101"/>
      <c r="H193" s="101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</row>
    <row r="194" spans="1:27" ht="15" x14ac:dyDescent="0.2">
      <c r="A194" s="100"/>
      <c r="B194" s="100"/>
      <c r="C194" s="101"/>
      <c r="D194" s="101"/>
      <c r="E194" s="100"/>
      <c r="F194" s="101"/>
      <c r="G194" s="101"/>
      <c r="H194" s="101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</row>
    <row r="195" spans="1:27" ht="15" x14ac:dyDescent="0.2">
      <c r="A195" s="100"/>
      <c r="B195" s="100"/>
      <c r="C195" s="101"/>
      <c r="D195" s="101"/>
      <c r="E195" s="100"/>
      <c r="F195" s="101"/>
      <c r="G195" s="101"/>
      <c r="H195" s="101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</row>
    <row r="196" spans="1:27" ht="15" x14ac:dyDescent="0.2">
      <c r="A196" s="100"/>
      <c r="B196" s="100"/>
      <c r="C196" s="101"/>
      <c r="D196" s="101"/>
      <c r="E196" s="100"/>
      <c r="F196" s="101"/>
      <c r="G196" s="101"/>
      <c r="H196" s="101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</row>
    <row r="197" spans="1:27" ht="15" x14ac:dyDescent="0.2">
      <c r="A197" s="100"/>
      <c r="B197" s="100"/>
      <c r="C197" s="101"/>
      <c r="D197" s="101"/>
      <c r="E197" s="100"/>
      <c r="F197" s="101"/>
      <c r="G197" s="101"/>
      <c r="H197" s="101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</row>
    <row r="198" spans="1:27" ht="15" x14ac:dyDescent="0.2">
      <c r="A198" s="100"/>
      <c r="B198" s="100"/>
      <c r="C198" s="101"/>
      <c r="D198" s="101"/>
      <c r="E198" s="100"/>
      <c r="F198" s="101"/>
      <c r="G198" s="101"/>
      <c r="H198" s="101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</row>
    <row r="199" spans="1:27" ht="15" x14ac:dyDescent="0.2">
      <c r="A199" s="100"/>
      <c r="B199" s="100"/>
      <c r="C199" s="101"/>
      <c r="D199" s="101"/>
      <c r="E199" s="100"/>
      <c r="F199" s="101"/>
      <c r="G199" s="101"/>
      <c r="H199" s="101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</row>
    <row r="200" spans="1:27" ht="15" x14ac:dyDescent="0.2">
      <c r="A200" s="100"/>
      <c r="B200" s="100"/>
      <c r="C200" s="101"/>
      <c r="D200" s="101"/>
      <c r="E200" s="100"/>
      <c r="F200" s="101"/>
      <c r="G200" s="101"/>
      <c r="H200" s="101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</row>
    <row r="201" spans="1:27" ht="15" x14ac:dyDescent="0.2">
      <c r="A201" s="100"/>
      <c r="B201" s="100"/>
      <c r="C201" s="101"/>
      <c r="D201" s="101"/>
      <c r="E201" s="100"/>
      <c r="F201" s="101"/>
      <c r="G201" s="101"/>
      <c r="H201" s="101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</row>
    <row r="202" spans="1:27" ht="15" x14ac:dyDescent="0.2">
      <c r="A202" s="100"/>
      <c r="B202" s="100"/>
      <c r="C202" s="101"/>
      <c r="D202" s="101"/>
      <c r="E202" s="100"/>
      <c r="F202" s="101"/>
      <c r="G202" s="101"/>
      <c r="H202" s="101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</row>
    <row r="203" spans="1:27" ht="15" x14ac:dyDescent="0.2">
      <c r="A203" s="100"/>
      <c r="B203" s="100"/>
      <c r="C203" s="101"/>
      <c r="D203" s="101"/>
      <c r="E203" s="100"/>
      <c r="F203" s="101"/>
      <c r="G203" s="101"/>
      <c r="H203" s="101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</row>
    <row r="204" spans="1:27" ht="15" x14ac:dyDescent="0.2">
      <c r="A204" s="100"/>
      <c r="B204" s="100"/>
      <c r="C204" s="101"/>
      <c r="D204" s="101"/>
      <c r="E204" s="100"/>
      <c r="F204" s="101"/>
      <c r="G204" s="101"/>
      <c r="H204" s="101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</row>
    <row r="205" spans="1:27" ht="15" x14ac:dyDescent="0.2">
      <c r="A205" s="100"/>
      <c r="B205" s="100"/>
      <c r="C205" s="101"/>
      <c r="D205" s="101"/>
      <c r="E205" s="100"/>
      <c r="F205" s="101"/>
      <c r="G205" s="101"/>
      <c r="H205" s="101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</row>
    <row r="206" spans="1:27" ht="15" x14ac:dyDescent="0.2">
      <c r="A206" s="100"/>
      <c r="B206" s="100"/>
      <c r="C206" s="101"/>
      <c r="D206" s="101"/>
      <c r="E206" s="100"/>
      <c r="F206" s="101"/>
      <c r="G206" s="101"/>
      <c r="H206" s="101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</row>
    <row r="207" spans="1:27" ht="15" x14ac:dyDescent="0.2">
      <c r="A207" s="100"/>
      <c r="B207" s="100"/>
      <c r="C207" s="101"/>
      <c r="D207" s="101"/>
      <c r="E207" s="100"/>
      <c r="F207" s="101"/>
      <c r="G207" s="101"/>
      <c r="H207" s="101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</row>
    <row r="208" spans="1:27" ht="15" x14ac:dyDescent="0.2">
      <c r="A208" s="100"/>
      <c r="B208" s="100"/>
      <c r="C208" s="101"/>
      <c r="D208" s="101"/>
      <c r="E208" s="100"/>
      <c r="F208" s="101"/>
      <c r="G208" s="101"/>
      <c r="H208" s="101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</row>
    <row r="209" spans="1:27" ht="15" x14ac:dyDescent="0.2">
      <c r="A209" s="100"/>
      <c r="B209" s="100"/>
      <c r="C209" s="101"/>
      <c r="D209" s="101"/>
      <c r="E209" s="100"/>
      <c r="F209" s="101"/>
      <c r="G209" s="101"/>
      <c r="H209" s="101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</row>
    <row r="210" spans="1:27" ht="15" x14ac:dyDescent="0.2">
      <c r="A210" s="100"/>
      <c r="B210" s="100"/>
      <c r="C210" s="101"/>
      <c r="D210" s="101"/>
      <c r="E210" s="100"/>
      <c r="F210" s="101"/>
      <c r="G210" s="101"/>
      <c r="H210" s="101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</row>
    <row r="211" spans="1:27" ht="15" x14ac:dyDescent="0.2">
      <c r="A211" s="100"/>
      <c r="B211" s="100"/>
      <c r="C211" s="101"/>
      <c r="D211" s="101"/>
      <c r="E211" s="100"/>
      <c r="F211" s="101"/>
      <c r="G211" s="101"/>
      <c r="H211" s="101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</row>
    <row r="212" spans="1:27" ht="15" x14ac:dyDescent="0.2">
      <c r="A212" s="100"/>
      <c r="B212" s="100"/>
      <c r="C212" s="101"/>
      <c r="D212" s="101"/>
      <c r="E212" s="100"/>
      <c r="F212" s="101"/>
      <c r="G212" s="101"/>
      <c r="H212" s="101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</row>
    <row r="213" spans="1:27" ht="15" x14ac:dyDescent="0.2">
      <c r="A213" s="100"/>
      <c r="B213" s="100"/>
      <c r="C213" s="101"/>
      <c r="D213" s="101"/>
      <c r="E213" s="100"/>
      <c r="F213" s="101"/>
      <c r="G213" s="101"/>
      <c r="H213" s="101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</row>
    <row r="214" spans="1:27" ht="15" x14ac:dyDescent="0.2">
      <c r="A214" s="100"/>
      <c r="B214" s="100"/>
      <c r="C214" s="101"/>
      <c r="D214" s="101"/>
      <c r="E214" s="100"/>
      <c r="F214" s="101"/>
      <c r="G214" s="101"/>
      <c r="H214" s="101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</row>
    <row r="215" spans="1:27" ht="15" x14ac:dyDescent="0.2">
      <c r="A215" s="100"/>
      <c r="B215" s="100"/>
      <c r="C215" s="101"/>
      <c r="D215" s="101"/>
      <c r="E215" s="100"/>
      <c r="F215" s="101"/>
      <c r="G215" s="101"/>
      <c r="H215" s="101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</row>
    <row r="216" spans="1:27" ht="15" x14ac:dyDescent="0.2">
      <c r="A216" s="100"/>
      <c r="B216" s="100"/>
      <c r="C216" s="101"/>
      <c r="D216" s="101"/>
      <c r="E216" s="100"/>
      <c r="F216" s="101"/>
      <c r="G216" s="101"/>
      <c r="H216" s="101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</row>
    <row r="217" spans="1:27" ht="15" x14ac:dyDescent="0.2">
      <c r="A217" s="100"/>
      <c r="B217" s="100"/>
      <c r="C217" s="101"/>
      <c r="D217" s="101"/>
      <c r="E217" s="100"/>
      <c r="F217" s="101"/>
      <c r="G217" s="101"/>
      <c r="H217" s="101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</row>
    <row r="218" spans="1:27" ht="15" x14ac:dyDescent="0.2">
      <c r="A218" s="100"/>
      <c r="B218" s="100"/>
      <c r="C218" s="101"/>
      <c r="D218" s="101"/>
      <c r="E218" s="100"/>
      <c r="F218" s="101"/>
      <c r="G218" s="101"/>
      <c r="H218" s="101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</row>
    <row r="219" spans="1:27" ht="15" x14ac:dyDescent="0.2">
      <c r="A219" s="100"/>
      <c r="B219" s="100"/>
      <c r="C219" s="101"/>
      <c r="D219" s="101"/>
      <c r="E219" s="100"/>
      <c r="F219" s="101"/>
      <c r="G219" s="101"/>
      <c r="H219" s="101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</row>
    <row r="220" spans="1:27" ht="15" x14ac:dyDescent="0.2">
      <c r="A220" s="100"/>
      <c r="B220" s="100"/>
      <c r="C220" s="101"/>
      <c r="D220" s="101"/>
      <c r="E220" s="100"/>
      <c r="F220" s="101"/>
      <c r="G220" s="101"/>
      <c r="H220" s="101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</row>
    <row r="221" spans="1:27" ht="15" x14ac:dyDescent="0.2">
      <c r="A221" s="100"/>
      <c r="B221" s="100"/>
      <c r="C221" s="101"/>
      <c r="D221" s="101"/>
      <c r="E221" s="100"/>
      <c r="F221" s="101"/>
      <c r="G221" s="101"/>
      <c r="H221" s="101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</row>
    <row r="222" spans="1:27" ht="15" x14ac:dyDescent="0.2">
      <c r="A222" s="100"/>
      <c r="B222" s="100"/>
      <c r="C222" s="101"/>
      <c r="D222" s="101"/>
      <c r="E222" s="100"/>
      <c r="F222" s="101"/>
      <c r="G222" s="101"/>
      <c r="H222" s="101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</row>
    <row r="223" spans="1:27" ht="15" x14ac:dyDescent="0.2">
      <c r="A223" s="100"/>
      <c r="B223" s="100"/>
      <c r="C223" s="101"/>
      <c r="D223" s="101"/>
      <c r="E223" s="100"/>
      <c r="F223" s="101"/>
      <c r="G223" s="101"/>
      <c r="H223" s="101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</row>
    <row r="224" spans="1:27" ht="15" x14ac:dyDescent="0.2">
      <c r="A224" s="100"/>
      <c r="B224" s="100"/>
      <c r="C224" s="101"/>
      <c r="D224" s="101"/>
      <c r="E224" s="100"/>
      <c r="F224" s="101"/>
      <c r="G224" s="101"/>
      <c r="H224" s="101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</row>
    <row r="225" spans="1:27" ht="15" x14ac:dyDescent="0.2">
      <c r="A225" s="100"/>
      <c r="B225" s="100"/>
      <c r="C225" s="101"/>
      <c r="D225" s="101"/>
      <c r="E225" s="100"/>
      <c r="F225" s="101"/>
      <c r="G225" s="101"/>
      <c r="H225" s="101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</row>
    <row r="226" spans="1:27" ht="15" x14ac:dyDescent="0.2">
      <c r="A226" s="100"/>
      <c r="B226" s="100"/>
      <c r="C226" s="101"/>
      <c r="D226" s="101"/>
      <c r="E226" s="100"/>
      <c r="F226" s="101"/>
      <c r="G226" s="101"/>
      <c r="H226" s="101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</row>
    <row r="227" spans="1:27" ht="15" x14ac:dyDescent="0.2">
      <c r="A227" s="100"/>
      <c r="B227" s="100"/>
      <c r="C227" s="101"/>
      <c r="D227" s="101"/>
      <c r="E227" s="100"/>
      <c r="F227" s="101"/>
      <c r="G227" s="101"/>
      <c r="H227" s="101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</row>
    <row r="228" spans="1:27" ht="15" x14ac:dyDescent="0.2">
      <c r="A228" s="100"/>
      <c r="B228" s="100"/>
      <c r="C228" s="101"/>
      <c r="D228" s="101"/>
      <c r="E228" s="100"/>
      <c r="F228" s="101"/>
      <c r="G228" s="101"/>
      <c r="H228" s="101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</row>
    <row r="229" spans="1:27" ht="15" x14ac:dyDescent="0.2">
      <c r="A229" s="100"/>
      <c r="B229" s="100"/>
      <c r="C229" s="101"/>
      <c r="D229" s="101"/>
      <c r="E229" s="100"/>
      <c r="F229" s="101"/>
      <c r="G229" s="101"/>
      <c r="H229" s="101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</row>
    <row r="230" spans="1:27" ht="15" x14ac:dyDescent="0.2">
      <c r="A230" s="100"/>
      <c r="B230" s="100"/>
      <c r="C230" s="101"/>
      <c r="D230" s="101"/>
      <c r="E230" s="100"/>
      <c r="F230" s="101"/>
      <c r="G230" s="101"/>
      <c r="H230" s="101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</row>
    <row r="231" spans="1:27" ht="15" x14ac:dyDescent="0.2">
      <c r="A231" s="100"/>
      <c r="B231" s="100"/>
      <c r="C231" s="101"/>
      <c r="D231" s="101"/>
      <c r="E231" s="100"/>
      <c r="F231" s="101"/>
      <c r="G231" s="101"/>
      <c r="H231" s="101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</row>
    <row r="232" spans="1:27" ht="15" x14ac:dyDescent="0.2">
      <c r="A232" s="100"/>
      <c r="B232" s="100"/>
      <c r="C232" s="101"/>
      <c r="D232" s="101"/>
      <c r="E232" s="100"/>
      <c r="F232" s="101"/>
      <c r="G232" s="101"/>
      <c r="H232" s="101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</row>
    <row r="233" spans="1:27" ht="15" x14ac:dyDescent="0.2">
      <c r="A233" s="100"/>
      <c r="B233" s="100"/>
      <c r="C233" s="101"/>
      <c r="D233" s="101"/>
      <c r="E233" s="100"/>
      <c r="F233" s="101"/>
      <c r="G233" s="101"/>
      <c r="H233" s="101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</row>
    <row r="234" spans="1:27" ht="15" x14ac:dyDescent="0.2">
      <c r="A234" s="100"/>
      <c r="B234" s="100"/>
      <c r="C234" s="101"/>
      <c r="D234" s="101"/>
      <c r="E234" s="100"/>
      <c r="F234" s="101"/>
      <c r="G234" s="101"/>
      <c r="H234" s="101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</row>
    <row r="235" spans="1:27" ht="15" x14ac:dyDescent="0.2">
      <c r="A235" s="100"/>
      <c r="B235" s="100"/>
      <c r="C235" s="101"/>
      <c r="D235" s="101"/>
      <c r="E235" s="100"/>
      <c r="F235" s="101"/>
      <c r="G235" s="101"/>
      <c r="H235" s="101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</row>
    <row r="236" spans="1:27" ht="15" x14ac:dyDescent="0.2">
      <c r="A236" s="100"/>
      <c r="B236" s="100"/>
      <c r="C236" s="101"/>
      <c r="D236" s="101"/>
      <c r="E236" s="100"/>
      <c r="F236" s="101"/>
      <c r="G236" s="101"/>
      <c r="H236" s="101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</row>
    <row r="237" spans="1:27" ht="15" x14ac:dyDescent="0.2">
      <c r="A237" s="100"/>
      <c r="B237" s="100"/>
      <c r="C237" s="101"/>
      <c r="D237" s="101"/>
      <c r="E237" s="100"/>
      <c r="F237" s="101"/>
      <c r="G237" s="101"/>
      <c r="H237" s="101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</row>
    <row r="238" spans="1:27" ht="15" x14ac:dyDescent="0.2">
      <c r="A238" s="100"/>
      <c r="B238" s="100"/>
      <c r="C238" s="101"/>
      <c r="D238" s="101"/>
      <c r="E238" s="100"/>
      <c r="F238" s="101"/>
      <c r="G238" s="101"/>
      <c r="H238" s="101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</row>
    <row r="239" spans="1:27" ht="15" x14ac:dyDescent="0.2">
      <c r="A239" s="100"/>
      <c r="B239" s="100"/>
      <c r="C239" s="101"/>
      <c r="D239" s="101"/>
      <c r="E239" s="100"/>
      <c r="F239" s="101"/>
      <c r="G239" s="101"/>
      <c r="H239" s="101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</row>
    <row r="240" spans="1:27" ht="15" x14ac:dyDescent="0.2">
      <c r="A240" s="100"/>
      <c r="B240" s="100"/>
      <c r="C240" s="101"/>
      <c r="D240" s="101"/>
      <c r="E240" s="100"/>
      <c r="F240" s="101"/>
      <c r="G240" s="101"/>
      <c r="H240" s="101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</row>
    <row r="241" spans="1:27" ht="15" x14ac:dyDescent="0.2">
      <c r="A241" s="100"/>
      <c r="B241" s="100"/>
      <c r="C241" s="101"/>
      <c r="D241" s="101"/>
      <c r="E241" s="100"/>
      <c r="F241" s="101"/>
      <c r="G241" s="101"/>
      <c r="H241" s="101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</row>
    <row r="242" spans="1:27" ht="15" x14ac:dyDescent="0.2">
      <c r="A242" s="100"/>
      <c r="B242" s="100"/>
      <c r="C242" s="101"/>
      <c r="D242" s="101"/>
      <c r="E242" s="100"/>
      <c r="F242" s="101"/>
      <c r="G242" s="101"/>
      <c r="H242" s="101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</row>
    <row r="243" spans="1:27" ht="15" x14ac:dyDescent="0.2">
      <c r="A243" s="100"/>
      <c r="B243" s="100"/>
      <c r="C243" s="101"/>
      <c r="D243" s="101"/>
      <c r="E243" s="100"/>
      <c r="F243" s="101"/>
      <c r="G243" s="101"/>
      <c r="H243" s="101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</row>
    <row r="244" spans="1:27" ht="15" x14ac:dyDescent="0.2">
      <c r="A244" s="100"/>
      <c r="B244" s="100"/>
      <c r="C244" s="101"/>
      <c r="D244" s="101"/>
      <c r="E244" s="100"/>
      <c r="F244" s="101"/>
      <c r="G244" s="101"/>
      <c r="H244" s="101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</row>
    <row r="245" spans="1:27" ht="15" x14ac:dyDescent="0.2">
      <c r="A245" s="100"/>
      <c r="B245" s="100"/>
      <c r="C245" s="101"/>
      <c r="D245" s="101"/>
      <c r="E245" s="100"/>
      <c r="F245" s="101"/>
      <c r="G245" s="101"/>
      <c r="H245" s="101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</row>
    <row r="246" spans="1:27" ht="15" x14ac:dyDescent="0.2">
      <c r="A246" s="100"/>
      <c r="B246" s="100"/>
      <c r="C246" s="101"/>
      <c r="D246" s="101"/>
      <c r="E246" s="100"/>
      <c r="F246" s="101"/>
      <c r="G246" s="101"/>
      <c r="H246" s="101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</row>
    <row r="247" spans="1:27" ht="15" x14ac:dyDescent="0.2">
      <c r="A247" s="100"/>
      <c r="B247" s="100"/>
      <c r="C247" s="101"/>
      <c r="D247" s="101"/>
      <c r="E247" s="100"/>
      <c r="F247" s="101"/>
      <c r="G247" s="101"/>
      <c r="H247" s="101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</row>
    <row r="248" spans="1:27" ht="15" x14ac:dyDescent="0.2">
      <c r="A248" s="100"/>
      <c r="B248" s="100"/>
      <c r="C248" s="101"/>
      <c r="D248" s="101"/>
      <c r="E248" s="100"/>
      <c r="F248" s="101"/>
      <c r="G248" s="101"/>
      <c r="H248" s="101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</row>
    <row r="249" spans="1:27" ht="15" x14ac:dyDescent="0.2">
      <c r="A249" s="100"/>
      <c r="B249" s="100"/>
      <c r="C249" s="101"/>
      <c r="D249" s="101"/>
      <c r="E249" s="100"/>
      <c r="F249" s="101"/>
      <c r="G249" s="101"/>
      <c r="H249" s="101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</row>
    <row r="250" spans="1:27" ht="15" x14ac:dyDescent="0.2">
      <c r="A250" s="100"/>
      <c r="B250" s="100"/>
      <c r="C250" s="101"/>
      <c r="D250" s="101"/>
      <c r="E250" s="100"/>
      <c r="F250" s="101"/>
      <c r="G250" s="101"/>
      <c r="H250" s="101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</row>
    <row r="251" spans="1:27" ht="15" x14ac:dyDescent="0.2">
      <c r="A251" s="100"/>
      <c r="B251" s="100"/>
      <c r="C251" s="101"/>
      <c r="D251" s="101"/>
      <c r="E251" s="100"/>
      <c r="F251" s="101"/>
      <c r="G251" s="101"/>
      <c r="H251" s="101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</row>
    <row r="252" spans="1:27" ht="15" x14ac:dyDescent="0.2">
      <c r="A252" s="100"/>
      <c r="B252" s="100"/>
      <c r="C252" s="101"/>
      <c r="D252" s="101"/>
      <c r="E252" s="100"/>
      <c r="F252" s="101"/>
      <c r="G252" s="101"/>
      <c r="H252" s="101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</row>
    <row r="253" spans="1:27" ht="15" x14ac:dyDescent="0.2">
      <c r="A253" s="100"/>
      <c r="B253" s="100"/>
      <c r="C253" s="101"/>
      <c r="D253" s="101"/>
      <c r="E253" s="100"/>
      <c r="F253" s="101"/>
      <c r="G253" s="101"/>
      <c r="H253" s="101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</row>
    <row r="254" spans="1:27" ht="15" x14ac:dyDescent="0.2">
      <c r="A254" s="100"/>
      <c r="B254" s="100"/>
      <c r="C254" s="101"/>
      <c r="D254" s="101"/>
      <c r="E254" s="100"/>
      <c r="F254" s="101"/>
      <c r="G254" s="101"/>
      <c r="H254" s="101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</row>
    <row r="255" spans="1:27" ht="15" x14ac:dyDescent="0.2">
      <c r="A255" s="100"/>
      <c r="B255" s="100"/>
      <c r="C255" s="101"/>
      <c r="D255" s="101"/>
      <c r="E255" s="100"/>
      <c r="F255" s="101"/>
      <c r="G255" s="101"/>
      <c r="H255" s="101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</row>
    <row r="256" spans="1:27" ht="15" x14ac:dyDescent="0.2">
      <c r="A256" s="100"/>
      <c r="B256" s="100"/>
      <c r="C256" s="101"/>
      <c r="D256" s="101"/>
      <c r="E256" s="100"/>
      <c r="F256" s="101"/>
      <c r="G256" s="101"/>
      <c r="H256" s="101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</row>
    <row r="257" spans="1:27" ht="15" x14ac:dyDescent="0.2">
      <c r="A257" s="100"/>
      <c r="B257" s="100"/>
      <c r="C257" s="101"/>
      <c r="D257" s="101"/>
      <c r="E257" s="100"/>
      <c r="F257" s="101"/>
      <c r="G257" s="101"/>
      <c r="H257" s="101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</row>
    <row r="258" spans="1:27" ht="15" x14ac:dyDescent="0.2">
      <c r="A258" s="100"/>
      <c r="B258" s="100"/>
      <c r="C258" s="101"/>
      <c r="D258" s="101"/>
      <c r="E258" s="100"/>
      <c r="F258" s="101"/>
      <c r="G258" s="101"/>
      <c r="H258" s="101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</row>
    <row r="259" spans="1:27" ht="15" x14ac:dyDescent="0.2">
      <c r="A259" s="100"/>
      <c r="B259" s="100"/>
      <c r="C259" s="101"/>
      <c r="D259" s="101"/>
      <c r="E259" s="100"/>
      <c r="F259" s="101"/>
      <c r="G259" s="101"/>
      <c r="H259" s="101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</row>
    <row r="260" spans="1:27" ht="15" x14ac:dyDescent="0.2">
      <c r="A260" s="100"/>
      <c r="B260" s="100"/>
      <c r="C260" s="101"/>
      <c r="D260" s="101"/>
      <c r="E260" s="100"/>
      <c r="F260" s="101"/>
      <c r="G260" s="101"/>
      <c r="H260" s="101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</row>
    <row r="261" spans="1:27" ht="15" x14ac:dyDescent="0.2">
      <c r="A261" s="100"/>
      <c r="B261" s="100"/>
      <c r="C261" s="101"/>
      <c r="D261" s="101"/>
      <c r="E261" s="100"/>
      <c r="F261" s="101"/>
      <c r="G261" s="101"/>
      <c r="H261" s="101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</row>
    <row r="262" spans="1:27" ht="15" x14ac:dyDescent="0.2">
      <c r="A262" s="100"/>
      <c r="B262" s="100"/>
      <c r="C262" s="101"/>
      <c r="D262" s="101"/>
      <c r="E262" s="100"/>
      <c r="F262" s="101"/>
      <c r="G262" s="101"/>
      <c r="H262" s="101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</row>
    <row r="263" spans="1:27" ht="15" x14ac:dyDescent="0.2">
      <c r="A263" s="100"/>
      <c r="B263" s="100"/>
      <c r="C263" s="101"/>
      <c r="D263" s="101"/>
      <c r="E263" s="100"/>
      <c r="F263" s="101"/>
      <c r="G263" s="101"/>
      <c r="H263" s="101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</row>
    <row r="264" spans="1:27" ht="15" x14ac:dyDescent="0.2">
      <c r="A264" s="100"/>
      <c r="B264" s="100"/>
      <c r="C264" s="101"/>
      <c r="D264" s="101"/>
      <c r="E264" s="100"/>
      <c r="F264" s="101"/>
      <c r="G264" s="101"/>
      <c r="H264" s="101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</row>
    <row r="265" spans="1:27" ht="15" x14ac:dyDescent="0.2">
      <c r="A265" s="100"/>
      <c r="B265" s="100"/>
      <c r="C265" s="101"/>
      <c r="D265" s="101"/>
      <c r="E265" s="100"/>
      <c r="F265" s="101"/>
      <c r="G265" s="101"/>
      <c r="H265" s="101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</row>
    <row r="266" spans="1:27" ht="15" x14ac:dyDescent="0.2">
      <c r="A266" s="100"/>
      <c r="B266" s="100"/>
      <c r="C266" s="101"/>
      <c r="D266" s="101"/>
      <c r="E266" s="100"/>
      <c r="F266" s="101"/>
      <c r="G266" s="101"/>
      <c r="H266" s="101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</row>
    <row r="267" spans="1:27" ht="15" x14ac:dyDescent="0.2">
      <c r="A267" s="100"/>
      <c r="B267" s="100"/>
      <c r="C267" s="101"/>
      <c r="D267" s="101"/>
      <c r="E267" s="100"/>
      <c r="F267" s="101"/>
      <c r="G267" s="101"/>
      <c r="H267" s="101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</row>
    <row r="268" spans="1:27" ht="15" x14ac:dyDescent="0.2">
      <c r="A268" s="100"/>
      <c r="B268" s="100"/>
      <c r="C268" s="101"/>
      <c r="D268" s="101"/>
      <c r="E268" s="100"/>
      <c r="F268" s="101"/>
      <c r="G268" s="101"/>
      <c r="H268" s="101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</row>
    <row r="269" spans="1:27" ht="15" x14ac:dyDescent="0.2">
      <c r="A269" s="100"/>
      <c r="B269" s="100"/>
      <c r="C269" s="101"/>
      <c r="D269" s="101"/>
      <c r="E269" s="100"/>
      <c r="F269" s="101"/>
      <c r="G269" s="101"/>
      <c r="H269" s="101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</row>
    <row r="270" spans="1:27" ht="15" x14ac:dyDescent="0.2">
      <c r="A270" s="100"/>
      <c r="B270" s="100"/>
      <c r="C270" s="101"/>
      <c r="D270" s="101"/>
      <c r="E270" s="100"/>
      <c r="F270" s="101"/>
      <c r="G270" s="101"/>
      <c r="H270" s="101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</row>
    <row r="271" spans="1:27" ht="15" x14ac:dyDescent="0.2">
      <c r="A271" s="100"/>
      <c r="B271" s="100"/>
      <c r="C271" s="101"/>
      <c r="D271" s="101"/>
      <c r="E271" s="100"/>
      <c r="F271" s="101"/>
      <c r="G271" s="101"/>
      <c r="H271" s="101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</row>
    <row r="272" spans="1:27" ht="15" x14ac:dyDescent="0.2">
      <c r="A272" s="100"/>
      <c r="B272" s="100"/>
      <c r="C272" s="101"/>
      <c r="D272" s="101"/>
      <c r="E272" s="100"/>
      <c r="F272" s="101"/>
      <c r="G272" s="101"/>
      <c r="H272" s="101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</row>
    <row r="273" spans="1:27" ht="15" x14ac:dyDescent="0.2">
      <c r="A273" s="100"/>
      <c r="B273" s="100"/>
      <c r="C273" s="101"/>
      <c r="D273" s="101"/>
      <c r="E273" s="100"/>
      <c r="F273" s="101"/>
      <c r="G273" s="101"/>
      <c r="H273" s="101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</row>
    <row r="274" spans="1:27" ht="15" x14ac:dyDescent="0.2">
      <c r="A274" s="100"/>
      <c r="B274" s="100"/>
      <c r="C274" s="101"/>
      <c r="D274" s="101"/>
      <c r="E274" s="100"/>
      <c r="F274" s="101"/>
      <c r="G274" s="101"/>
      <c r="H274" s="101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</row>
    <row r="275" spans="1:27" ht="15" x14ac:dyDescent="0.2">
      <c r="A275" s="100"/>
      <c r="B275" s="100"/>
      <c r="C275" s="101"/>
      <c r="D275" s="101"/>
      <c r="E275" s="100"/>
      <c r="F275" s="101"/>
      <c r="G275" s="101"/>
      <c r="H275" s="101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</row>
    <row r="276" spans="1:27" ht="15" x14ac:dyDescent="0.2">
      <c r="A276" s="100"/>
      <c r="B276" s="100"/>
      <c r="C276" s="101"/>
      <c r="D276" s="101"/>
      <c r="E276" s="100"/>
      <c r="F276" s="101"/>
      <c r="G276" s="101"/>
      <c r="H276" s="101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</row>
    <row r="277" spans="1:27" ht="15" x14ac:dyDescent="0.2">
      <c r="A277" s="100"/>
      <c r="B277" s="100"/>
      <c r="C277" s="101"/>
      <c r="D277" s="101"/>
      <c r="E277" s="100"/>
      <c r="F277" s="101"/>
      <c r="G277" s="101"/>
      <c r="H277" s="101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</row>
    <row r="278" spans="1:27" ht="15" x14ac:dyDescent="0.2">
      <c r="A278" s="100"/>
      <c r="B278" s="100"/>
      <c r="C278" s="101"/>
      <c r="D278" s="101"/>
      <c r="E278" s="100"/>
      <c r="F278" s="101"/>
      <c r="G278" s="101"/>
      <c r="H278" s="101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</row>
    <row r="279" spans="1:27" ht="15" x14ac:dyDescent="0.2">
      <c r="A279" s="100"/>
      <c r="B279" s="100"/>
      <c r="C279" s="101"/>
      <c r="D279" s="101"/>
      <c r="E279" s="100"/>
      <c r="F279" s="101"/>
      <c r="G279" s="101"/>
      <c r="H279" s="101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</row>
    <row r="280" spans="1:27" ht="15" x14ac:dyDescent="0.2">
      <c r="A280" s="100"/>
      <c r="B280" s="100"/>
      <c r="C280" s="101"/>
      <c r="D280" s="101"/>
      <c r="E280" s="100"/>
      <c r="F280" s="101"/>
      <c r="G280" s="101"/>
      <c r="H280" s="101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</row>
    <row r="281" spans="1:27" ht="15" x14ac:dyDescent="0.2">
      <c r="A281" s="100"/>
      <c r="B281" s="100"/>
      <c r="C281" s="101"/>
      <c r="D281" s="101"/>
      <c r="E281" s="100"/>
      <c r="F281" s="101"/>
      <c r="G281" s="101"/>
      <c r="H281" s="101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</row>
    <row r="282" spans="1:27" ht="15" x14ac:dyDescent="0.2">
      <c r="A282" s="100"/>
      <c r="B282" s="100"/>
      <c r="C282" s="101"/>
      <c r="D282" s="101"/>
      <c r="E282" s="100"/>
      <c r="F282" s="101"/>
      <c r="G282" s="101"/>
      <c r="H282" s="101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</row>
    <row r="283" spans="1:27" ht="15" x14ac:dyDescent="0.2">
      <c r="A283" s="100"/>
      <c r="B283" s="100"/>
      <c r="C283" s="101"/>
      <c r="D283" s="101"/>
      <c r="E283" s="100"/>
      <c r="F283" s="101"/>
      <c r="G283" s="101"/>
      <c r="H283" s="101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</row>
    <row r="284" spans="1:27" ht="15" x14ac:dyDescent="0.2">
      <c r="A284" s="100"/>
      <c r="B284" s="100"/>
      <c r="C284" s="101"/>
      <c r="D284" s="101"/>
      <c r="E284" s="100"/>
      <c r="F284" s="101"/>
      <c r="G284" s="101"/>
      <c r="H284" s="101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</row>
    <row r="285" spans="1:27" ht="15" x14ac:dyDescent="0.2">
      <c r="A285" s="100"/>
      <c r="B285" s="100"/>
      <c r="C285" s="101"/>
      <c r="D285" s="101"/>
      <c r="E285" s="100"/>
      <c r="F285" s="101"/>
      <c r="G285" s="101"/>
      <c r="H285" s="101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</row>
    <row r="286" spans="1:27" ht="15" x14ac:dyDescent="0.2">
      <c r="A286" s="100"/>
      <c r="B286" s="100"/>
      <c r="C286" s="101"/>
      <c r="D286" s="101"/>
      <c r="E286" s="100"/>
      <c r="F286" s="101"/>
      <c r="G286" s="101"/>
      <c r="H286" s="101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</row>
    <row r="287" spans="1:27" ht="15" x14ac:dyDescent="0.2">
      <c r="A287" s="100"/>
      <c r="B287" s="100"/>
      <c r="C287" s="101"/>
      <c r="D287" s="101"/>
      <c r="E287" s="100"/>
      <c r="F287" s="101"/>
      <c r="G287" s="101"/>
      <c r="H287" s="101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</row>
    <row r="288" spans="1:27" ht="15" x14ac:dyDescent="0.2">
      <c r="A288" s="100"/>
      <c r="B288" s="100"/>
      <c r="C288" s="101"/>
      <c r="D288" s="101"/>
      <c r="E288" s="100"/>
      <c r="F288" s="101"/>
      <c r="G288" s="101"/>
      <c r="H288" s="101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</row>
    <row r="289" spans="1:27" ht="15" x14ac:dyDescent="0.2">
      <c r="A289" s="100"/>
      <c r="B289" s="100"/>
      <c r="C289" s="101"/>
      <c r="D289" s="101"/>
      <c r="E289" s="100"/>
      <c r="F289" s="101"/>
      <c r="G289" s="101"/>
      <c r="H289" s="101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</row>
    <row r="290" spans="1:27" ht="15" x14ac:dyDescent="0.2">
      <c r="A290" s="100"/>
      <c r="B290" s="100"/>
      <c r="C290" s="101"/>
      <c r="D290" s="101"/>
      <c r="E290" s="100"/>
      <c r="F290" s="101"/>
      <c r="G290" s="101"/>
      <c r="H290" s="101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</row>
    <row r="291" spans="1:27" ht="15" x14ac:dyDescent="0.2">
      <c r="A291" s="100"/>
      <c r="B291" s="100"/>
      <c r="C291" s="101"/>
      <c r="D291" s="101"/>
      <c r="E291" s="100"/>
      <c r="F291" s="101"/>
      <c r="G291" s="101"/>
      <c r="H291" s="101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</row>
    <row r="292" spans="1:27" ht="15" x14ac:dyDescent="0.2">
      <c r="A292" s="100"/>
      <c r="B292" s="100"/>
      <c r="C292" s="101"/>
      <c r="D292" s="101"/>
      <c r="E292" s="100"/>
      <c r="F292" s="101"/>
      <c r="G292" s="101"/>
      <c r="H292" s="101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</row>
    <row r="293" spans="1:27" ht="15" x14ac:dyDescent="0.2">
      <c r="A293" s="100"/>
      <c r="B293" s="100"/>
      <c r="C293" s="101"/>
      <c r="D293" s="101"/>
      <c r="E293" s="100"/>
      <c r="F293" s="101"/>
      <c r="G293" s="101"/>
      <c r="H293" s="101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</row>
    <row r="294" spans="1:27" ht="15" x14ac:dyDescent="0.2">
      <c r="A294" s="100"/>
      <c r="B294" s="100"/>
      <c r="C294" s="101"/>
      <c r="D294" s="101"/>
      <c r="E294" s="100"/>
      <c r="F294" s="101"/>
      <c r="G294" s="101"/>
      <c r="H294" s="101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</row>
    <row r="295" spans="1:27" ht="15" x14ac:dyDescent="0.2">
      <c r="A295" s="100"/>
      <c r="B295" s="100"/>
      <c r="C295" s="101"/>
      <c r="D295" s="101"/>
      <c r="E295" s="100"/>
      <c r="F295" s="101"/>
      <c r="G295" s="101"/>
      <c r="H295" s="101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</row>
    <row r="296" spans="1:27" ht="15" x14ac:dyDescent="0.2">
      <c r="A296" s="100"/>
      <c r="B296" s="100"/>
      <c r="C296" s="101"/>
      <c r="D296" s="101"/>
      <c r="E296" s="100"/>
      <c r="F296" s="101"/>
      <c r="G296" s="101"/>
      <c r="H296" s="101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</row>
    <row r="297" spans="1:27" ht="15" x14ac:dyDescent="0.2">
      <c r="A297" s="100"/>
      <c r="B297" s="100"/>
      <c r="C297" s="101"/>
      <c r="D297" s="101"/>
      <c r="E297" s="100"/>
      <c r="F297" s="101"/>
      <c r="G297" s="101"/>
      <c r="H297" s="101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</row>
    <row r="298" spans="1:27" ht="15" x14ac:dyDescent="0.2">
      <c r="A298" s="100"/>
      <c r="B298" s="100"/>
      <c r="C298" s="101"/>
      <c r="D298" s="101"/>
      <c r="E298" s="100"/>
      <c r="F298" s="101"/>
      <c r="G298" s="101"/>
      <c r="H298" s="101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</row>
    <row r="299" spans="1:27" ht="15" x14ac:dyDescent="0.2">
      <c r="A299" s="100"/>
      <c r="B299" s="100"/>
      <c r="C299" s="101"/>
      <c r="D299" s="101"/>
      <c r="E299" s="100"/>
      <c r="F299" s="101"/>
      <c r="G299" s="101"/>
      <c r="H299" s="101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</row>
    <row r="300" spans="1:27" ht="15" x14ac:dyDescent="0.2">
      <c r="A300" s="100"/>
      <c r="B300" s="100"/>
      <c r="C300" s="101"/>
      <c r="D300" s="101"/>
      <c r="E300" s="100"/>
      <c r="F300" s="101"/>
      <c r="G300" s="101"/>
      <c r="H300" s="101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</row>
    <row r="301" spans="1:27" ht="15" x14ac:dyDescent="0.2">
      <c r="A301" s="100"/>
      <c r="B301" s="100"/>
      <c r="C301" s="101"/>
      <c r="D301" s="101"/>
      <c r="E301" s="100"/>
      <c r="F301" s="101"/>
      <c r="G301" s="101"/>
      <c r="H301" s="101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</row>
    <row r="302" spans="1:27" ht="15" x14ac:dyDescent="0.2">
      <c r="A302" s="100"/>
      <c r="B302" s="100"/>
      <c r="C302" s="101"/>
      <c r="D302" s="101"/>
      <c r="E302" s="100"/>
      <c r="F302" s="101"/>
      <c r="G302" s="101"/>
      <c r="H302" s="101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</row>
    <row r="303" spans="1:27" ht="15" x14ac:dyDescent="0.2">
      <c r="A303" s="100"/>
      <c r="B303" s="100"/>
      <c r="C303" s="101"/>
      <c r="D303" s="101"/>
      <c r="E303" s="100"/>
      <c r="F303" s="101"/>
      <c r="G303" s="101"/>
      <c r="H303" s="101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</row>
    <row r="304" spans="1:27" ht="15" x14ac:dyDescent="0.2">
      <c r="A304" s="100"/>
      <c r="B304" s="100"/>
      <c r="C304" s="101"/>
      <c r="D304" s="101"/>
      <c r="E304" s="100"/>
      <c r="F304" s="101"/>
      <c r="G304" s="101"/>
      <c r="H304" s="101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</row>
    <row r="305" spans="1:27" ht="15" x14ac:dyDescent="0.2">
      <c r="A305" s="100"/>
      <c r="B305" s="100"/>
      <c r="C305" s="101"/>
      <c r="D305" s="101"/>
      <c r="E305" s="100"/>
      <c r="F305" s="101"/>
      <c r="G305" s="101"/>
      <c r="H305" s="101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</row>
    <row r="306" spans="1:27" ht="15" x14ac:dyDescent="0.2">
      <c r="A306" s="100"/>
      <c r="B306" s="100"/>
      <c r="C306" s="101"/>
      <c r="D306" s="101"/>
      <c r="E306" s="100"/>
      <c r="F306" s="101"/>
      <c r="G306" s="101"/>
      <c r="H306" s="101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</row>
    <row r="307" spans="1:27" ht="15" x14ac:dyDescent="0.2">
      <c r="A307" s="100"/>
      <c r="B307" s="100"/>
      <c r="C307" s="101"/>
      <c r="D307" s="101"/>
      <c r="E307" s="100"/>
      <c r="F307" s="101"/>
      <c r="G307" s="101"/>
      <c r="H307" s="101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</row>
    <row r="308" spans="1:27" ht="15" x14ac:dyDescent="0.2">
      <c r="A308" s="100"/>
      <c r="B308" s="100"/>
      <c r="C308" s="101"/>
      <c r="D308" s="101"/>
      <c r="E308" s="100"/>
      <c r="F308" s="101"/>
      <c r="G308" s="101"/>
      <c r="H308" s="101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</row>
    <row r="309" spans="1:27" ht="15" x14ac:dyDescent="0.2">
      <c r="A309" s="100"/>
      <c r="B309" s="100"/>
      <c r="C309" s="101"/>
      <c r="D309" s="101"/>
      <c r="E309" s="100"/>
      <c r="F309" s="101"/>
      <c r="G309" s="101"/>
      <c r="H309" s="101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</row>
    <row r="310" spans="1:27" ht="15" x14ac:dyDescent="0.2">
      <c r="A310" s="100"/>
      <c r="B310" s="100"/>
      <c r="C310" s="101"/>
      <c r="D310" s="101"/>
      <c r="E310" s="100"/>
      <c r="F310" s="101"/>
      <c r="G310" s="101"/>
      <c r="H310" s="101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</row>
    <row r="311" spans="1:27" ht="15" x14ac:dyDescent="0.2">
      <c r="A311" s="100"/>
      <c r="B311" s="100"/>
      <c r="C311" s="101"/>
      <c r="D311" s="101"/>
      <c r="E311" s="100"/>
      <c r="F311" s="101"/>
      <c r="G311" s="101"/>
      <c r="H311" s="101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</row>
    <row r="312" spans="1:27" ht="15" x14ac:dyDescent="0.2">
      <c r="A312" s="100"/>
      <c r="B312" s="100"/>
      <c r="C312" s="101"/>
      <c r="D312" s="101"/>
      <c r="E312" s="100"/>
      <c r="F312" s="101"/>
      <c r="G312" s="101"/>
      <c r="H312" s="101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</row>
    <row r="313" spans="1:27" ht="15" x14ac:dyDescent="0.2">
      <c r="A313" s="100"/>
      <c r="B313" s="100"/>
      <c r="C313" s="101"/>
      <c r="D313" s="101"/>
      <c r="E313" s="100"/>
      <c r="F313" s="101"/>
      <c r="G313" s="101"/>
      <c r="H313" s="101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</row>
    <row r="314" spans="1:27" ht="15" x14ac:dyDescent="0.2">
      <c r="A314" s="100"/>
      <c r="B314" s="100"/>
      <c r="C314" s="101"/>
      <c r="D314" s="101"/>
      <c r="E314" s="100"/>
      <c r="F314" s="101"/>
      <c r="G314" s="101"/>
      <c r="H314" s="101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</row>
    <row r="315" spans="1:27" ht="15" x14ac:dyDescent="0.2">
      <c r="A315" s="100"/>
      <c r="B315" s="100"/>
      <c r="C315" s="101"/>
      <c r="D315" s="101"/>
      <c r="E315" s="100"/>
      <c r="F315" s="101"/>
      <c r="G315" s="101"/>
      <c r="H315" s="101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</row>
    <row r="316" spans="1:27" ht="15" x14ac:dyDescent="0.2">
      <c r="A316" s="100"/>
      <c r="B316" s="100"/>
      <c r="C316" s="101"/>
      <c r="D316" s="101"/>
      <c r="E316" s="100"/>
      <c r="F316" s="101"/>
      <c r="G316" s="101"/>
      <c r="H316" s="101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</row>
    <row r="317" spans="1:27" ht="15" x14ac:dyDescent="0.2">
      <c r="A317" s="100"/>
      <c r="B317" s="100"/>
      <c r="C317" s="101"/>
      <c r="D317" s="101"/>
      <c r="E317" s="100"/>
      <c r="F317" s="101"/>
      <c r="G317" s="101"/>
      <c r="H317" s="101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</row>
    <row r="318" spans="1:27" ht="15" x14ac:dyDescent="0.2">
      <c r="A318" s="100"/>
      <c r="B318" s="100"/>
      <c r="C318" s="101"/>
      <c r="D318" s="101"/>
      <c r="E318" s="100"/>
      <c r="F318" s="101"/>
      <c r="G318" s="101"/>
      <c r="H318" s="101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</row>
    <row r="319" spans="1:27" ht="15" x14ac:dyDescent="0.2">
      <c r="A319" s="100"/>
      <c r="B319" s="100"/>
      <c r="C319" s="101"/>
      <c r="D319" s="101"/>
      <c r="E319" s="100"/>
      <c r="F319" s="101"/>
      <c r="G319" s="101"/>
      <c r="H319" s="101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</row>
    <row r="320" spans="1:27" ht="15" x14ac:dyDescent="0.2">
      <c r="A320" s="100"/>
      <c r="B320" s="100"/>
      <c r="C320" s="101"/>
      <c r="D320" s="101"/>
      <c r="E320" s="100"/>
      <c r="F320" s="101"/>
      <c r="G320" s="101"/>
      <c r="H320" s="101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</row>
    <row r="321" spans="1:27" ht="15" x14ac:dyDescent="0.2">
      <c r="A321" s="100"/>
      <c r="B321" s="100"/>
      <c r="C321" s="101"/>
      <c r="D321" s="101"/>
      <c r="E321" s="100"/>
      <c r="F321" s="101"/>
      <c r="G321" s="101"/>
      <c r="H321" s="101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</row>
    <row r="322" spans="1:27" ht="15" x14ac:dyDescent="0.2">
      <c r="A322" s="100"/>
      <c r="B322" s="100"/>
      <c r="C322" s="101"/>
      <c r="D322" s="101"/>
      <c r="E322" s="100"/>
      <c r="F322" s="101"/>
      <c r="G322" s="101"/>
      <c r="H322" s="101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</row>
    <row r="323" spans="1:27" ht="15" x14ac:dyDescent="0.2">
      <c r="A323" s="100"/>
      <c r="B323" s="100"/>
      <c r="C323" s="101"/>
      <c r="D323" s="101"/>
      <c r="E323" s="100"/>
      <c r="F323" s="101"/>
      <c r="G323" s="101"/>
      <c r="H323" s="101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</row>
    <row r="324" spans="1:27" ht="15" x14ac:dyDescent="0.2">
      <c r="A324" s="100"/>
      <c r="B324" s="100"/>
      <c r="C324" s="101"/>
      <c r="D324" s="101"/>
      <c r="E324" s="100"/>
      <c r="F324" s="101"/>
      <c r="G324" s="101"/>
      <c r="H324" s="101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</row>
    <row r="325" spans="1:27" ht="15" x14ac:dyDescent="0.2">
      <c r="A325" s="100"/>
      <c r="B325" s="100"/>
      <c r="C325" s="101"/>
      <c r="D325" s="101"/>
      <c r="E325" s="100"/>
      <c r="F325" s="101"/>
      <c r="G325" s="101"/>
      <c r="H325" s="101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</row>
    <row r="326" spans="1:27" ht="15" x14ac:dyDescent="0.2">
      <c r="A326" s="100"/>
      <c r="B326" s="100"/>
      <c r="C326" s="101"/>
      <c r="D326" s="101"/>
      <c r="E326" s="100"/>
      <c r="F326" s="101"/>
      <c r="G326" s="101"/>
      <c r="H326" s="101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</row>
    <row r="327" spans="1:27" ht="15" x14ac:dyDescent="0.2">
      <c r="A327" s="100"/>
      <c r="B327" s="100"/>
      <c r="C327" s="101"/>
      <c r="D327" s="101"/>
      <c r="E327" s="100"/>
      <c r="F327" s="101"/>
      <c r="G327" s="101"/>
      <c r="H327" s="101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</row>
    <row r="328" spans="1:27" ht="15" x14ac:dyDescent="0.2">
      <c r="A328" s="100"/>
      <c r="B328" s="100"/>
      <c r="C328" s="101"/>
      <c r="D328" s="101"/>
      <c r="E328" s="100"/>
      <c r="F328" s="101"/>
      <c r="G328" s="101"/>
      <c r="H328" s="101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</row>
    <row r="329" spans="1:27" ht="15" x14ac:dyDescent="0.2">
      <c r="A329" s="100"/>
      <c r="B329" s="100"/>
      <c r="C329" s="101"/>
      <c r="D329" s="101"/>
      <c r="E329" s="100"/>
      <c r="F329" s="101"/>
      <c r="G329" s="101"/>
      <c r="H329" s="101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</row>
    <row r="330" spans="1:27" ht="15" x14ac:dyDescent="0.2">
      <c r="A330" s="100"/>
      <c r="B330" s="100"/>
      <c r="C330" s="101"/>
      <c r="D330" s="101"/>
      <c r="E330" s="100"/>
      <c r="F330" s="101"/>
      <c r="G330" s="101"/>
      <c r="H330" s="101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</row>
    <row r="331" spans="1:27" ht="15" x14ac:dyDescent="0.2">
      <c r="A331" s="100"/>
      <c r="B331" s="100"/>
      <c r="C331" s="101"/>
      <c r="D331" s="101"/>
      <c r="E331" s="100"/>
      <c r="F331" s="101"/>
      <c r="G331" s="101"/>
      <c r="H331" s="101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</row>
    <row r="332" spans="1:27" ht="15" x14ac:dyDescent="0.2">
      <c r="A332" s="100"/>
      <c r="B332" s="100"/>
      <c r="C332" s="101"/>
      <c r="D332" s="101"/>
      <c r="E332" s="100"/>
      <c r="F332" s="101"/>
      <c r="G332" s="101"/>
      <c r="H332" s="101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</row>
    <row r="333" spans="1:27" ht="15" x14ac:dyDescent="0.2">
      <c r="A333" s="100"/>
      <c r="B333" s="100"/>
      <c r="C333" s="101"/>
      <c r="D333" s="101"/>
      <c r="E333" s="100"/>
      <c r="F333" s="101"/>
      <c r="G333" s="101"/>
      <c r="H333" s="101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</row>
    <row r="334" spans="1:27" ht="15" x14ac:dyDescent="0.2">
      <c r="A334" s="100"/>
      <c r="B334" s="100"/>
      <c r="C334" s="101"/>
      <c r="D334" s="101"/>
      <c r="E334" s="100"/>
      <c r="F334" s="101"/>
      <c r="G334" s="101"/>
      <c r="H334" s="101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</row>
    <row r="335" spans="1:27" ht="15" x14ac:dyDescent="0.2">
      <c r="A335" s="100"/>
      <c r="B335" s="100"/>
      <c r="C335" s="101"/>
      <c r="D335" s="101"/>
      <c r="E335" s="100"/>
      <c r="F335" s="101"/>
      <c r="G335" s="101"/>
      <c r="H335" s="101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</row>
    <row r="336" spans="1:27" ht="15" x14ac:dyDescent="0.2">
      <c r="A336" s="100"/>
      <c r="B336" s="100"/>
      <c r="C336" s="101"/>
      <c r="D336" s="101"/>
      <c r="E336" s="100"/>
      <c r="F336" s="101"/>
      <c r="G336" s="101"/>
      <c r="H336" s="101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</row>
    <row r="337" spans="1:27" ht="15" x14ac:dyDescent="0.2">
      <c r="A337" s="100"/>
      <c r="B337" s="100"/>
      <c r="C337" s="101"/>
      <c r="D337" s="101"/>
      <c r="E337" s="100"/>
      <c r="F337" s="101"/>
      <c r="G337" s="101"/>
      <c r="H337" s="101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</row>
    <row r="338" spans="1:27" ht="15" x14ac:dyDescent="0.2">
      <c r="A338" s="100"/>
      <c r="B338" s="100"/>
      <c r="C338" s="101"/>
      <c r="D338" s="101"/>
      <c r="E338" s="100"/>
      <c r="F338" s="101"/>
      <c r="G338" s="101"/>
      <c r="H338" s="101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</row>
    <row r="339" spans="1:27" ht="15" x14ac:dyDescent="0.2">
      <c r="A339" s="100"/>
      <c r="B339" s="100"/>
      <c r="C339" s="101"/>
      <c r="D339" s="101"/>
      <c r="E339" s="100"/>
      <c r="F339" s="101"/>
      <c r="G339" s="101"/>
      <c r="H339" s="101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</row>
    <row r="340" spans="1:27" ht="15" x14ac:dyDescent="0.2">
      <c r="A340" s="100"/>
      <c r="B340" s="100"/>
      <c r="C340" s="101"/>
      <c r="D340" s="101"/>
      <c r="E340" s="100"/>
      <c r="F340" s="101"/>
      <c r="G340" s="101"/>
      <c r="H340" s="101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</row>
    <row r="341" spans="1:27" ht="15" x14ac:dyDescent="0.2">
      <c r="A341" s="100"/>
      <c r="B341" s="100"/>
      <c r="C341" s="101"/>
      <c r="D341" s="101"/>
      <c r="E341" s="100"/>
      <c r="F341" s="101"/>
      <c r="G341" s="101"/>
      <c r="H341" s="101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</row>
    <row r="342" spans="1:27" ht="15" x14ac:dyDescent="0.2">
      <c r="A342" s="100"/>
      <c r="B342" s="100"/>
      <c r="C342" s="101"/>
      <c r="D342" s="101"/>
      <c r="E342" s="100"/>
      <c r="F342" s="101"/>
      <c r="G342" s="101"/>
      <c r="H342" s="101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</row>
    <row r="343" spans="1:27" ht="15" x14ac:dyDescent="0.2">
      <c r="A343" s="100"/>
      <c r="B343" s="100"/>
      <c r="C343" s="101"/>
      <c r="D343" s="101"/>
      <c r="E343" s="100"/>
      <c r="F343" s="101"/>
      <c r="G343" s="101"/>
      <c r="H343" s="101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</row>
    <row r="344" spans="1:27" ht="15" x14ac:dyDescent="0.2">
      <c r="A344" s="100"/>
      <c r="B344" s="100"/>
      <c r="C344" s="101"/>
      <c r="D344" s="101"/>
      <c r="E344" s="100"/>
      <c r="F344" s="101"/>
      <c r="G344" s="101"/>
      <c r="H344" s="101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</row>
    <row r="345" spans="1:27" ht="15" x14ac:dyDescent="0.2">
      <c r="A345" s="100"/>
      <c r="B345" s="100"/>
      <c r="C345" s="101"/>
      <c r="D345" s="101"/>
      <c r="E345" s="100"/>
      <c r="F345" s="101"/>
      <c r="G345" s="101"/>
      <c r="H345" s="101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</row>
    <row r="346" spans="1:27" ht="15" x14ac:dyDescent="0.2">
      <c r="A346" s="100"/>
      <c r="B346" s="100"/>
      <c r="C346" s="101"/>
      <c r="D346" s="101"/>
      <c r="E346" s="100"/>
      <c r="F346" s="101"/>
      <c r="G346" s="101"/>
      <c r="H346" s="101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</row>
    <row r="347" spans="1:27" ht="15" x14ac:dyDescent="0.2">
      <c r="A347" s="100"/>
      <c r="B347" s="100"/>
      <c r="C347" s="101"/>
      <c r="D347" s="101"/>
      <c r="E347" s="100"/>
      <c r="F347" s="101"/>
      <c r="G347" s="101"/>
      <c r="H347" s="101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</row>
    <row r="348" spans="1:27" ht="15" x14ac:dyDescent="0.2">
      <c r="A348" s="100"/>
      <c r="B348" s="100"/>
      <c r="C348" s="101"/>
      <c r="D348" s="101"/>
      <c r="E348" s="100"/>
      <c r="F348" s="101"/>
      <c r="G348" s="101"/>
      <c r="H348" s="101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</row>
    <row r="349" spans="1:27" ht="15" x14ac:dyDescent="0.2">
      <c r="A349" s="100"/>
      <c r="B349" s="100"/>
      <c r="C349" s="101"/>
      <c r="D349" s="101"/>
      <c r="E349" s="100"/>
      <c r="F349" s="101"/>
      <c r="G349" s="101"/>
      <c r="H349" s="101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</row>
    <row r="350" spans="1:27" ht="15" x14ac:dyDescent="0.2">
      <c r="A350" s="100"/>
      <c r="B350" s="100"/>
      <c r="C350" s="101"/>
      <c r="D350" s="101"/>
      <c r="E350" s="100"/>
      <c r="F350" s="101"/>
      <c r="G350" s="101"/>
      <c r="H350" s="101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</row>
    <row r="351" spans="1:27" ht="15" x14ac:dyDescent="0.2">
      <c r="A351" s="100"/>
      <c r="B351" s="100"/>
      <c r="C351" s="101"/>
      <c r="D351" s="101"/>
      <c r="E351" s="100"/>
      <c r="F351" s="101"/>
      <c r="G351" s="101"/>
      <c r="H351" s="101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</row>
    <row r="352" spans="1:27" ht="15" x14ac:dyDescent="0.2">
      <c r="A352" s="100"/>
      <c r="B352" s="100"/>
      <c r="C352" s="101"/>
      <c r="D352" s="101"/>
      <c r="E352" s="100"/>
      <c r="F352" s="101"/>
      <c r="G352" s="101"/>
      <c r="H352" s="101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</row>
    <row r="353" spans="1:27" ht="15" x14ac:dyDescent="0.2">
      <c r="A353" s="100"/>
      <c r="B353" s="100"/>
      <c r="C353" s="101"/>
      <c r="D353" s="101"/>
      <c r="E353" s="100"/>
      <c r="F353" s="101"/>
      <c r="G353" s="101"/>
      <c r="H353" s="101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</row>
    <row r="354" spans="1:27" ht="15" x14ac:dyDescent="0.2">
      <c r="A354" s="100"/>
      <c r="B354" s="100"/>
      <c r="C354" s="101"/>
      <c r="D354" s="101"/>
      <c r="E354" s="100"/>
      <c r="F354" s="101"/>
      <c r="G354" s="101"/>
      <c r="H354" s="101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</row>
    <row r="355" spans="1:27" ht="15" x14ac:dyDescent="0.2">
      <c r="A355" s="100"/>
      <c r="B355" s="100"/>
      <c r="C355" s="101"/>
      <c r="D355" s="101"/>
      <c r="E355" s="100"/>
      <c r="F355" s="101"/>
      <c r="G355" s="101"/>
      <c r="H355" s="101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</row>
    <row r="356" spans="1:27" ht="15" x14ac:dyDescent="0.2">
      <c r="A356" s="100"/>
      <c r="B356" s="100"/>
      <c r="C356" s="101"/>
      <c r="D356" s="101"/>
      <c r="E356" s="100"/>
      <c r="F356" s="101"/>
      <c r="G356" s="101"/>
      <c r="H356" s="101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</row>
    <row r="357" spans="1:27" ht="15" x14ac:dyDescent="0.2">
      <c r="A357" s="100"/>
      <c r="B357" s="100"/>
      <c r="C357" s="101"/>
      <c r="D357" s="101"/>
      <c r="E357" s="100"/>
      <c r="F357" s="101"/>
      <c r="G357" s="101"/>
      <c r="H357" s="101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</row>
    <row r="358" spans="1:27" ht="15" x14ac:dyDescent="0.2">
      <c r="A358" s="100"/>
      <c r="B358" s="100"/>
      <c r="C358" s="101"/>
      <c r="D358" s="101"/>
      <c r="E358" s="100"/>
      <c r="F358" s="101"/>
      <c r="G358" s="101"/>
      <c r="H358" s="101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</row>
    <row r="359" spans="1:27" ht="15" x14ac:dyDescent="0.2">
      <c r="A359" s="100"/>
      <c r="B359" s="100"/>
      <c r="C359" s="101"/>
      <c r="D359" s="101"/>
      <c r="E359" s="100"/>
      <c r="F359" s="101"/>
      <c r="G359" s="101"/>
      <c r="H359" s="101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</row>
    <row r="360" spans="1:27" ht="15" x14ac:dyDescent="0.2">
      <c r="A360" s="100"/>
      <c r="B360" s="100"/>
      <c r="C360" s="101"/>
      <c r="D360" s="101"/>
      <c r="E360" s="100"/>
      <c r="F360" s="101"/>
      <c r="G360" s="101"/>
      <c r="H360" s="101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</row>
    <row r="361" spans="1:27" ht="15" x14ac:dyDescent="0.2">
      <c r="A361" s="100"/>
      <c r="B361" s="100"/>
      <c r="C361" s="101"/>
      <c r="D361" s="101"/>
      <c r="E361" s="100"/>
      <c r="F361" s="101"/>
      <c r="G361" s="101"/>
      <c r="H361" s="101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</row>
    <row r="362" spans="1:27" ht="15" x14ac:dyDescent="0.2">
      <c r="A362" s="100"/>
      <c r="B362" s="100"/>
      <c r="C362" s="101"/>
      <c r="D362" s="101"/>
      <c r="E362" s="100"/>
      <c r="F362" s="101"/>
      <c r="G362" s="101"/>
      <c r="H362" s="101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</row>
    <row r="363" spans="1:27" ht="15" x14ac:dyDescent="0.2">
      <c r="A363" s="100"/>
      <c r="B363" s="100"/>
      <c r="C363" s="101"/>
      <c r="D363" s="101"/>
      <c r="E363" s="100"/>
      <c r="F363" s="101"/>
      <c r="G363" s="101"/>
      <c r="H363" s="101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</row>
    <row r="364" spans="1:27" ht="15" x14ac:dyDescent="0.2">
      <c r="A364" s="100"/>
      <c r="B364" s="100"/>
      <c r="C364" s="101"/>
      <c r="D364" s="101"/>
      <c r="E364" s="100"/>
      <c r="F364" s="101"/>
      <c r="G364" s="101"/>
      <c r="H364" s="101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</row>
    <row r="365" spans="1:27" ht="15" x14ac:dyDescent="0.2">
      <c r="A365" s="100"/>
      <c r="B365" s="100"/>
      <c r="C365" s="101"/>
      <c r="D365" s="101"/>
      <c r="E365" s="100"/>
      <c r="F365" s="101"/>
      <c r="G365" s="101"/>
      <c r="H365" s="101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</row>
    <row r="366" spans="1:27" ht="15" x14ac:dyDescent="0.2">
      <c r="A366" s="100"/>
      <c r="B366" s="100"/>
      <c r="C366" s="101"/>
      <c r="D366" s="101"/>
      <c r="E366" s="100"/>
      <c r="F366" s="101"/>
      <c r="G366" s="101"/>
      <c r="H366" s="101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</row>
    <row r="367" spans="1:27" ht="15" x14ac:dyDescent="0.2">
      <c r="A367" s="100"/>
      <c r="B367" s="100"/>
      <c r="C367" s="101"/>
      <c r="D367" s="101"/>
      <c r="E367" s="100"/>
      <c r="F367" s="101"/>
      <c r="G367" s="101"/>
      <c r="H367" s="101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</row>
    <row r="368" spans="1:27" ht="15" x14ac:dyDescent="0.2">
      <c r="A368" s="100"/>
      <c r="B368" s="100"/>
      <c r="C368" s="101"/>
      <c r="D368" s="101"/>
      <c r="E368" s="100"/>
      <c r="F368" s="101"/>
      <c r="G368" s="101"/>
      <c r="H368" s="101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</row>
    <row r="369" spans="1:27" ht="15" x14ac:dyDescent="0.2">
      <c r="A369" s="100"/>
      <c r="B369" s="100"/>
      <c r="C369" s="101"/>
      <c r="D369" s="101"/>
      <c r="E369" s="100"/>
      <c r="F369" s="101"/>
      <c r="G369" s="101"/>
      <c r="H369" s="101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</row>
    <row r="370" spans="1:27" ht="15" x14ac:dyDescent="0.2">
      <c r="A370" s="100"/>
      <c r="B370" s="100"/>
      <c r="C370" s="101"/>
      <c r="D370" s="101"/>
      <c r="E370" s="100"/>
      <c r="F370" s="101"/>
      <c r="G370" s="101"/>
      <c r="H370" s="101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</row>
    <row r="371" spans="1:27" ht="15" x14ac:dyDescent="0.2">
      <c r="A371" s="100"/>
      <c r="B371" s="100"/>
      <c r="C371" s="101"/>
      <c r="D371" s="101"/>
      <c r="E371" s="100"/>
      <c r="F371" s="101"/>
      <c r="G371" s="101"/>
      <c r="H371" s="101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</row>
    <row r="372" spans="1:27" ht="15" x14ac:dyDescent="0.2">
      <c r="A372" s="100"/>
      <c r="B372" s="100"/>
      <c r="C372" s="101"/>
      <c r="D372" s="101"/>
      <c r="E372" s="100"/>
      <c r="F372" s="101"/>
      <c r="G372" s="101"/>
      <c r="H372" s="101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</row>
    <row r="373" spans="1:27" ht="15" x14ac:dyDescent="0.2">
      <c r="A373" s="100"/>
      <c r="B373" s="100"/>
      <c r="C373" s="101"/>
      <c r="D373" s="101"/>
      <c r="E373" s="100"/>
      <c r="F373" s="101"/>
      <c r="G373" s="101"/>
      <c r="H373" s="101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</row>
    <row r="374" spans="1:27" ht="15" x14ac:dyDescent="0.2">
      <c r="A374" s="100"/>
      <c r="B374" s="100"/>
      <c r="C374" s="101"/>
      <c r="D374" s="101"/>
      <c r="E374" s="100"/>
      <c r="F374" s="101"/>
      <c r="G374" s="101"/>
      <c r="H374" s="101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</row>
    <row r="375" spans="1:27" ht="15" x14ac:dyDescent="0.2">
      <c r="A375" s="100"/>
      <c r="B375" s="100"/>
      <c r="C375" s="101"/>
      <c r="D375" s="101"/>
      <c r="E375" s="100"/>
      <c r="F375" s="101"/>
      <c r="G375" s="101"/>
      <c r="H375" s="101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</row>
    <row r="376" spans="1:27" ht="15" x14ac:dyDescent="0.2">
      <c r="A376" s="100"/>
      <c r="B376" s="100"/>
      <c r="C376" s="101"/>
      <c r="D376" s="101"/>
      <c r="E376" s="100"/>
      <c r="F376" s="101"/>
      <c r="G376" s="101"/>
      <c r="H376" s="101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</row>
    <row r="377" spans="1:27" ht="15" x14ac:dyDescent="0.2">
      <c r="A377" s="100"/>
      <c r="B377" s="100"/>
      <c r="C377" s="101"/>
      <c r="D377" s="101"/>
      <c r="E377" s="100"/>
      <c r="F377" s="101"/>
      <c r="G377" s="101"/>
      <c r="H377" s="101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</row>
    <row r="378" spans="1:27" ht="15" x14ac:dyDescent="0.2">
      <c r="A378" s="100"/>
      <c r="B378" s="100"/>
      <c r="C378" s="101"/>
      <c r="D378" s="101"/>
      <c r="E378" s="100"/>
      <c r="F378" s="101"/>
      <c r="G378" s="101"/>
      <c r="H378" s="101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</row>
    <row r="379" spans="1:27" ht="15" x14ac:dyDescent="0.2">
      <c r="A379" s="100"/>
      <c r="B379" s="100"/>
      <c r="C379" s="101"/>
      <c r="D379" s="101"/>
      <c r="E379" s="100"/>
      <c r="F379" s="101"/>
      <c r="G379" s="101"/>
      <c r="H379" s="101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</row>
    <row r="380" spans="1:27" ht="15" x14ac:dyDescent="0.2">
      <c r="A380" s="100"/>
      <c r="B380" s="100"/>
      <c r="C380" s="101"/>
      <c r="D380" s="101"/>
      <c r="E380" s="100"/>
      <c r="F380" s="101"/>
      <c r="G380" s="101"/>
      <c r="H380" s="101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</row>
    <row r="381" spans="1:27" ht="15" x14ac:dyDescent="0.2">
      <c r="A381" s="100"/>
      <c r="B381" s="100"/>
      <c r="C381" s="101"/>
      <c r="D381" s="101"/>
      <c r="E381" s="100"/>
      <c r="F381" s="101"/>
      <c r="G381" s="101"/>
      <c r="H381" s="101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</row>
    <row r="382" spans="1:27" ht="15" x14ac:dyDescent="0.2">
      <c r="A382" s="100"/>
      <c r="B382" s="100"/>
      <c r="C382" s="101"/>
      <c r="D382" s="101"/>
      <c r="E382" s="100"/>
      <c r="F382" s="101"/>
      <c r="G382" s="101"/>
      <c r="H382" s="101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</row>
    <row r="383" spans="1:27" ht="15" x14ac:dyDescent="0.2">
      <c r="A383" s="100"/>
      <c r="B383" s="100"/>
      <c r="C383" s="101"/>
      <c r="D383" s="101"/>
      <c r="E383" s="100"/>
      <c r="F383" s="101"/>
      <c r="G383" s="101"/>
      <c r="H383" s="101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</row>
    <row r="384" spans="1:27" ht="15" x14ac:dyDescent="0.2">
      <c r="A384" s="100"/>
      <c r="B384" s="100"/>
      <c r="C384" s="101"/>
      <c r="D384" s="101"/>
      <c r="E384" s="100"/>
      <c r="F384" s="101"/>
      <c r="G384" s="101"/>
      <c r="H384" s="101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</row>
    <row r="385" spans="1:27" ht="15" x14ac:dyDescent="0.2">
      <c r="A385" s="100"/>
      <c r="B385" s="100"/>
      <c r="C385" s="101"/>
      <c r="D385" s="101"/>
      <c r="E385" s="100"/>
      <c r="F385" s="101"/>
      <c r="G385" s="101"/>
      <c r="H385" s="101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</row>
    <row r="386" spans="1:27" ht="15" x14ac:dyDescent="0.2">
      <c r="A386" s="100"/>
      <c r="B386" s="100"/>
      <c r="C386" s="101"/>
      <c r="D386" s="101"/>
      <c r="E386" s="100"/>
      <c r="F386" s="101"/>
      <c r="G386" s="101"/>
      <c r="H386" s="101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</row>
    <row r="387" spans="1:27" ht="15" x14ac:dyDescent="0.2">
      <c r="A387" s="100"/>
      <c r="B387" s="100"/>
      <c r="C387" s="101"/>
      <c r="D387" s="101"/>
      <c r="E387" s="100"/>
      <c r="F387" s="101"/>
      <c r="G387" s="101"/>
      <c r="H387" s="101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</row>
    <row r="388" spans="1:27" ht="15" x14ac:dyDescent="0.2">
      <c r="A388" s="100"/>
      <c r="B388" s="100"/>
      <c r="C388" s="101"/>
      <c r="D388" s="101"/>
      <c r="E388" s="100"/>
      <c r="F388" s="101"/>
      <c r="G388" s="101"/>
      <c r="H388" s="101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</row>
    <row r="389" spans="1:27" ht="15" x14ac:dyDescent="0.2">
      <c r="A389" s="100"/>
      <c r="B389" s="100"/>
      <c r="C389" s="101"/>
      <c r="D389" s="101"/>
      <c r="E389" s="100"/>
      <c r="F389" s="101"/>
      <c r="G389" s="101"/>
      <c r="H389" s="101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</row>
    <row r="390" spans="1:27" ht="15" x14ac:dyDescent="0.2">
      <c r="A390" s="100"/>
      <c r="B390" s="100"/>
      <c r="C390" s="101"/>
      <c r="D390" s="101"/>
      <c r="E390" s="100"/>
      <c r="F390" s="101"/>
      <c r="G390" s="101"/>
      <c r="H390" s="101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</row>
    <row r="391" spans="1:27" ht="15" x14ac:dyDescent="0.2">
      <c r="A391" s="100"/>
      <c r="B391" s="100"/>
      <c r="C391" s="101"/>
      <c r="D391" s="101"/>
      <c r="E391" s="100"/>
      <c r="F391" s="101"/>
      <c r="G391" s="101"/>
      <c r="H391" s="101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</row>
    <row r="392" spans="1:27" ht="15" x14ac:dyDescent="0.2">
      <c r="A392" s="100"/>
      <c r="B392" s="100"/>
      <c r="C392" s="101"/>
      <c r="D392" s="101"/>
      <c r="E392" s="100"/>
      <c r="F392" s="101"/>
      <c r="G392" s="101"/>
      <c r="H392" s="101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</row>
    <row r="393" spans="1:27" ht="15" x14ac:dyDescent="0.2">
      <c r="A393" s="100"/>
      <c r="B393" s="100"/>
      <c r="C393" s="101"/>
      <c r="D393" s="101"/>
      <c r="E393" s="100"/>
      <c r="F393" s="101"/>
      <c r="G393" s="101"/>
      <c r="H393" s="101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</row>
    <row r="394" spans="1:27" ht="15" x14ac:dyDescent="0.2">
      <c r="A394" s="100"/>
      <c r="B394" s="100"/>
      <c r="C394" s="101"/>
      <c r="D394" s="101"/>
      <c r="E394" s="100"/>
      <c r="F394" s="101"/>
      <c r="G394" s="101"/>
      <c r="H394" s="101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</row>
    <row r="395" spans="1:27" ht="15" x14ac:dyDescent="0.2">
      <c r="A395" s="100"/>
      <c r="B395" s="100"/>
      <c r="C395" s="101"/>
      <c r="D395" s="101"/>
      <c r="E395" s="100"/>
      <c r="F395" s="101"/>
      <c r="G395" s="101"/>
      <c r="H395" s="101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</row>
    <row r="396" spans="1:27" ht="15" x14ac:dyDescent="0.2">
      <c r="A396" s="100"/>
      <c r="B396" s="100"/>
      <c r="C396" s="101"/>
      <c r="D396" s="101"/>
      <c r="E396" s="100"/>
      <c r="F396" s="101"/>
      <c r="G396" s="101"/>
      <c r="H396" s="101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</row>
    <row r="397" spans="1:27" ht="15" x14ac:dyDescent="0.2">
      <c r="A397" s="100"/>
      <c r="B397" s="100"/>
      <c r="C397" s="101"/>
      <c r="D397" s="101"/>
      <c r="E397" s="100"/>
      <c r="F397" s="101"/>
      <c r="G397" s="101"/>
      <c r="H397" s="101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</row>
    <row r="398" spans="1:27" ht="15" x14ac:dyDescent="0.2">
      <c r="A398" s="100"/>
      <c r="B398" s="100"/>
      <c r="C398" s="101"/>
      <c r="D398" s="101"/>
      <c r="E398" s="100"/>
      <c r="F398" s="101"/>
      <c r="G398" s="101"/>
      <c r="H398" s="101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</row>
    <row r="399" spans="1:27" ht="15" x14ac:dyDescent="0.2">
      <c r="A399" s="100"/>
      <c r="B399" s="100"/>
      <c r="C399" s="101"/>
      <c r="D399" s="101"/>
      <c r="E399" s="100"/>
      <c r="F399" s="101"/>
      <c r="G399" s="101"/>
      <c r="H399" s="101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</row>
    <row r="400" spans="1:27" ht="15" x14ac:dyDescent="0.2">
      <c r="A400" s="100"/>
      <c r="B400" s="100"/>
      <c r="C400" s="101"/>
      <c r="D400" s="101"/>
      <c r="E400" s="100"/>
      <c r="F400" s="101"/>
      <c r="G400" s="101"/>
      <c r="H400" s="101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</row>
    <row r="401" spans="1:27" ht="15" x14ac:dyDescent="0.2">
      <c r="A401" s="100"/>
      <c r="B401" s="100"/>
      <c r="C401" s="101"/>
      <c r="D401" s="101"/>
      <c r="E401" s="100"/>
      <c r="F401" s="101"/>
      <c r="G401" s="101"/>
      <c r="H401" s="101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</row>
    <row r="402" spans="1:27" ht="15" x14ac:dyDescent="0.2">
      <c r="A402" s="100"/>
      <c r="B402" s="100"/>
      <c r="C402" s="101"/>
      <c r="D402" s="101"/>
      <c r="E402" s="100"/>
      <c r="F402" s="101"/>
      <c r="G402" s="101"/>
      <c r="H402" s="101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</row>
    <row r="403" spans="1:27" ht="15" x14ac:dyDescent="0.2">
      <c r="A403" s="100"/>
      <c r="B403" s="100"/>
      <c r="C403" s="101"/>
      <c r="D403" s="101"/>
      <c r="E403" s="100"/>
      <c r="F403" s="101"/>
      <c r="G403" s="101"/>
      <c r="H403" s="101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</row>
    <row r="404" spans="1:27" ht="15" x14ac:dyDescent="0.2">
      <c r="A404" s="100"/>
      <c r="B404" s="100"/>
      <c r="C404" s="101"/>
      <c r="D404" s="101"/>
      <c r="E404" s="100"/>
      <c r="F404" s="101"/>
      <c r="G404" s="101"/>
      <c r="H404" s="101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</row>
    <row r="405" spans="1:27" ht="15" x14ac:dyDescent="0.2">
      <c r="A405" s="100"/>
      <c r="B405" s="100"/>
      <c r="C405" s="101"/>
      <c r="D405" s="101"/>
      <c r="E405" s="100"/>
      <c r="F405" s="101"/>
      <c r="G405" s="101"/>
      <c r="H405" s="101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</row>
    <row r="406" spans="1:27" ht="15" x14ac:dyDescent="0.2">
      <c r="A406" s="100"/>
      <c r="B406" s="100"/>
      <c r="C406" s="101"/>
      <c r="D406" s="101"/>
      <c r="E406" s="100"/>
      <c r="F406" s="101"/>
      <c r="G406" s="101"/>
      <c r="H406" s="101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</row>
    <row r="407" spans="1:27" ht="15" x14ac:dyDescent="0.2">
      <c r="A407" s="100"/>
      <c r="B407" s="100"/>
      <c r="C407" s="101"/>
      <c r="D407" s="101"/>
      <c r="E407" s="100"/>
      <c r="F407" s="101"/>
      <c r="G407" s="101"/>
      <c r="H407" s="101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</row>
    <row r="408" spans="1:27" ht="15" x14ac:dyDescent="0.2">
      <c r="A408" s="100"/>
      <c r="B408" s="100"/>
      <c r="C408" s="101"/>
      <c r="D408" s="101"/>
      <c r="E408" s="100"/>
      <c r="F408" s="101"/>
      <c r="G408" s="101"/>
      <c r="H408" s="101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</row>
    <row r="409" spans="1:27" ht="15" x14ac:dyDescent="0.2">
      <c r="A409" s="100"/>
      <c r="B409" s="100"/>
      <c r="C409" s="101"/>
      <c r="D409" s="101"/>
      <c r="E409" s="100"/>
      <c r="F409" s="101"/>
      <c r="G409" s="101"/>
      <c r="H409" s="101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</row>
    <row r="410" spans="1:27" ht="15" x14ac:dyDescent="0.2">
      <c r="A410" s="100"/>
      <c r="B410" s="100"/>
      <c r="C410" s="101"/>
      <c r="D410" s="101"/>
      <c r="E410" s="100"/>
      <c r="F410" s="101"/>
      <c r="G410" s="101"/>
      <c r="H410" s="101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</row>
    <row r="411" spans="1:27" ht="15" x14ac:dyDescent="0.2">
      <c r="A411" s="100"/>
      <c r="B411" s="100"/>
      <c r="C411" s="101"/>
      <c r="D411" s="101"/>
      <c r="E411" s="100"/>
      <c r="F411" s="101"/>
      <c r="G411" s="101"/>
      <c r="H411" s="101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</row>
    <row r="412" spans="1:27" ht="15" x14ac:dyDescent="0.2">
      <c r="A412" s="100"/>
      <c r="B412" s="100"/>
      <c r="C412" s="101"/>
      <c r="D412" s="101"/>
      <c r="E412" s="100"/>
      <c r="F412" s="101"/>
      <c r="G412" s="101"/>
      <c r="H412" s="101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</row>
    <row r="413" spans="1:27" ht="15" x14ac:dyDescent="0.2">
      <c r="A413" s="100"/>
      <c r="B413" s="100"/>
      <c r="C413" s="101"/>
      <c r="D413" s="101"/>
      <c r="E413" s="100"/>
      <c r="F413" s="101"/>
      <c r="G413" s="101"/>
      <c r="H413" s="101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</row>
    <row r="414" spans="1:27" ht="15" x14ac:dyDescent="0.2">
      <c r="A414" s="100"/>
      <c r="B414" s="100"/>
      <c r="C414" s="101"/>
      <c r="D414" s="101"/>
      <c r="E414" s="100"/>
      <c r="F414" s="101"/>
      <c r="G414" s="101"/>
      <c r="H414" s="101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</row>
    <row r="415" spans="1:27" ht="15" x14ac:dyDescent="0.2">
      <c r="A415" s="100"/>
      <c r="B415" s="100"/>
      <c r="C415" s="101"/>
      <c r="D415" s="101"/>
      <c r="E415" s="100"/>
      <c r="F415" s="101"/>
      <c r="G415" s="101"/>
      <c r="H415" s="101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</row>
    <row r="416" spans="1:27" ht="15" x14ac:dyDescent="0.2">
      <c r="A416" s="100"/>
      <c r="B416" s="100"/>
      <c r="C416" s="101"/>
      <c r="D416" s="101"/>
      <c r="E416" s="100"/>
      <c r="F416" s="101"/>
      <c r="G416" s="101"/>
      <c r="H416" s="101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</row>
    <row r="417" spans="1:27" ht="15" x14ac:dyDescent="0.2">
      <c r="A417" s="100"/>
      <c r="B417" s="100"/>
      <c r="C417" s="101"/>
      <c r="D417" s="101"/>
      <c r="E417" s="100"/>
      <c r="F417" s="101"/>
      <c r="G417" s="101"/>
      <c r="H417" s="101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</row>
    <row r="418" spans="1:27" ht="15" x14ac:dyDescent="0.2">
      <c r="A418" s="100"/>
      <c r="B418" s="100"/>
      <c r="C418" s="101"/>
      <c r="D418" s="101"/>
      <c r="E418" s="100"/>
      <c r="F418" s="101"/>
      <c r="G418" s="101"/>
      <c r="H418" s="101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</row>
    <row r="419" spans="1:27" ht="15" x14ac:dyDescent="0.2">
      <c r="A419" s="100"/>
      <c r="B419" s="100"/>
      <c r="C419" s="101"/>
      <c r="D419" s="101"/>
      <c r="E419" s="100"/>
      <c r="F419" s="101"/>
      <c r="G419" s="101"/>
      <c r="H419" s="101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</row>
    <row r="420" spans="1:27" ht="15" x14ac:dyDescent="0.2">
      <c r="A420" s="100"/>
      <c r="B420" s="100"/>
      <c r="C420" s="101"/>
      <c r="D420" s="101"/>
      <c r="E420" s="100"/>
      <c r="F420" s="101"/>
      <c r="G420" s="101"/>
      <c r="H420" s="101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</row>
    <row r="421" spans="1:27" ht="15" x14ac:dyDescent="0.2">
      <c r="A421" s="100"/>
      <c r="B421" s="100"/>
      <c r="C421" s="101"/>
      <c r="D421" s="101"/>
      <c r="E421" s="100"/>
      <c r="F421" s="101"/>
      <c r="G421" s="101"/>
      <c r="H421" s="101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</row>
    <row r="422" spans="1:27" ht="15" x14ac:dyDescent="0.2">
      <c r="A422" s="100"/>
      <c r="B422" s="100"/>
      <c r="C422" s="101"/>
      <c r="D422" s="101"/>
      <c r="E422" s="100"/>
      <c r="F422" s="101"/>
      <c r="G422" s="101"/>
      <c r="H422" s="101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</row>
    <row r="423" spans="1:27" ht="15" x14ac:dyDescent="0.2">
      <c r="A423" s="100"/>
      <c r="B423" s="100"/>
      <c r="C423" s="101"/>
      <c r="D423" s="101"/>
      <c r="E423" s="100"/>
      <c r="F423" s="101"/>
      <c r="G423" s="101"/>
      <c r="H423" s="101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</row>
    <row r="424" spans="1:27" ht="15" x14ac:dyDescent="0.2">
      <c r="A424" s="100"/>
      <c r="B424" s="100"/>
      <c r="C424" s="101"/>
      <c r="D424" s="101"/>
      <c r="E424" s="100"/>
      <c r="F424" s="101"/>
      <c r="G424" s="101"/>
      <c r="H424" s="101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</row>
    <row r="425" spans="1:27" ht="15" x14ac:dyDescent="0.2">
      <c r="A425" s="100"/>
      <c r="B425" s="100"/>
      <c r="C425" s="101"/>
      <c r="D425" s="101"/>
      <c r="E425" s="100"/>
      <c r="F425" s="101"/>
      <c r="G425" s="101"/>
      <c r="H425" s="101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</row>
    <row r="426" spans="1:27" ht="15" x14ac:dyDescent="0.2">
      <c r="A426" s="100"/>
      <c r="B426" s="100"/>
      <c r="C426" s="101"/>
      <c r="D426" s="101"/>
      <c r="E426" s="100"/>
      <c r="F426" s="101"/>
      <c r="G426" s="101"/>
      <c r="H426" s="101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</row>
    <row r="427" spans="1:27" ht="15" x14ac:dyDescent="0.2">
      <c r="A427" s="100"/>
      <c r="B427" s="100"/>
      <c r="C427" s="101"/>
      <c r="D427" s="101"/>
      <c r="E427" s="100"/>
      <c r="F427" s="101"/>
      <c r="G427" s="101"/>
      <c r="H427" s="101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</row>
    <row r="428" spans="1:27" ht="15" x14ac:dyDescent="0.2">
      <c r="A428" s="100"/>
      <c r="B428" s="100"/>
      <c r="C428" s="101"/>
      <c r="D428" s="101"/>
      <c r="E428" s="100"/>
      <c r="F428" s="101"/>
      <c r="G428" s="101"/>
      <c r="H428" s="101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</row>
    <row r="429" spans="1:27" ht="15" x14ac:dyDescent="0.2">
      <c r="A429" s="100"/>
      <c r="B429" s="100"/>
      <c r="C429" s="101"/>
      <c r="D429" s="101"/>
      <c r="E429" s="100"/>
      <c r="F429" s="101"/>
      <c r="G429" s="101"/>
      <c r="H429" s="101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</row>
    <row r="430" spans="1:27" ht="15" x14ac:dyDescent="0.2">
      <c r="A430" s="100"/>
      <c r="B430" s="100"/>
      <c r="C430" s="101"/>
      <c r="D430" s="101"/>
      <c r="E430" s="100"/>
      <c r="F430" s="101"/>
      <c r="G430" s="101"/>
      <c r="H430" s="101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</row>
    <row r="431" spans="1:27" ht="15" x14ac:dyDescent="0.2">
      <c r="A431" s="100"/>
      <c r="B431" s="100"/>
      <c r="C431" s="101"/>
      <c r="D431" s="101"/>
      <c r="E431" s="100"/>
      <c r="F431" s="101"/>
      <c r="G431" s="101"/>
      <c r="H431" s="101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</row>
    <row r="432" spans="1:27" ht="15" x14ac:dyDescent="0.2">
      <c r="A432" s="100"/>
      <c r="B432" s="100"/>
      <c r="C432" s="101"/>
      <c r="D432" s="101"/>
      <c r="E432" s="100"/>
      <c r="F432" s="101"/>
      <c r="G432" s="101"/>
      <c r="H432" s="101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</row>
    <row r="433" spans="1:27" ht="15" x14ac:dyDescent="0.2">
      <c r="A433" s="100"/>
      <c r="B433" s="100"/>
      <c r="C433" s="101"/>
      <c r="D433" s="101"/>
      <c r="E433" s="100"/>
      <c r="F433" s="101"/>
      <c r="G433" s="101"/>
      <c r="H433" s="101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</row>
    <row r="434" spans="1:27" ht="15" x14ac:dyDescent="0.2">
      <c r="A434" s="100"/>
      <c r="B434" s="100"/>
      <c r="C434" s="101"/>
      <c r="D434" s="101"/>
      <c r="E434" s="100"/>
      <c r="F434" s="101"/>
      <c r="G434" s="101"/>
      <c r="H434" s="101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</row>
    <row r="435" spans="1:27" ht="15" x14ac:dyDescent="0.2">
      <c r="A435" s="100"/>
      <c r="B435" s="100"/>
      <c r="C435" s="101"/>
      <c r="D435" s="101"/>
      <c r="E435" s="100"/>
      <c r="F435" s="101"/>
      <c r="G435" s="101"/>
      <c r="H435" s="101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</row>
    <row r="436" spans="1:27" ht="15" x14ac:dyDescent="0.2">
      <c r="A436" s="100"/>
      <c r="B436" s="100"/>
      <c r="C436" s="101"/>
      <c r="D436" s="101"/>
      <c r="E436" s="100"/>
      <c r="F436" s="101"/>
      <c r="G436" s="101"/>
      <c r="H436" s="101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</row>
    <row r="437" spans="1:27" ht="15" x14ac:dyDescent="0.2">
      <c r="A437" s="100"/>
      <c r="B437" s="100"/>
      <c r="C437" s="101"/>
      <c r="D437" s="101"/>
      <c r="E437" s="100"/>
      <c r="F437" s="101"/>
      <c r="G437" s="101"/>
      <c r="H437" s="101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</row>
    <row r="438" spans="1:27" ht="15" x14ac:dyDescent="0.2">
      <c r="A438" s="100"/>
      <c r="B438" s="100"/>
      <c r="C438" s="101"/>
      <c r="D438" s="101"/>
      <c r="E438" s="100"/>
      <c r="F438" s="101"/>
      <c r="G438" s="101"/>
      <c r="H438" s="101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</row>
    <row r="439" spans="1:27" ht="15" x14ac:dyDescent="0.2">
      <c r="A439" s="100"/>
      <c r="B439" s="100"/>
      <c r="C439" s="101"/>
      <c r="D439" s="101"/>
      <c r="E439" s="100"/>
      <c r="F439" s="101"/>
      <c r="G439" s="101"/>
      <c r="H439" s="101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</row>
    <row r="440" spans="1:27" ht="15" x14ac:dyDescent="0.2">
      <c r="A440" s="100"/>
      <c r="B440" s="100"/>
      <c r="C440" s="101"/>
      <c r="D440" s="101"/>
      <c r="E440" s="100"/>
      <c r="F440" s="101"/>
      <c r="G440" s="101"/>
      <c r="H440" s="101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</row>
    <row r="441" spans="1:27" ht="15" x14ac:dyDescent="0.2">
      <c r="A441" s="100"/>
      <c r="B441" s="100"/>
      <c r="C441" s="101"/>
      <c r="D441" s="101"/>
      <c r="E441" s="100"/>
      <c r="F441" s="101"/>
      <c r="G441" s="101"/>
      <c r="H441" s="101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</row>
    <row r="442" spans="1:27" ht="15" x14ac:dyDescent="0.2">
      <c r="A442" s="100"/>
      <c r="B442" s="100"/>
      <c r="C442" s="101"/>
      <c r="D442" s="101"/>
      <c r="E442" s="100"/>
      <c r="F442" s="101"/>
      <c r="G442" s="101"/>
      <c r="H442" s="101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</row>
    <row r="443" spans="1:27" ht="15" x14ac:dyDescent="0.2">
      <c r="A443" s="100"/>
      <c r="B443" s="100"/>
      <c r="C443" s="101"/>
      <c r="D443" s="101"/>
      <c r="E443" s="100"/>
      <c r="F443" s="101"/>
      <c r="G443" s="101"/>
      <c r="H443" s="101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</row>
    <row r="444" spans="1:27" ht="15" x14ac:dyDescent="0.2">
      <c r="A444" s="100"/>
      <c r="B444" s="100"/>
      <c r="C444" s="101"/>
      <c r="D444" s="101"/>
      <c r="E444" s="100"/>
      <c r="F444" s="101"/>
      <c r="G444" s="101"/>
      <c r="H444" s="101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</row>
    <row r="445" spans="1:27" ht="15" x14ac:dyDescent="0.2">
      <c r="A445" s="100"/>
      <c r="B445" s="100"/>
      <c r="C445" s="101"/>
      <c r="D445" s="101"/>
      <c r="E445" s="100"/>
      <c r="F445" s="101"/>
      <c r="G445" s="101"/>
      <c r="H445" s="101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</row>
    <row r="446" spans="1:27" ht="15" x14ac:dyDescent="0.2">
      <c r="A446" s="100"/>
      <c r="B446" s="100"/>
      <c r="C446" s="101"/>
      <c r="D446" s="101"/>
      <c r="E446" s="100"/>
      <c r="F446" s="101"/>
      <c r="G446" s="101"/>
      <c r="H446" s="101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</row>
    <row r="447" spans="1:27" ht="15" x14ac:dyDescent="0.2">
      <c r="A447" s="100"/>
      <c r="B447" s="100"/>
      <c r="C447" s="101"/>
      <c r="D447" s="101"/>
      <c r="E447" s="100"/>
      <c r="F447" s="101"/>
      <c r="G447" s="101"/>
      <c r="H447" s="101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</row>
    <row r="448" spans="1:27" ht="15" x14ac:dyDescent="0.2">
      <c r="A448" s="100"/>
      <c r="B448" s="100"/>
      <c r="C448" s="101"/>
      <c r="D448" s="101"/>
      <c r="E448" s="100"/>
      <c r="F448" s="101"/>
      <c r="G448" s="101"/>
      <c r="H448" s="101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</row>
    <row r="449" spans="1:27" ht="15" x14ac:dyDescent="0.2">
      <c r="A449" s="100"/>
      <c r="B449" s="100"/>
      <c r="C449" s="101"/>
      <c r="D449" s="101"/>
      <c r="E449" s="100"/>
      <c r="F449" s="101"/>
      <c r="G449" s="101"/>
      <c r="H449" s="101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</row>
    <row r="450" spans="1:27" ht="15" x14ac:dyDescent="0.2">
      <c r="A450" s="100"/>
      <c r="B450" s="100"/>
      <c r="C450" s="101"/>
      <c r="D450" s="101"/>
      <c r="E450" s="100"/>
      <c r="F450" s="101"/>
      <c r="G450" s="101"/>
      <c r="H450" s="101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</row>
    <row r="451" spans="1:27" ht="15" x14ac:dyDescent="0.2">
      <c r="A451" s="100"/>
      <c r="B451" s="100"/>
      <c r="C451" s="101"/>
      <c r="D451" s="101"/>
      <c r="E451" s="100"/>
      <c r="F451" s="101"/>
      <c r="G451" s="101"/>
      <c r="H451" s="101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</row>
    <row r="452" spans="1:27" ht="15" x14ac:dyDescent="0.2">
      <c r="A452" s="100"/>
      <c r="B452" s="100"/>
      <c r="C452" s="101"/>
      <c r="D452" s="101"/>
      <c r="E452" s="100"/>
      <c r="F452" s="101"/>
      <c r="G452" s="101"/>
      <c r="H452" s="101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</row>
    <row r="453" spans="1:27" ht="15" x14ac:dyDescent="0.2">
      <c r="A453" s="100"/>
      <c r="B453" s="100"/>
      <c r="C453" s="101"/>
      <c r="D453" s="101"/>
      <c r="E453" s="100"/>
      <c r="F453" s="101"/>
      <c r="G453" s="101"/>
      <c r="H453" s="101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</row>
    <row r="454" spans="1:27" ht="15" x14ac:dyDescent="0.2">
      <c r="A454" s="100"/>
      <c r="B454" s="100"/>
      <c r="C454" s="101"/>
      <c r="D454" s="101"/>
      <c r="E454" s="100"/>
      <c r="F454" s="101"/>
      <c r="G454" s="101"/>
      <c r="H454" s="101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</row>
    <row r="455" spans="1:27" ht="15" x14ac:dyDescent="0.2">
      <c r="A455" s="100"/>
      <c r="B455" s="100"/>
      <c r="C455" s="101"/>
      <c r="D455" s="101"/>
      <c r="E455" s="100"/>
      <c r="F455" s="101"/>
      <c r="G455" s="101"/>
      <c r="H455" s="101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</row>
    <row r="456" spans="1:27" ht="15" x14ac:dyDescent="0.2">
      <c r="A456" s="100"/>
      <c r="B456" s="100"/>
      <c r="C456" s="101"/>
      <c r="D456" s="101"/>
      <c r="E456" s="100"/>
      <c r="F456" s="101"/>
      <c r="G456" s="101"/>
      <c r="H456" s="101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</row>
    <row r="457" spans="1:27" ht="15" x14ac:dyDescent="0.2">
      <c r="A457" s="100"/>
      <c r="B457" s="100"/>
      <c r="C457" s="101"/>
      <c r="D457" s="101"/>
      <c r="E457" s="100"/>
      <c r="F457" s="101"/>
      <c r="G457" s="101"/>
      <c r="H457" s="101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</row>
    <row r="458" spans="1:27" ht="15" x14ac:dyDescent="0.2">
      <c r="A458" s="100"/>
      <c r="B458" s="100"/>
      <c r="C458" s="101"/>
      <c r="D458" s="101"/>
      <c r="E458" s="100"/>
      <c r="F458" s="101"/>
      <c r="G458" s="101"/>
      <c r="H458" s="101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</row>
    <row r="459" spans="1:27" ht="15" x14ac:dyDescent="0.2">
      <c r="A459" s="100"/>
      <c r="B459" s="100"/>
      <c r="C459" s="101"/>
      <c r="D459" s="101"/>
      <c r="E459" s="100"/>
      <c r="F459" s="101"/>
      <c r="G459" s="101"/>
      <c r="H459" s="101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</row>
    <row r="460" spans="1:27" ht="15" x14ac:dyDescent="0.2">
      <c r="A460" s="100"/>
      <c r="B460" s="100"/>
      <c r="C460" s="101"/>
      <c r="D460" s="101"/>
      <c r="E460" s="100"/>
      <c r="F460" s="101"/>
      <c r="G460" s="101"/>
      <c r="H460" s="101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</row>
    <row r="461" spans="1:27" ht="15" x14ac:dyDescent="0.2">
      <c r="A461" s="100"/>
      <c r="B461" s="100"/>
      <c r="C461" s="101"/>
      <c r="D461" s="101"/>
      <c r="E461" s="100"/>
      <c r="F461" s="101"/>
      <c r="G461" s="101"/>
      <c r="H461" s="101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</row>
    <row r="462" spans="1:27" ht="15" x14ac:dyDescent="0.2">
      <c r="A462" s="100"/>
      <c r="B462" s="100"/>
      <c r="C462" s="101"/>
      <c r="D462" s="101"/>
      <c r="E462" s="100"/>
      <c r="F462" s="101"/>
      <c r="G462" s="101"/>
      <c r="H462" s="101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</row>
    <row r="463" spans="1:27" ht="15" x14ac:dyDescent="0.2">
      <c r="A463" s="100"/>
      <c r="B463" s="100"/>
      <c r="C463" s="101"/>
      <c r="D463" s="101"/>
      <c r="E463" s="100"/>
      <c r="F463" s="101"/>
      <c r="G463" s="101"/>
      <c r="H463" s="101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</row>
    <row r="464" spans="1:27" ht="15" x14ac:dyDescent="0.2">
      <c r="A464" s="100"/>
      <c r="B464" s="100"/>
      <c r="C464" s="101"/>
      <c r="D464" s="101"/>
      <c r="E464" s="100"/>
      <c r="F464" s="101"/>
      <c r="G464" s="101"/>
      <c r="H464" s="101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</row>
    <row r="465" spans="1:27" ht="15" x14ac:dyDescent="0.2">
      <c r="A465" s="100"/>
      <c r="B465" s="100"/>
      <c r="C465" s="101"/>
      <c r="D465" s="101"/>
      <c r="E465" s="100"/>
      <c r="F465" s="101"/>
      <c r="G465" s="101"/>
      <c r="H465" s="101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</row>
    <row r="466" spans="1:27" ht="15" x14ac:dyDescent="0.2">
      <c r="A466" s="100"/>
      <c r="B466" s="100"/>
      <c r="C466" s="101"/>
      <c r="D466" s="101"/>
      <c r="E466" s="100"/>
      <c r="F466" s="101"/>
      <c r="G466" s="101"/>
      <c r="H466" s="101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</row>
    <row r="467" spans="1:27" ht="15" x14ac:dyDescent="0.2">
      <c r="A467" s="100"/>
      <c r="B467" s="100"/>
      <c r="C467" s="101"/>
      <c r="D467" s="101"/>
      <c r="E467" s="100"/>
      <c r="F467" s="101"/>
      <c r="G467" s="101"/>
      <c r="H467" s="101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</row>
    <row r="468" spans="1:27" ht="15" x14ac:dyDescent="0.2">
      <c r="A468" s="100"/>
      <c r="B468" s="100"/>
      <c r="C468" s="101"/>
      <c r="D468" s="101"/>
      <c r="E468" s="100"/>
      <c r="F468" s="101"/>
      <c r="G468" s="101"/>
      <c r="H468" s="101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</row>
    <row r="469" spans="1:27" ht="15" x14ac:dyDescent="0.2">
      <c r="A469" s="100"/>
      <c r="B469" s="100"/>
      <c r="C469" s="101"/>
      <c r="D469" s="101"/>
      <c r="E469" s="100"/>
      <c r="F469" s="101"/>
      <c r="G469" s="101"/>
      <c r="H469" s="101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</row>
    <row r="470" spans="1:27" ht="15" x14ac:dyDescent="0.2">
      <c r="A470" s="100"/>
      <c r="B470" s="100"/>
      <c r="C470" s="101"/>
      <c r="D470" s="101"/>
      <c r="E470" s="100"/>
      <c r="F470" s="101"/>
      <c r="G470" s="101"/>
      <c r="H470" s="101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</row>
    <row r="471" spans="1:27" ht="15" x14ac:dyDescent="0.2">
      <c r="A471" s="100"/>
      <c r="B471" s="100"/>
      <c r="C471" s="101"/>
      <c r="D471" s="101"/>
      <c r="E471" s="100"/>
      <c r="F471" s="101"/>
      <c r="G471" s="101"/>
      <c r="H471" s="101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</row>
    <row r="472" spans="1:27" ht="15" x14ac:dyDescent="0.2">
      <c r="A472" s="100"/>
      <c r="B472" s="100"/>
      <c r="C472" s="101"/>
      <c r="D472" s="101"/>
      <c r="E472" s="100"/>
      <c r="F472" s="101"/>
      <c r="G472" s="101"/>
      <c r="H472" s="101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</row>
    <row r="473" spans="1:27" ht="15" x14ac:dyDescent="0.2">
      <c r="A473" s="100"/>
      <c r="B473" s="100"/>
      <c r="C473" s="101"/>
      <c r="D473" s="101"/>
      <c r="E473" s="100"/>
      <c r="F473" s="101"/>
      <c r="G473" s="101"/>
      <c r="H473" s="101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</row>
    <row r="474" spans="1:27" ht="15" x14ac:dyDescent="0.2">
      <c r="A474" s="100"/>
      <c r="B474" s="100"/>
      <c r="C474" s="101"/>
      <c r="D474" s="101"/>
      <c r="E474" s="100"/>
      <c r="F474" s="101"/>
      <c r="G474" s="101"/>
      <c r="H474" s="101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</row>
    <row r="475" spans="1:27" ht="15" x14ac:dyDescent="0.2">
      <c r="A475" s="100"/>
      <c r="B475" s="100"/>
      <c r="C475" s="101"/>
      <c r="D475" s="101"/>
      <c r="E475" s="100"/>
      <c r="F475" s="101"/>
      <c r="G475" s="101"/>
      <c r="H475" s="101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</row>
    <row r="476" spans="1:27" ht="15" x14ac:dyDescent="0.2">
      <c r="A476" s="100"/>
      <c r="B476" s="100"/>
      <c r="C476" s="101"/>
      <c r="D476" s="101"/>
      <c r="E476" s="100"/>
      <c r="F476" s="101"/>
      <c r="G476" s="101"/>
      <c r="H476" s="101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</row>
    <row r="477" spans="1:27" ht="15" x14ac:dyDescent="0.2">
      <c r="A477" s="100"/>
      <c r="B477" s="100"/>
      <c r="C477" s="101"/>
      <c r="D477" s="101"/>
      <c r="E477" s="100"/>
      <c r="F477" s="101"/>
      <c r="G477" s="101"/>
      <c r="H477" s="101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</row>
    <row r="478" spans="1:27" ht="15" x14ac:dyDescent="0.2">
      <c r="A478" s="100"/>
      <c r="B478" s="100"/>
      <c r="C478" s="101"/>
      <c r="D478" s="101"/>
      <c r="E478" s="100"/>
      <c r="F478" s="101"/>
      <c r="G478" s="101"/>
      <c r="H478" s="101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</row>
    <row r="479" spans="1:27" ht="15" x14ac:dyDescent="0.2">
      <c r="A479" s="100"/>
      <c r="B479" s="100"/>
      <c r="C479" s="101"/>
      <c r="D479" s="101"/>
      <c r="E479" s="100"/>
      <c r="F479" s="101"/>
      <c r="G479" s="101"/>
      <c r="H479" s="101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</row>
    <row r="480" spans="1:27" ht="15" x14ac:dyDescent="0.2">
      <c r="A480" s="100"/>
      <c r="B480" s="100"/>
      <c r="C480" s="101"/>
      <c r="D480" s="101"/>
      <c r="E480" s="100"/>
      <c r="F480" s="101"/>
      <c r="G480" s="101"/>
      <c r="H480" s="101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</row>
    <row r="481" spans="1:27" ht="15" x14ac:dyDescent="0.2">
      <c r="A481" s="100"/>
      <c r="B481" s="100"/>
      <c r="C481" s="101"/>
      <c r="D481" s="101"/>
      <c r="E481" s="100"/>
      <c r="F481" s="101"/>
      <c r="G481" s="101"/>
      <c r="H481" s="101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</row>
    <row r="482" spans="1:27" ht="15" x14ac:dyDescent="0.2">
      <c r="A482" s="100"/>
      <c r="B482" s="100"/>
      <c r="C482" s="101"/>
      <c r="D482" s="101"/>
      <c r="E482" s="100"/>
      <c r="F482" s="101"/>
      <c r="G482" s="101"/>
      <c r="H482" s="101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</row>
    <row r="483" spans="1:27" ht="15" x14ac:dyDescent="0.2">
      <c r="A483" s="100"/>
      <c r="B483" s="100"/>
      <c r="C483" s="101"/>
      <c r="D483" s="101"/>
      <c r="E483" s="100"/>
      <c r="F483" s="101"/>
      <c r="G483" s="101"/>
      <c r="H483" s="101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</row>
    <row r="484" spans="1:27" ht="15" x14ac:dyDescent="0.2">
      <c r="A484" s="100"/>
      <c r="B484" s="100"/>
      <c r="C484" s="101"/>
      <c r="D484" s="101"/>
      <c r="E484" s="100"/>
      <c r="F484" s="101"/>
      <c r="G484" s="101"/>
      <c r="H484" s="101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</row>
    <row r="485" spans="1:27" ht="15" x14ac:dyDescent="0.2">
      <c r="A485" s="100"/>
      <c r="B485" s="100"/>
      <c r="C485" s="101"/>
      <c r="D485" s="101"/>
      <c r="E485" s="100"/>
      <c r="F485" s="101"/>
      <c r="G485" s="101"/>
      <c r="H485" s="101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</row>
    <row r="486" spans="1:27" ht="15" x14ac:dyDescent="0.2">
      <c r="A486" s="100"/>
      <c r="B486" s="100"/>
      <c r="C486" s="101"/>
      <c r="D486" s="101"/>
      <c r="E486" s="100"/>
      <c r="F486" s="101"/>
      <c r="G486" s="101"/>
      <c r="H486" s="101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</row>
    <row r="487" spans="1:27" ht="15" x14ac:dyDescent="0.2">
      <c r="A487" s="100"/>
      <c r="B487" s="100"/>
      <c r="C487" s="101"/>
      <c r="D487" s="101"/>
      <c r="E487" s="100"/>
      <c r="F487" s="101"/>
      <c r="G487" s="101"/>
      <c r="H487" s="101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</row>
    <row r="488" spans="1:27" ht="15" x14ac:dyDescent="0.2">
      <c r="A488" s="100"/>
      <c r="B488" s="100"/>
      <c r="C488" s="101"/>
      <c r="D488" s="101"/>
      <c r="E488" s="100"/>
      <c r="F488" s="101"/>
      <c r="G488" s="101"/>
      <c r="H488" s="101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</row>
    <row r="489" spans="1:27" ht="15" x14ac:dyDescent="0.2">
      <c r="A489" s="100"/>
      <c r="B489" s="100"/>
      <c r="C489" s="101"/>
      <c r="D489" s="101"/>
      <c r="E489" s="100"/>
      <c r="F489" s="101"/>
      <c r="G489" s="101"/>
      <c r="H489" s="101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</row>
    <row r="490" spans="1:27" ht="15" x14ac:dyDescent="0.2">
      <c r="A490" s="100"/>
      <c r="B490" s="100"/>
      <c r="C490" s="101"/>
      <c r="D490" s="101"/>
      <c r="E490" s="100"/>
      <c r="F490" s="101"/>
      <c r="G490" s="101"/>
      <c r="H490" s="101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</row>
    <row r="491" spans="1:27" ht="15" x14ac:dyDescent="0.2">
      <c r="A491" s="100"/>
      <c r="B491" s="100"/>
      <c r="C491" s="101"/>
      <c r="D491" s="101"/>
      <c r="E491" s="100"/>
      <c r="F491" s="101"/>
      <c r="G491" s="101"/>
      <c r="H491" s="101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</row>
    <row r="492" spans="1:27" ht="15" x14ac:dyDescent="0.2">
      <c r="A492" s="100"/>
      <c r="B492" s="100"/>
      <c r="C492" s="101"/>
      <c r="D492" s="101"/>
      <c r="E492" s="100"/>
      <c r="F492" s="101"/>
      <c r="G492" s="101"/>
      <c r="H492" s="101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</row>
    <row r="493" spans="1:27" ht="15" x14ac:dyDescent="0.2">
      <c r="A493" s="100"/>
      <c r="B493" s="100"/>
      <c r="C493" s="101"/>
      <c r="D493" s="101"/>
      <c r="E493" s="100"/>
      <c r="F493" s="101"/>
      <c r="G493" s="101"/>
      <c r="H493" s="101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</row>
    <row r="494" spans="1:27" ht="15" x14ac:dyDescent="0.2">
      <c r="A494" s="100"/>
      <c r="B494" s="100"/>
      <c r="C494" s="101"/>
      <c r="D494" s="101"/>
      <c r="E494" s="100"/>
      <c r="F494" s="101"/>
      <c r="G494" s="101"/>
      <c r="H494" s="101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</row>
    <row r="495" spans="1:27" ht="15" x14ac:dyDescent="0.2">
      <c r="A495" s="100"/>
      <c r="B495" s="100"/>
      <c r="C495" s="101"/>
      <c r="D495" s="101"/>
      <c r="E495" s="100"/>
      <c r="F495" s="101"/>
      <c r="G495" s="101"/>
      <c r="H495" s="101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</row>
    <row r="496" spans="1:27" ht="15" x14ac:dyDescent="0.2">
      <c r="A496" s="100"/>
      <c r="B496" s="100"/>
      <c r="C496" s="101"/>
      <c r="D496" s="101"/>
      <c r="E496" s="100"/>
      <c r="F496" s="101"/>
      <c r="G496" s="101"/>
      <c r="H496" s="101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</row>
    <row r="497" spans="1:27" ht="15" x14ac:dyDescent="0.2">
      <c r="A497" s="100"/>
      <c r="B497" s="100"/>
      <c r="C497" s="101"/>
      <c r="D497" s="101"/>
      <c r="E497" s="100"/>
      <c r="F497" s="101"/>
      <c r="G497" s="101"/>
      <c r="H497" s="101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</row>
    <row r="498" spans="1:27" ht="15" x14ac:dyDescent="0.2">
      <c r="A498" s="100"/>
      <c r="B498" s="100"/>
      <c r="C498" s="101"/>
      <c r="D498" s="101"/>
      <c r="E498" s="100"/>
      <c r="F498" s="101"/>
      <c r="G498" s="101"/>
      <c r="H498" s="101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</row>
    <row r="499" spans="1:27" ht="15" x14ac:dyDescent="0.2">
      <c r="A499" s="100"/>
      <c r="B499" s="100"/>
      <c r="C499" s="101"/>
      <c r="D499" s="101"/>
      <c r="E499" s="100"/>
      <c r="F499" s="101"/>
      <c r="G499" s="101"/>
      <c r="H499" s="101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</row>
    <row r="500" spans="1:27" ht="15" x14ac:dyDescent="0.2">
      <c r="A500" s="100"/>
      <c r="B500" s="100"/>
      <c r="C500" s="101"/>
      <c r="D500" s="101"/>
      <c r="E500" s="100"/>
      <c r="F500" s="101"/>
      <c r="G500" s="101"/>
      <c r="H500" s="101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</row>
    <row r="501" spans="1:27" ht="15" x14ac:dyDescent="0.2">
      <c r="A501" s="100"/>
      <c r="B501" s="100"/>
      <c r="C501" s="101"/>
      <c r="D501" s="101"/>
      <c r="E501" s="100"/>
      <c r="F501" s="101"/>
      <c r="G501" s="101"/>
      <c r="H501" s="101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</row>
    <row r="502" spans="1:27" ht="15" x14ac:dyDescent="0.2">
      <c r="A502" s="100"/>
      <c r="B502" s="100"/>
      <c r="C502" s="101"/>
      <c r="D502" s="101"/>
      <c r="E502" s="100"/>
      <c r="F502" s="101"/>
      <c r="G502" s="101"/>
      <c r="H502" s="101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</row>
    <row r="503" spans="1:27" ht="15" x14ac:dyDescent="0.2">
      <c r="A503" s="100"/>
      <c r="B503" s="100"/>
      <c r="C503" s="101"/>
      <c r="D503" s="101"/>
      <c r="E503" s="100"/>
      <c r="F503" s="101"/>
      <c r="G503" s="101"/>
      <c r="H503" s="101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</row>
    <row r="504" spans="1:27" ht="15" x14ac:dyDescent="0.2">
      <c r="A504" s="100"/>
      <c r="B504" s="100"/>
      <c r="C504" s="101"/>
      <c r="D504" s="101"/>
      <c r="E504" s="100"/>
      <c r="F504" s="101"/>
      <c r="G504" s="101"/>
      <c r="H504" s="101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</row>
    <row r="505" spans="1:27" ht="15" x14ac:dyDescent="0.2">
      <c r="A505" s="100"/>
      <c r="B505" s="100"/>
      <c r="C505" s="101"/>
      <c r="D505" s="101"/>
      <c r="E505" s="100"/>
      <c r="F505" s="101"/>
      <c r="G505" s="101"/>
      <c r="H505" s="101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</row>
    <row r="506" spans="1:27" ht="15" x14ac:dyDescent="0.2">
      <c r="A506" s="100"/>
      <c r="B506" s="100"/>
      <c r="C506" s="101"/>
      <c r="D506" s="101"/>
      <c r="E506" s="100"/>
      <c r="F506" s="101"/>
      <c r="G506" s="101"/>
      <c r="H506" s="101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</row>
    <row r="507" spans="1:27" ht="15" x14ac:dyDescent="0.2">
      <c r="A507" s="100"/>
      <c r="B507" s="100"/>
      <c r="C507" s="101"/>
      <c r="D507" s="101"/>
      <c r="E507" s="100"/>
      <c r="F507" s="101"/>
      <c r="G507" s="101"/>
      <c r="H507" s="101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</row>
    <row r="508" spans="1:27" ht="15" x14ac:dyDescent="0.2">
      <c r="A508" s="100"/>
      <c r="B508" s="100"/>
      <c r="C508" s="101"/>
      <c r="D508" s="101"/>
      <c r="E508" s="100"/>
      <c r="F508" s="101"/>
      <c r="G508" s="101"/>
      <c r="H508" s="101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</row>
    <row r="509" spans="1:27" ht="15" x14ac:dyDescent="0.2">
      <c r="A509" s="100"/>
      <c r="B509" s="100"/>
      <c r="C509" s="101"/>
      <c r="D509" s="101"/>
      <c r="E509" s="100"/>
      <c r="F509" s="101"/>
      <c r="G509" s="101"/>
      <c r="H509" s="101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</row>
    <row r="510" spans="1:27" ht="15" x14ac:dyDescent="0.2">
      <c r="A510" s="100"/>
      <c r="B510" s="100"/>
      <c r="C510" s="101"/>
      <c r="D510" s="101"/>
      <c r="E510" s="100"/>
      <c r="F510" s="101"/>
      <c r="G510" s="101"/>
      <c r="H510" s="101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</row>
    <row r="511" spans="1:27" ht="15" x14ac:dyDescent="0.2">
      <c r="A511" s="100"/>
      <c r="B511" s="100"/>
      <c r="C511" s="101"/>
      <c r="D511" s="101"/>
      <c r="E511" s="100"/>
      <c r="F511" s="101"/>
      <c r="G511" s="101"/>
      <c r="H511" s="101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</row>
    <row r="512" spans="1:27" ht="15" x14ac:dyDescent="0.2">
      <c r="A512" s="100"/>
      <c r="B512" s="100"/>
      <c r="C512" s="101"/>
      <c r="D512" s="101"/>
      <c r="E512" s="100"/>
      <c r="F512" s="101"/>
      <c r="G512" s="101"/>
      <c r="H512" s="101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</row>
    <row r="513" spans="1:27" ht="15" x14ac:dyDescent="0.2">
      <c r="A513" s="100"/>
      <c r="B513" s="100"/>
      <c r="C513" s="101"/>
      <c r="D513" s="101"/>
      <c r="E513" s="100"/>
      <c r="F513" s="101"/>
      <c r="G513" s="101"/>
      <c r="H513" s="101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</row>
    <row r="514" spans="1:27" ht="15" x14ac:dyDescent="0.2">
      <c r="A514" s="100"/>
      <c r="B514" s="100"/>
      <c r="C514" s="101"/>
      <c r="D514" s="101"/>
      <c r="E514" s="100"/>
      <c r="F514" s="101"/>
      <c r="G514" s="101"/>
      <c r="H514" s="101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</row>
    <row r="515" spans="1:27" ht="15" x14ac:dyDescent="0.2">
      <c r="A515" s="100"/>
      <c r="B515" s="100"/>
      <c r="C515" s="101"/>
      <c r="D515" s="101"/>
      <c r="E515" s="100"/>
      <c r="F515" s="101"/>
      <c r="G515" s="101"/>
      <c r="H515" s="101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</row>
    <row r="516" spans="1:27" ht="15" x14ac:dyDescent="0.2">
      <c r="A516" s="100"/>
      <c r="B516" s="100"/>
      <c r="C516" s="101"/>
      <c r="D516" s="101"/>
      <c r="E516" s="100"/>
      <c r="F516" s="101"/>
      <c r="G516" s="101"/>
      <c r="H516" s="101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</row>
    <row r="517" spans="1:27" ht="15" x14ac:dyDescent="0.2">
      <c r="A517" s="100"/>
      <c r="B517" s="100"/>
      <c r="C517" s="101"/>
      <c r="D517" s="101"/>
      <c r="E517" s="100"/>
      <c r="F517" s="101"/>
      <c r="G517" s="101"/>
      <c r="H517" s="101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</row>
    <row r="518" spans="1:27" ht="15" x14ac:dyDescent="0.2">
      <c r="A518" s="100"/>
      <c r="B518" s="100"/>
      <c r="C518" s="101"/>
      <c r="D518" s="101"/>
      <c r="E518" s="100"/>
      <c r="F518" s="101"/>
      <c r="G518" s="101"/>
      <c r="H518" s="101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</row>
    <row r="519" spans="1:27" ht="15" x14ac:dyDescent="0.2">
      <c r="A519" s="100"/>
      <c r="B519" s="100"/>
      <c r="C519" s="101"/>
      <c r="D519" s="101"/>
      <c r="E519" s="100"/>
      <c r="F519" s="101"/>
      <c r="G519" s="101"/>
      <c r="H519" s="101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</row>
    <row r="520" spans="1:27" ht="15" x14ac:dyDescent="0.2">
      <c r="A520" s="100"/>
      <c r="B520" s="100"/>
      <c r="C520" s="101"/>
      <c r="D520" s="101"/>
      <c r="E520" s="100"/>
      <c r="F520" s="101"/>
      <c r="G520" s="101"/>
      <c r="H520" s="101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</row>
    <row r="521" spans="1:27" ht="15" x14ac:dyDescent="0.2">
      <c r="A521" s="100"/>
      <c r="B521" s="100"/>
      <c r="C521" s="101"/>
      <c r="D521" s="101"/>
      <c r="E521" s="100"/>
      <c r="F521" s="101"/>
      <c r="G521" s="101"/>
      <c r="H521" s="101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</row>
    <row r="522" spans="1:27" ht="15" x14ac:dyDescent="0.2">
      <c r="A522" s="100"/>
      <c r="B522" s="100"/>
      <c r="C522" s="101"/>
      <c r="D522" s="101"/>
      <c r="E522" s="100"/>
      <c r="F522" s="101"/>
      <c r="G522" s="101"/>
      <c r="H522" s="101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</row>
    <row r="523" spans="1:27" ht="15" x14ac:dyDescent="0.2">
      <c r="A523" s="100"/>
      <c r="B523" s="100"/>
      <c r="C523" s="101"/>
      <c r="D523" s="101"/>
      <c r="E523" s="100"/>
      <c r="F523" s="101"/>
      <c r="G523" s="101"/>
      <c r="H523" s="101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</row>
    <row r="524" spans="1:27" ht="15" x14ac:dyDescent="0.2">
      <c r="A524" s="100"/>
      <c r="B524" s="100"/>
      <c r="C524" s="101"/>
      <c r="D524" s="101"/>
      <c r="E524" s="100"/>
      <c r="F524" s="101"/>
      <c r="G524" s="101"/>
      <c r="H524" s="101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</row>
    <row r="525" spans="1:27" ht="15" x14ac:dyDescent="0.2">
      <c r="A525" s="100"/>
      <c r="B525" s="100"/>
      <c r="C525" s="101"/>
      <c r="D525" s="101"/>
      <c r="E525" s="100"/>
      <c r="F525" s="101"/>
      <c r="G525" s="101"/>
      <c r="H525" s="101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</row>
    <row r="526" spans="1:27" ht="15" x14ac:dyDescent="0.2">
      <c r="A526" s="100"/>
      <c r="B526" s="100"/>
      <c r="C526" s="101"/>
      <c r="D526" s="101"/>
      <c r="E526" s="100"/>
      <c r="F526" s="101"/>
      <c r="G526" s="101"/>
      <c r="H526" s="101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</row>
    <row r="527" spans="1:27" ht="15" x14ac:dyDescent="0.2">
      <c r="A527" s="100"/>
      <c r="B527" s="100"/>
      <c r="C527" s="101"/>
      <c r="D527" s="101"/>
      <c r="E527" s="100"/>
      <c r="F527" s="101"/>
      <c r="G527" s="101"/>
      <c r="H527" s="101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</row>
    <row r="528" spans="1:27" ht="15" x14ac:dyDescent="0.2">
      <c r="A528" s="100"/>
      <c r="B528" s="100"/>
      <c r="C528" s="101"/>
      <c r="D528" s="101"/>
      <c r="E528" s="100"/>
      <c r="F528" s="101"/>
      <c r="G528" s="101"/>
      <c r="H528" s="101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</row>
    <row r="529" spans="1:27" ht="15" x14ac:dyDescent="0.2">
      <c r="A529" s="100"/>
      <c r="B529" s="100"/>
      <c r="C529" s="101"/>
      <c r="D529" s="101"/>
      <c r="E529" s="100"/>
      <c r="F529" s="101"/>
      <c r="G529" s="101"/>
      <c r="H529" s="101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</row>
    <row r="530" spans="1:27" ht="15" x14ac:dyDescent="0.2">
      <c r="A530" s="100"/>
      <c r="B530" s="100"/>
      <c r="C530" s="101"/>
      <c r="D530" s="101"/>
      <c r="E530" s="100"/>
      <c r="F530" s="101"/>
      <c r="G530" s="101"/>
      <c r="H530" s="101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</row>
    <row r="531" spans="1:27" ht="15" x14ac:dyDescent="0.2">
      <c r="A531" s="100"/>
      <c r="B531" s="100"/>
      <c r="C531" s="101"/>
      <c r="D531" s="101"/>
      <c r="E531" s="100"/>
      <c r="F531" s="101"/>
      <c r="G531" s="101"/>
      <c r="H531" s="101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</row>
    <row r="532" spans="1:27" ht="15" x14ac:dyDescent="0.2">
      <c r="A532" s="100"/>
      <c r="B532" s="100"/>
      <c r="C532" s="101"/>
      <c r="D532" s="101"/>
      <c r="E532" s="100"/>
      <c r="F532" s="101"/>
      <c r="G532" s="101"/>
      <c r="H532" s="101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</row>
    <row r="533" spans="1:27" ht="15" x14ac:dyDescent="0.2">
      <c r="A533" s="100"/>
      <c r="B533" s="100"/>
      <c r="C533" s="101"/>
      <c r="D533" s="101"/>
      <c r="E533" s="100"/>
      <c r="F533" s="101"/>
      <c r="G533" s="101"/>
      <c r="H533" s="101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</row>
    <row r="534" spans="1:27" ht="15" x14ac:dyDescent="0.2">
      <c r="A534" s="100"/>
      <c r="B534" s="100"/>
      <c r="C534" s="101"/>
      <c r="D534" s="101"/>
      <c r="E534" s="100"/>
      <c r="F534" s="101"/>
      <c r="G534" s="101"/>
      <c r="H534" s="101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</row>
    <row r="535" spans="1:27" ht="15" x14ac:dyDescent="0.2">
      <c r="A535" s="100"/>
      <c r="B535" s="100"/>
      <c r="C535" s="101"/>
      <c r="D535" s="101"/>
      <c r="E535" s="100"/>
      <c r="F535" s="101"/>
      <c r="G535" s="101"/>
      <c r="H535" s="101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</row>
    <row r="536" spans="1:27" ht="15" x14ac:dyDescent="0.2">
      <c r="A536" s="100"/>
      <c r="B536" s="100"/>
      <c r="C536" s="101"/>
      <c r="D536" s="101"/>
      <c r="E536" s="100"/>
      <c r="F536" s="101"/>
      <c r="G536" s="101"/>
      <c r="H536" s="101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</row>
    <row r="537" spans="1:27" ht="15" x14ac:dyDescent="0.2">
      <c r="A537" s="100"/>
      <c r="B537" s="100"/>
      <c r="C537" s="101"/>
      <c r="D537" s="101"/>
      <c r="E537" s="100"/>
      <c r="F537" s="101"/>
      <c r="G537" s="101"/>
      <c r="H537" s="101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</row>
    <row r="538" spans="1:27" ht="15" x14ac:dyDescent="0.2">
      <c r="A538" s="100"/>
      <c r="B538" s="100"/>
      <c r="C538" s="101"/>
      <c r="D538" s="101"/>
      <c r="E538" s="100"/>
      <c r="F538" s="101"/>
      <c r="G538" s="101"/>
      <c r="H538" s="101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</row>
    <row r="539" spans="1:27" ht="15" x14ac:dyDescent="0.2">
      <c r="A539" s="100"/>
      <c r="B539" s="100"/>
      <c r="C539" s="101"/>
      <c r="D539" s="101"/>
      <c r="E539" s="100"/>
      <c r="F539" s="101"/>
      <c r="G539" s="101"/>
      <c r="H539" s="101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</row>
    <row r="540" spans="1:27" ht="15" x14ac:dyDescent="0.2">
      <c r="A540" s="100"/>
      <c r="B540" s="100"/>
      <c r="C540" s="101"/>
      <c r="D540" s="101"/>
      <c r="E540" s="100"/>
      <c r="F540" s="101"/>
      <c r="G540" s="101"/>
      <c r="H540" s="101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</row>
    <row r="541" spans="1:27" ht="15" x14ac:dyDescent="0.2">
      <c r="A541" s="100"/>
      <c r="B541" s="100"/>
      <c r="C541" s="101"/>
      <c r="D541" s="101"/>
      <c r="E541" s="100"/>
      <c r="F541" s="101"/>
      <c r="G541" s="101"/>
      <c r="H541" s="101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</row>
    <row r="542" spans="1:27" ht="15" x14ac:dyDescent="0.2">
      <c r="A542" s="100"/>
      <c r="B542" s="100"/>
      <c r="C542" s="101"/>
      <c r="D542" s="101"/>
      <c r="E542" s="100"/>
      <c r="F542" s="101"/>
      <c r="G542" s="101"/>
      <c r="H542" s="101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</row>
    <row r="543" spans="1:27" ht="15" x14ac:dyDescent="0.2">
      <c r="A543" s="100"/>
      <c r="B543" s="100"/>
      <c r="C543" s="101"/>
      <c r="D543" s="101"/>
      <c r="E543" s="100"/>
      <c r="F543" s="101"/>
      <c r="G543" s="101"/>
      <c r="H543" s="101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</row>
    <row r="544" spans="1:27" ht="15" x14ac:dyDescent="0.2">
      <c r="A544" s="100"/>
      <c r="B544" s="100"/>
      <c r="C544" s="101"/>
      <c r="D544" s="101"/>
      <c r="E544" s="100"/>
      <c r="F544" s="101"/>
      <c r="G544" s="101"/>
      <c r="H544" s="101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</row>
    <row r="545" spans="1:27" ht="15" x14ac:dyDescent="0.2">
      <c r="A545" s="100"/>
      <c r="B545" s="100"/>
      <c r="C545" s="101"/>
      <c r="D545" s="101"/>
      <c r="E545" s="100"/>
      <c r="F545" s="101"/>
      <c r="G545" s="101"/>
      <c r="H545" s="101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</row>
    <row r="546" spans="1:27" ht="15" x14ac:dyDescent="0.2">
      <c r="A546" s="100"/>
      <c r="B546" s="100"/>
      <c r="C546" s="101"/>
      <c r="D546" s="101"/>
      <c r="E546" s="100"/>
      <c r="F546" s="101"/>
      <c r="G546" s="101"/>
      <c r="H546" s="101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</row>
    <row r="547" spans="1:27" ht="15" x14ac:dyDescent="0.2">
      <c r="A547" s="100"/>
      <c r="B547" s="100"/>
      <c r="C547" s="101"/>
      <c r="D547" s="101"/>
      <c r="E547" s="100"/>
      <c r="F547" s="101"/>
      <c r="G547" s="101"/>
      <c r="H547" s="101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</row>
    <row r="548" spans="1:27" ht="15" x14ac:dyDescent="0.2">
      <c r="A548" s="100"/>
      <c r="B548" s="100"/>
      <c r="C548" s="101"/>
      <c r="D548" s="101"/>
      <c r="E548" s="100"/>
      <c r="F548" s="101"/>
      <c r="G548" s="101"/>
      <c r="H548" s="101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</row>
    <row r="549" spans="1:27" ht="15" x14ac:dyDescent="0.2">
      <c r="A549" s="100"/>
      <c r="B549" s="100"/>
      <c r="C549" s="101"/>
      <c r="D549" s="101"/>
      <c r="E549" s="100"/>
      <c r="F549" s="101"/>
      <c r="G549" s="101"/>
      <c r="H549" s="101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</row>
    <row r="550" spans="1:27" ht="15" x14ac:dyDescent="0.2">
      <c r="A550" s="100"/>
      <c r="B550" s="100"/>
      <c r="C550" s="101"/>
      <c r="D550" s="101"/>
      <c r="E550" s="100"/>
      <c r="F550" s="101"/>
      <c r="G550" s="101"/>
      <c r="H550" s="101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</row>
    <row r="551" spans="1:27" ht="15" x14ac:dyDescent="0.2">
      <c r="A551" s="100"/>
      <c r="B551" s="100"/>
      <c r="C551" s="101"/>
      <c r="D551" s="101"/>
      <c r="E551" s="100"/>
      <c r="F551" s="101"/>
      <c r="G551" s="101"/>
      <c r="H551" s="101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</row>
    <row r="552" spans="1:27" ht="15" x14ac:dyDescent="0.2">
      <c r="A552" s="100"/>
      <c r="B552" s="100"/>
      <c r="C552" s="101"/>
      <c r="D552" s="101"/>
      <c r="E552" s="100"/>
      <c r="F552" s="101"/>
      <c r="G552" s="101"/>
      <c r="H552" s="101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</row>
    <row r="553" spans="1:27" ht="15" x14ac:dyDescent="0.2">
      <c r="A553" s="100"/>
      <c r="B553" s="100"/>
      <c r="C553" s="101"/>
      <c r="D553" s="101"/>
      <c r="E553" s="100"/>
      <c r="F553" s="101"/>
      <c r="G553" s="101"/>
      <c r="H553" s="101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</row>
    <row r="554" spans="1:27" ht="15" x14ac:dyDescent="0.2">
      <c r="A554" s="100"/>
      <c r="B554" s="100"/>
      <c r="C554" s="101"/>
      <c r="D554" s="101"/>
      <c r="E554" s="100"/>
      <c r="F554" s="101"/>
      <c r="G554" s="101"/>
      <c r="H554" s="101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</row>
    <row r="555" spans="1:27" ht="15" x14ac:dyDescent="0.2">
      <c r="A555" s="100"/>
      <c r="B555" s="100"/>
      <c r="C555" s="101"/>
      <c r="D555" s="101"/>
      <c r="E555" s="100"/>
      <c r="F555" s="101"/>
      <c r="G555" s="101"/>
      <c r="H555" s="101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</row>
    <row r="556" spans="1:27" ht="15" x14ac:dyDescent="0.2">
      <c r="A556" s="100"/>
      <c r="B556" s="100"/>
      <c r="C556" s="101"/>
      <c r="D556" s="101"/>
      <c r="E556" s="100"/>
      <c r="F556" s="101"/>
      <c r="G556" s="101"/>
      <c r="H556" s="101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</row>
    <row r="557" spans="1:27" ht="15" x14ac:dyDescent="0.2">
      <c r="A557" s="100"/>
      <c r="B557" s="100"/>
      <c r="C557" s="101"/>
      <c r="D557" s="101"/>
      <c r="E557" s="100"/>
      <c r="F557" s="101"/>
      <c r="G557" s="101"/>
      <c r="H557" s="101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</row>
    <row r="558" spans="1:27" ht="15" x14ac:dyDescent="0.2">
      <c r="A558" s="100"/>
      <c r="B558" s="100"/>
      <c r="C558" s="101"/>
      <c r="D558" s="101"/>
      <c r="E558" s="100"/>
      <c r="F558" s="101"/>
      <c r="G558" s="101"/>
      <c r="H558" s="101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</row>
    <row r="559" spans="1:27" ht="15" x14ac:dyDescent="0.2">
      <c r="A559" s="100"/>
      <c r="B559" s="100"/>
      <c r="C559" s="101"/>
      <c r="D559" s="101"/>
      <c r="E559" s="100"/>
      <c r="F559" s="101"/>
      <c r="G559" s="101"/>
      <c r="H559" s="101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</row>
    <row r="560" spans="1:27" ht="15" x14ac:dyDescent="0.2">
      <c r="A560" s="100"/>
      <c r="B560" s="100"/>
      <c r="C560" s="101"/>
      <c r="D560" s="101"/>
      <c r="E560" s="100"/>
      <c r="F560" s="101"/>
      <c r="G560" s="101"/>
      <c r="H560" s="101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</row>
    <row r="561" spans="1:27" ht="15" x14ac:dyDescent="0.2">
      <c r="A561" s="100"/>
      <c r="B561" s="100"/>
      <c r="C561" s="101"/>
      <c r="D561" s="101"/>
      <c r="E561" s="100"/>
      <c r="F561" s="101"/>
      <c r="G561" s="101"/>
      <c r="H561" s="101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</row>
    <row r="562" spans="1:27" ht="15" x14ac:dyDescent="0.2">
      <c r="A562" s="100"/>
      <c r="B562" s="100"/>
      <c r="C562" s="101"/>
      <c r="D562" s="101"/>
      <c r="E562" s="100"/>
      <c r="F562" s="101"/>
      <c r="G562" s="101"/>
      <c r="H562" s="101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</row>
    <row r="563" spans="1:27" ht="15" x14ac:dyDescent="0.2">
      <c r="A563" s="100"/>
      <c r="B563" s="100"/>
      <c r="C563" s="101"/>
      <c r="D563" s="101"/>
      <c r="E563" s="100"/>
      <c r="F563" s="101"/>
      <c r="G563" s="101"/>
      <c r="H563" s="101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</row>
    <row r="564" spans="1:27" ht="15" x14ac:dyDescent="0.2">
      <c r="A564" s="100"/>
      <c r="B564" s="100"/>
      <c r="C564" s="101"/>
      <c r="D564" s="101"/>
      <c r="E564" s="100"/>
      <c r="F564" s="101"/>
      <c r="G564" s="101"/>
      <c r="H564" s="101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</row>
    <row r="565" spans="1:27" ht="15" x14ac:dyDescent="0.2">
      <c r="A565" s="100"/>
      <c r="B565" s="100"/>
      <c r="C565" s="101"/>
      <c r="D565" s="101"/>
      <c r="E565" s="100"/>
      <c r="F565" s="101"/>
      <c r="G565" s="101"/>
      <c r="H565" s="101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</row>
    <row r="566" spans="1:27" ht="15" x14ac:dyDescent="0.2">
      <c r="A566" s="100"/>
      <c r="B566" s="100"/>
      <c r="C566" s="101"/>
      <c r="D566" s="101"/>
      <c r="E566" s="100"/>
      <c r="F566" s="101"/>
      <c r="G566" s="101"/>
      <c r="H566" s="101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</row>
    <row r="567" spans="1:27" ht="15" x14ac:dyDescent="0.2">
      <c r="A567" s="100"/>
      <c r="B567" s="100"/>
      <c r="C567" s="101"/>
      <c r="D567" s="101"/>
      <c r="E567" s="100"/>
      <c r="F567" s="101"/>
      <c r="G567" s="101"/>
      <c r="H567" s="101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</row>
    <row r="568" spans="1:27" ht="15" x14ac:dyDescent="0.2">
      <c r="A568" s="100"/>
      <c r="B568" s="100"/>
      <c r="C568" s="101"/>
      <c r="D568" s="101"/>
      <c r="E568" s="100"/>
      <c r="F568" s="101"/>
      <c r="G568" s="101"/>
      <c r="H568" s="101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</row>
    <row r="569" spans="1:27" ht="15" x14ac:dyDescent="0.2">
      <c r="A569" s="100"/>
      <c r="B569" s="100"/>
      <c r="C569" s="101"/>
      <c r="D569" s="101"/>
      <c r="E569" s="100"/>
      <c r="F569" s="101"/>
      <c r="G569" s="101"/>
      <c r="H569" s="101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</row>
    <row r="570" spans="1:27" ht="15" x14ac:dyDescent="0.2">
      <c r="A570" s="100"/>
      <c r="B570" s="100"/>
      <c r="C570" s="101"/>
      <c r="D570" s="101"/>
      <c r="E570" s="100"/>
      <c r="F570" s="101"/>
      <c r="G570" s="101"/>
      <c r="H570" s="101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</row>
    <row r="571" spans="1:27" ht="15" x14ac:dyDescent="0.2">
      <c r="A571" s="100"/>
      <c r="B571" s="100"/>
      <c r="C571" s="101"/>
      <c r="D571" s="101"/>
      <c r="E571" s="100"/>
      <c r="F571" s="101"/>
      <c r="G571" s="101"/>
      <c r="H571" s="101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</row>
    <row r="572" spans="1:27" ht="15" x14ac:dyDescent="0.2">
      <c r="A572" s="100"/>
      <c r="B572" s="100"/>
      <c r="C572" s="101"/>
      <c r="D572" s="101"/>
      <c r="E572" s="100"/>
      <c r="F572" s="101"/>
      <c r="G572" s="101"/>
      <c r="H572" s="101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</row>
    <row r="573" spans="1:27" ht="15" x14ac:dyDescent="0.2">
      <c r="A573" s="100"/>
      <c r="B573" s="100"/>
      <c r="C573" s="101"/>
      <c r="D573" s="101"/>
      <c r="E573" s="100"/>
      <c r="F573" s="101"/>
      <c r="G573" s="101"/>
      <c r="H573" s="101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</row>
    <row r="574" spans="1:27" ht="15" x14ac:dyDescent="0.2">
      <c r="A574" s="100"/>
      <c r="B574" s="100"/>
      <c r="C574" s="101"/>
      <c r="D574" s="101"/>
      <c r="E574" s="100"/>
      <c r="F574" s="101"/>
      <c r="G574" s="101"/>
      <c r="H574" s="101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</row>
    <row r="575" spans="1:27" ht="15" x14ac:dyDescent="0.2">
      <c r="A575" s="100"/>
      <c r="B575" s="100"/>
      <c r="C575" s="101"/>
      <c r="D575" s="101"/>
      <c r="E575" s="100"/>
      <c r="F575" s="101"/>
      <c r="G575" s="101"/>
      <c r="H575" s="101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</row>
    <row r="576" spans="1:27" ht="15" x14ac:dyDescent="0.2">
      <c r="A576" s="100"/>
      <c r="B576" s="100"/>
      <c r="C576" s="101"/>
      <c r="D576" s="101"/>
      <c r="E576" s="100"/>
      <c r="F576" s="101"/>
      <c r="G576" s="101"/>
      <c r="H576" s="101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</row>
    <row r="577" spans="1:27" ht="15" x14ac:dyDescent="0.2">
      <c r="A577" s="100"/>
      <c r="B577" s="100"/>
      <c r="C577" s="101"/>
      <c r="D577" s="101"/>
      <c r="E577" s="100"/>
      <c r="F577" s="101"/>
      <c r="G577" s="101"/>
      <c r="H577" s="101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</row>
    <row r="578" spans="1:27" ht="15" x14ac:dyDescent="0.2">
      <c r="A578" s="100"/>
      <c r="B578" s="100"/>
      <c r="C578" s="101"/>
      <c r="D578" s="101"/>
      <c r="E578" s="100"/>
      <c r="F578" s="101"/>
      <c r="G578" s="101"/>
      <c r="H578" s="101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</row>
    <row r="579" spans="1:27" ht="15" x14ac:dyDescent="0.2">
      <c r="A579" s="100"/>
      <c r="B579" s="100"/>
      <c r="C579" s="101"/>
      <c r="D579" s="101"/>
      <c r="E579" s="100"/>
      <c r="F579" s="101"/>
      <c r="G579" s="101"/>
      <c r="H579" s="101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</row>
    <row r="580" spans="1:27" ht="15" x14ac:dyDescent="0.2">
      <c r="A580" s="100"/>
      <c r="B580" s="100"/>
      <c r="C580" s="101"/>
      <c r="D580" s="101"/>
      <c r="E580" s="100"/>
      <c r="F580" s="101"/>
      <c r="G580" s="101"/>
      <c r="H580" s="101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</row>
    <row r="581" spans="1:27" ht="15" x14ac:dyDescent="0.2">
      <c r="A581" s="100"/>
      <c r="B581" s="100"/>
      <c r="C581" s="101"/>
      <c r="D581" s="101"/>
      <c r="E581" s="100"/>
      <c r="F581" s="101"/>
      <c r="G581" s="101"/>
      <c r="H581" s="101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</row>
    <row r="582" spans="1:27" ht="15" x14ac:dyDescent="0.2">
      <c r="A582" s="100"/>
      <c r="B582" s="100"/>
      <c r="C582" s="101"/>
      <c r="D582" s="101"/>
      <c r="E582" s="100"/>
      <c r="F582" s="101"/>
      <c r="G582" s="101"/>
      <c r="H582" s="101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</row>
    <row r="583" spans="1:27" ht="15" x14ac:dyDescent="0.2">
      <c r="A583" s="100"/>
      <c r="B583" s="100"/>
      <c r="C583" s="101"/>
      <c r="D583" s="101"/>
      <c r="E583" s="100"/>
      <c r="F583" s="101"/>
      <c r="G583" s="101"/>
      <c r="H583" s="101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</row>
    <row r="584" spans="1:27" ht="15" x14ac:dyDescent="0.2">
      <c r="A584" s="100"/>
      <c r="B584" s="100"/>
      <c r="C584" s="101"/>
      <c r="D584" s="101"/>
      <c r="E584" s="100"/>
      <c r="F584" s="101"/>
      <c r="G584" s="101"/>
      <c r="H584" s="101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</row>
    <row r="585" spans="1:27" ht="15" x14ac:dyDescent="0.2">
      <c r="A585" s="100"/>
      <c r="B585" s="100"/>
      <c r="C585" s="101"/>
      <c r="D585" s="101"/>
      <c r="E585" s="100"/>
      <c r="F585" s="101"/>
      <c r="G585" s="101"/>
      <c r="H585" s="101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</row>
    <row r="586" spans="1:27" ht="15" x14ac:dyDescent="0.2">
      <c r="A586" s="100"/>
      <c r="B586" s="100"/>
      <c r="C586" s="101"/>
      <c r="D586" s="101"/>
      <c r="E586" s="100"/>
      <c r="F586" s="101"/>
      <c r="G586" s="101"/>
      <c r="H586" s="101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</row>
    <row r="587" spans="1:27" ht="15" x14ac:dyDescent="0.2">
      <c r="A587" s="100"/>
      <c r="B587" s="100"/>
      <c r="C587" s="101"/>
      <c r="D587" s="101"/>
      <c r="E587" s="100"/>
      <c r="F587" s="101"/>
      <c r="G587" s="101"/>
      <c r="H587" s="101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</row>
    <row r="588" spans="1:27" ht="15" x14ac:dyDescent="0.2">
      <c r="A588" s="100"/>
      <c r="B588" s="100"/>
      <c r="C588" s="101"/>
      <c r="D588" s="101"/>
      <c r="E588" s="100"/>
      <c r="F588" s="101"/>
      <c r="G588" s="101"/>
      <c r="H588" s="101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</row>
    <row r="589" spans="1:27" ht="15" x14ac:dyDescent="0.2">
      <c r="A589" s="100"/>
      <c r="B589" s="100"/>
      <c r="C589" s="101"/>
      <c r="D589" s="101"/>
      <c r="E589" s="100"/>
      <c r="F589" s="101"/>
      <c r="G589" s="101"/>
      <c r="H589" s="101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</row>
    <row r="590" spans="1:27" ht="15" x14ac:dyDescent="0.2">
      <c r="A590" s="100"/>
      <c r="B590" s="100"/>
      <c r="C590" s="101"/>
      <c r="D590" s="101"/>
      <c r="E590" s="100"/>
      <c r="F590" s="101"/>
      <c r="G590" s="101"/>
      <c r="H590" s="101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</row>
    <row r="591" spans="1:27" ht="15" x14ac:dyDescent="0.2">
      <c r="A591" s="100"/>
      <c r="B591" s="100"/>
      <c r="C591" s="101"/>
      <c r="D591" s="101"/>
      <c r="E591" s="100"/>
      <c r="F591" s="101"/>
      <c r="G591" s="101"/>
      <c r="H591" s="101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</row>
    <row r="592" spans="1:27" ht="15" x14ac:dyDescent="0.2">
      <c r="A592" s="100"/>
      <c r="B592" s="100"/>
      <c r="C592" s="101"/>
      <c r="D592" s="101"/>
      <c r="E592" s="100"/>
      <c r="F592" s="101"/>
      <c r="G592" s="101"/>
      <c r="H592" s="101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</row>
    <row r="593" spans="1:27" ht="15" x14ac:dyDescent="0.2">
      <c r="A593" s="100"/>
      <c r="B593" s="100"/>
      <c r="C593" s="101"/>
      <c r="D593" s="101"/>
      <c r="E593" s="100"/>
      <c r="F593" s="101"/>
      <c r="G593" s="101"/>
      <c r="H593" s="101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</row>
    <row r="594" spans="1:27" ht="15" x14ac:dyDescent="0.2">
      <c r="A594" s="100"/>
      <c r="B594" s="100"/>
      <c r="C594" s="101"/>
      <c r="D594" s="101"/>
      <c r="E594" s="100"/>
      <c r="F594" s="101"/>
      <c r="G594" s="101"/>
      <c r="H594" s="101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</row>
    <row r="595" spans="1:27" ht="15" x14ac:dyDescent="0.2">
      <c r="A595" s="100"/>
      <c r="B595" s="100"/>
      <c r="C595" s="101"/>
      <c r="D595" s="101"/>
      <c r="E595" s="100"/>
      <c r="F595" s="101"/>
      <c r="G595" s="101"/>
      <c r="H595" s="101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</row>
    <row r="596" spans="1:27" ht="15" x14ac:dyDescent="0.2">
      <c r="A596" s="100"/>
      <c r="B596" s="100"/>
      <c r="C596" s="101"/>
      <c r="D596" s="101"/>
      <c r="E596" s="100"/>
      <c r="F596" s="101"/>
      <c r="G596" s="101"/>
      <c r="H596" s="101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</row>
    <row r="597" spans="1:27" ht="15" x14ac:dyDescent="0.2">
      <c r="A597" s="100"/>
      <c r="B597" s="100"/>
      <c r="C597" s="101"/>
      <c r="D597" s="101"/>
      <c r="E597" s="100"/>
      <c r="F597" s="101"/>
      <c r="G597" s="101"/>
      <c r="H597" s="101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</row>
    <row r="598" spans="1:27" ht="15" x14ac:dyDescent="0.2">
      <c r="A598" s="100"/>
      <c r="B598" s="100"/>
      <c r="C598" s="101"/>
      <c r="D598" s="101"/>
      <c r="E598" s="100"/>
      <c r="F598" s="101"/>
      <c r="G598" s="101"/>
      <c r="H598" s="101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</row>
    <row r="599" spans="1:27" ht="15" x14ac:dyDescent="0.2">
      <c r="A599" s="100"/>
      <c r="B599" s="100"/>
      <c r="C599" s="101"/>
      <c r="D599" s="101"/>
      <c r="E599" s="100"/>
      <c r="F599" s="101"/>
      <c r="G599" s="101"/>
      <c r="H599" s="101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</row>
    <row r="600" spans="1:27" ht="15" x14ac:dyDescent="0.2">
      <c r="A600" s="100"/>
      <c r="B600" s="100"/>
      <c r="C600" s="101"/>
      <c r="D600" s="101"/>
      <c r="E600" s="100"/>
      <c r="F600" s="101"/>
      <c r="G600" s="101"/>
      <c r="H600" s="101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</row>
    <row r="601" spans="1:27" ht="15" x14ac:dyDescent="0.2">
      <c r="A601" s="100"/>
      <c r="B601" s="100"/>
      <c r="C601" s="101"/>
      <c r="D601" s="101"/>
      <c r="E601" s="100"/>
      <c r="F601" s="101"/>
      <c r="G601" s="101"/>
      <c r="H601" s="101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</row>
    <row r="602" spans="1:27" ht="15" x14ac:dyDescent="0.2">
      <c r="A602" s="100"/>
      <c r="B602" s="100"/>
      <c r="C602" s="101"/>
      <c r="D602" s="101"/>
      <c r="E602" s="100"/>
      <c r="F602" s="101"/>
      <c r="G602" s="101"/>
      <c r="H602" s="101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</row>
    <row r="603" spans="1:27" ht="15" x14ac:dyDescent="0.2">
      <c r="A603" s="100"/>
      <c r="B603" s="100"/>
      <c r="C603" s="101"/>
      <c r="D603" s="101"/>
      <c r="E603" s="100"/>
      <c r="F603" s="101"/>
      <c r="G603" s="101"/>
      <c r="H603" s="101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</row>
    <row r="604" spans="1:27" ht="15" x14ac:dyDescent="0.2">
      <c r="A604" s="100"/>
      <c r="B604" s="100"/>
      <c r="C604" s="101"/>
      <c r="D604" s="101"/>
      <c r="E604" s="100"/>
      <c r="F604" s="101"/>
      <c r="G604" s="101"/>
      <c r="H604" s="101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</row>
    <row r="605" spans="1:27" ht="15" x14ac:dyDescent="0.2">
      <c r="A605" s="100"/>
      <c r="B605" s="100"/>
      <c r="C605" s="101"/>
      <c r="D605" s="101"/>
      <c r="E605" s="100"/>
      <c r="F605" s="101"/>
      <c r="G605" s="101"/>
      <c r="H605" s="101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</row>
    <row r="606" spans="1:27" ht="15" x14ac:dyDescent="0.2">
      <c r="A606" s="100"/>
      <c r="B606" s="100"/>
      <c r="C606" s="101"/>
      <c r="D606" s="101"/>
      <c r="E606" s="100"/>
      <c r="F606" s="101"/>
      <c r="G606" s="101"/>
      <c r="H606" s="101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</row>
    <row r="607" spans="1:27" ht="15" x14ac:dyDescent="0.2">
      <c r="A607" s="100"/>
      <c r="B607" s="100"/>
      <c r="C607" s="101"/>
      <c r="D607" s="101"/>
      <c r="E607" s="100"/>
      <c r="F607" s="101"/>
      <c r="G607" s="101"/>
      <c r="H607" s="101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</row>
    <row r="608" spans="1:27" ht="15" x14ac:dyDescent="0.2">
      <c r="A608" s="100"/>
      <c r="B608" s="100"/>
      <c r="C608" s="101"/>
      <c r="D608" s="101"/>
      <c r="E608" s="100"/>
      <c r="F608" s="101"/>
      <c r="G608" s="101"/>
      <c r="H608" s="101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</row>
    <row r="609" spans="1:27" ht="15" x14ac:dyDescent="0.2">
      <c r="A609" s="100"/>
      <c r="B609" s="100"/>
      <c r="C609" s="101"/>
      <c r="D609" s="101"/>
      <c r="E609" s="100"/>
      <c r="F609" s="101"/>
      <c r="G609" s="101"/>
      <c r="H609" s="101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</row>
    <row r="610" spans="1:27" ht="15" x14ac:dyDescent="0.2">
      <c r="A610" s="100"/>
      <c r="B610" s="100"/>
      <c r="C610" s="101"/>
      <c r="D610" s="101"/>
      <c r="E610" s="100"/>
      <c r="F610" s="101"/>
      <c r="G610" s="101"/>
      <c r="H610" s="101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</row>
    <row r="611" spans="1:27" ht="15" x14ac:dyDescent="0.2">
      <c r="A611" s="100"/>
      <c r="B611" s="100"/>
      <c r="C611" s="101"/>
      <c r="D611" s="101"/>
      <c r="E611" s="100"/>
      <c r="F611" s="101"/>
      <c r="G611" s="101"/>
      <c r="H611" s="101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</row>
    <row r="612" spans="1:27" ht="15" x14ac:dyDescent="0.2">
      <c r="A612" s="100"/>
      <c r="B612" s="100"/>
      <c r="C612" s="101"/>
      <c r="D612" s="101"/>
      <c r="E612" s="100"/>
      <c r="F612" s="101"/>
      <c r="G612" s="101"/>
      <c r="H612" s="101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</row>
    <row r="613" spans="1:27" ht="15" x14ac:dyDescent="0.2">
      <c r="A613" s="100"/>
      <c r="B613" s="100"/>
      <c r="C613" s="101"/>
      <c r="D613" s="101"/>
      <c r="E613" s="100"/>
      <c r="F613" s="101"/>
      <c r="G613" s="101"/>
      <c r="H613" s="101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</row>
    <row r="614" spans="1:27" ht="15" x14ac:dyDescent="0.2">
      <c r="A614" s="100"/>
      <c r="B614" s="100"/>
      <c r="C614" s="101"/>
      <c r="D614" s="101"/>
      <c r="E614" s="100"/>
      <c r="F614" s="101"/>
      <c r="G614" s="101"/>
      <c r="H614" s="101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</row>
    <row r="615" spans="1:27" ht="15" x14ac:dyDescent="0.2">
      <c r="A615" s="100"/>
      <c r="B615" s="100"/>
      <c r="C615" s="101"/>
      <c r="D615" s="101"/>
      <c r="E615" s="100"/>
      <c r="F615" s="101"/>
      <c r="G615" s="101"/>
      <c r="H615" s="101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</row>
    <row r="616" spans="1:27" ht="15" x14ac:dyDescent="0.2">
      <c r="A616" s="100"/>
      <c r="B616" s="100"/>
      <c r="C616" s="101"/>
      <c r="D616" s="101"/>
      <c r="E616" s="100"/>
      <c r="F616" s="101"/>
      <c r="G616" s="101"/>
      <c r="H616" s="101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</row>
    <row r="617" spans="1:27" ht="15" x14ac:dyDescent="0.2">
      <c r="A617" s="100"/>
      <c r="B617" s="100"/>
      <c r="C617" s="101"/>
      <c r="D617" s="101"/>
      <c r="E617" s="100"/>
      <c r="F617" s="101"/>
      <c r="G617" s="101"/>
      <c r="H617" s="101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</row>
    <row r="618" spans="1:27" ht="15" x14ac:dyDescent="0.2">
      <c r="A618" s="100"/>
      <c r="B618" s="100"/>
      <c r="C618" s="101"/>
      <c r="D618" s="101"/>
      <c r="E618" s="100"/>
      <c r="F618" s="101"/>
      <c r="G618" s="101"/>
      <c r="H618" s="101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</row>
    <row r="619" spans="1:27" ht="15" x14ac:dyDescent="0.2">
      <c r="A619" s="100"/>
      <c r="B619" s="100"/>
      <c r="C619" s="101"/>
      <c r="D619" s="101"/>
      <c r="E619" s="100"/>
      <c r="F619" s="101"/>
      <c r="G619" s="101"/>
      <c r="H619" s="101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</row>
    <row r="620" spans="1:27" ht="15" x14ac:dyDescent="0.2">
      <c r="A620" s="100"/>
      <c r="B620" s="100"/>
      <c r="C620" s="101"/>
      <c r="D620" s="101"/>
      <c r="E620" s="100"/>
      <c r="F620" s="101"/>
      <c r="G620" s="101"/>
      <c r="H620" s="101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</row>
    <row r="621" spans="1:27" ht="15" x14ac:dyDescent="0.2">
      <c r="A621" s="100"/>
      <c r="B621" s="100"/>
      <c r="C621" s="101"/>
      <c r="D621" s="101"/>
      <c r="E621" s="100"/>
      <c r="F621" s="101"/>
      <c r="G621" s="101"/>
      <c r="H621" s="101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</row>
    <row r="622" spans="1:27" ht="15" x14ac:dyDescent="0.2">
      <c r="A622" s="100"/>
      <c r="B622" s="100"/>
      <c r="C622" s="101"/>
      <c r="D622" s="101"/>
      <c r="E622" s="100"/>
      <c r="F622" s="101"/>
      <c r="G622" s="101"/>
      <c r="H622" s="101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</row>
    <row r="623" spans="1:27" ht="15" x14ac:dyDescent="0.2">
      <c r="A623" s="100"/>
      <c r="B623" s="100"/>
      <c r="C623" s="101"/>
      <c r="D623" s="101"/>
      <c r="E623" s="100"/>
      <c r="F623" s="101"/>
      <c r="G623" s="101"/>
      <c r="H623" s="101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</row>
    <row r="624" spans="1:27" ht="15" x14ac:dyDescent="0.2">
      <c r="A624" s="100"/>
      <c r="B624" s="100"/>
      <c r="C624" s="101"/>
      <c r="D624" s="101"/>
      <c r="E624" s="100"/>
      <c r="F624" s="101"/>
      <c r="G624" s="101"/>
      <c r="H624" s="101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</row>
    <row r="625" spans="1:27" ht="15" x14ac:dyDescent="0.2">
      <c r="A625" s="100"/>
      <c r="B625" s="100"/>
      <c r="C625" s="101"/>
      <c r="D625" s="101"/>
      <c r="E625" s="100"/>
      <c r="F625" s="101"/>
      <c r="G625" s="101"/>
      <c r="H625" s="101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</row>
    <row r="626" spans="1:27" ht="15" x14ac:dyDescent="0.2">
      <c r="A626" s="100"/>
      <c r="B626" s="100"/>
      <c r="C626" s="101"/>
      <c r="D626" s="101"/>
      <c r="E626" s="100"/>
      <c r="F626" s="101"/>
      <c r="G626" s="101"/>
      <c r="H626" s="101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</row>
    <row r="627" spans="1:27" ht="15" x14ac:dyDescent="0.2">
      <c r="A627" s="100"/>
      <c r="B627" s="100"/>
      <c r="C627" s="101"/>
      <c r="D627" s="101"/>
      <c r="E627" s="100"/>
      <c r="F627" s="101"/>
      <c r="G627" s="101"/>
      <c r="H627" s="101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</row>
    <row r="628" spans="1:27" ht="15" x14ac:dyDescent="0.2">
      <c r="A628" s="100"/>
      <c r="B628" s="100"/>
      <c r="C628" s="101"/>
      <c r="D628" s="101"/>
      <c r="E628" s="100"/>
      <c r="F628" s="101"/>
      <c r="G628" s="101"/>
      <c r="H628" s="101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</row>
    <row r="629" spans="1:27" ht="15" x14ac:dyDescent="0.2">
      <c r="A629" s="100"/>
      <c r="B629" s="100"/>
      <c r="C629" s="101"/>
      <c r="D629" s="101"/>
      <c r="E629" s="100"/>
      <c r="F629" s="101"/>
      <c r="G629" s="101"/>
      <c r="H629" s="101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</row>
    <row r="630" spans="1:27" ht="15" x14ac:dyDescent="0.2">
      <c r="A630" s="100"/>
      <c r="B630" s="100"/>
      <c r="C630" s="101"/>
      <c r="D630" s="101"/>
      <c r="E630" s="100"/>
      <c r="F630" s="101"/>
      <c r="G630" s="101"/>
      <c r="H630" s="101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</row>
    <row r="631" spans="1:27" ht="15" x14ac:dyDescent="0.2">
      <c r="A631" s="100"/>
      <c r="B631" s="100"/>
      <c r="C631" s="101"/>
      <c r="D631" s="101"/>
      <c r="E631" s="100"/>
      <c r="F631" s="101"/>
      <c r="G631" s="101"/>
      <c r="H631" s="101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</row>
    <row r="632" spans="1:27" ht="15" x14ac:dyDescent="0.2">
      <c r="A632" s="100"/>
      <c r="B632" s="100"/>
      <c r="C632" s="101"/>
      <c r="D632" s="101"/>
      <c r="E632" s="100"/>
      <c r="F632" s="101"/>
      <c r="G632" s="101"/>
      <c r="H632" s="101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</row>
    <row r="633" spans="1:27" ht="15" x14ac:dyDescent="0.2">
      <c r="A633" s="100"/>
      <c r="B633" s="100"/>
      <c r="C633" s="101"/>
      <c r="D633" s="101"/>
      <c r="E633" s="100"/>
      <c r="F633" s="101"/>
      <c r="G633" s="101"/>
      <c r="H633" s="101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</row>
    <row r="634" spans="1:27" ht="15" x14ac:dyDescent="0.2">
      <c r="A634" s="100"/>
      <c r="B634" s="100"/>
      <c r="C634" s="101"/>
      <c r="D634" s="101"/>
      <c r="E634" s="100"/>
      <c r="F634" s="101"/>
      <c r="G634" s="101"/>
      <c r="H634" s="101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</row>
    <row r="635" spans="1:27" ht="15" x14ac:dyDescent="0.2">
      <c r="A635" s="100"/>
      <c r="B635" s="100"/>
      <c r="C635" s="101"/>
      <c r="D635" s="101"/>
      <c r="E635" s="100"/>
      <c r="F635" s="101"/>
      <c r="G635" s="101"/>
      <c r="H635" s="101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</row>
    <row r="636" spans="1:27" ht="15" x14ac:dyDescent="0.2">
      <c r="A636" s="100"/>
      <c r="B636" s="100"/>
      <c r="C636" s="101"/>
      <c r="D636" s="101"/>
      <c r="E636" s="100"/>
      <c r="F636" s="101"/>
      <c r="G636" s="101"/>
      <c r="H636" s="101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</row>
    <row r="637" spans="1:27" ht="15" x14ac:dyDescent="0.2">
      <c r="A637" s="100"/>
      <c r="B637" s="100"/>
      <c r="C637" s="101"/>
      <c r="D637" s="101"/>
      <c r="E637" s="100"/>
      <c r="F637" s="101"/>
      <c r="G637" s="101"/>
      <c r="H637" s="101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</row>
    <row r="638" spans="1:27" ht="15" x14ac:dyDescent="0.2">
      <c r="A638" s="100"/>
      <c r="B638" s="100"/>
      <c r="C638" s="101"/>
      <c r="D638" s="101"/>
      <c r="E638" s="100"/>
      <c r="F638" s="101"/>
      <c r="G638" s="101"/>
      <c r="H638" s="101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</row>
    <row r="639" spans="1:27" ht="15" x14ac:dyDescent="0.2">
      <c r="A639" s="100"/>
      <c r="B639" s="100"/>
      <c r="C639" s="101"/>
      <c r="D639" s="101"/>
      <c r="E639" s="100"/>
      <c r="F639" s="101"/>
      <c r="G639" s="101"/>
      <c r="H639" s="101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</row>
    <row r="640" spans="1:27" ht="15" x14ac:dyDescent="0.2">
      <c r="A640" s="100"/>
      <c r="B640" s="100"/>
      <c r="C640" s="101"/>
      <c r="D640" s="101"/>
      <c r="E640" s="100"/>
      <c r="F640" s="101"/>
      <c r="G640" s="101"/>
      <c r="H640" s="101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</row>
    <row r="641" spans="1:27" ht="15" x14ac:dyDescent="0.2">
      <c r="A641" s="100"/>
      <c r="B641" s="100"/>
      <c r="C641" s="101"/>
      <c r="D641" s="101"/>
      <c r="E641" s="100"/>
      <c r="F641" s="101"/>
      <c r="G641" s="101"/>
      <c r="H641" s="101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</row>
    <row r="642" spans="1:27" ht="15" x14ac:dyDescent="0.2">
      <c r="A642" s="100"/>
      <c r="B642" s="100"/>
      <c r="C642" s="101"/>
      <c r="D642" s="101"/>
      <c r="E642" s="100"/>
      <c r="F642" s="101"/>
      <c r="G642" s="101"/>
      <c r="H642" s="101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</row>
    <row r="643" spans="1:27" ht="15" x14ac:dyDescent="0.2">
      <c r="A643" s="100"/>
      <c r="B643" s="100"/>
      <c r="C643" s="101"/>
      <c r="D643" s="101"/>
      <c r="E643" s="100"/>
      <c r="F643" s="101"/>
      <c r="G643" s="101"/>
      <c r="H643" s="101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</row>
    <row r="644" spans="1:27" ht="15" x14ac:dyDescent="0.2">
      <c r="A644" s="100"/>
      <c r="B644" s="100"/>
      <c r="C644" s="101"/>
      <c r="D644" s="101"/>
      <c r="E644" s="100"/>
      <c r="F644" s="101"/>
      <c r="G644" s="101"/>
      <c r="H644" s="101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</row>
    <row r="645" spans="1:27" ht="15" x14ac:dyDescent="0.2">
      <c r="A645" s="100"/>
      <c r="B645" s="100"/>
      <c r="C645" s="101"/>
      <c r="D645" s="101"/>
      <c r="E645" s="100"/>
      <c r="F645" s="101"/>
      <c r="G645" s="101"/>
      <c r="H645" s="101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</row>
    <row r="646" spans="1:27" ht="15" x14ac:dyDescent="0.2">
      <c r="A646" s="100"/>
      <c r="B646" s="100"/>
      <c r="C646" s="101"/>
      <c r="D646" s="101"/>
      <c r="E646" s="100"/>
      <c r="F646" s="101"/>
      <c r="G646" s="101"/>
      <c r="H646" s="101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</row>
    <row r="647" spans="1:27" ht="15" x14ac:dyDescent="0.2">
      <c r="A647" s="100"/>
      <c r="B647" s="100"/>
      <c r="C647" s="101"/>
      <c r="D647" s="101"/>
      <c r="E647" s="100"/>
      <c r="F647" s="101"/>
      <c r="G647" s="101"/>
      <c r="H647" s="101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</row>
    <row r="648" spans="1:27" ht="15" x14ac:dyDescent="0.2">
      <c r="A648" s="100"/>
      <c r="B648" s="100"/>
      <c r="C648" s="101"/>
      <c r="D648" s="101"/>
      <c r="E648" s="100"/>
      <c r="F648" s="101"/>
      <c r="G648" s="101"/>
      <c r="H648" s="101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</row>
    <row r="649" spans="1:27" ht="15" x14ac:dyDescent="0.2">
      <c r="A649" s="100"/>
      <c r="B649" s="100"/>
      <c r="C649" s="101"/>
      <c r="D649" s="101"/>
      <c r="E649" s="100"/>
      <c r="F649" s="101"/>
      <c r="G649" s="101"/>
      <c r="H649" s="101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</row>
    <row r="650" spans="1:27" ht="15" x14ac:dyDescent="0.2">
      <c r="A650" s="100"/>
      <c r="B650" s="100"/>
      <c r="C650" s="101"/>
      <c r="D650" s="101"/>
      <c r="E650" s="100"/>
      <c r="F650" s="101"/>
      <c r="G650" s="101"/>
      <c r="H650" s="101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</row>
    <row r="651" spans="1:27" ht="15" x14ac:dyDescent="0.2">
      <c r="A651" s="100"/>
      <c r="B651" s="100"/>
      <c r="C651" s="101"/>
      <c r="D651" s="101"/>
      <c r="E651" s="100"/>
      <c r="F651" s="101"/>
      <c r="G651" s="101"/>
      <c r="H651" s="101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</row>
    <row r="652" spans="1:27" ht="15" x14ac:dyDescent="0.2">
      <c r="A652" s="100"/>
      <c r="B652" s="100"/>
      <c r="C652" s="101"/>
      <c r="D652" s="101"/>
      <c r="E652" s="100"/>
      <c r="F652" s="101"/>
      <c r="G652" s="101"/>
      <c r="H652" s="101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</row>
    <row r="653" spans="1:27" ht="15" x14ac:dyDescent="0.2">
      <c r="A653" s="100"/>
      <c r="B653" s="100"/>
      <c r="C653" s="101"/>
      <c r="D653" s="101"/>
      <c r="E653" s="100"/>
      <c r="F653" s="101"/>
      <c r="G653" s="101"/>
      <c r="H653" s="101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</row>
    <row r="654" spans="1:27" ht="15" x14ac:dyDescent="0.2">
      <c r="A654" s="100"/>
      <c r="B654" s="100"/>
      <c r="C654" s="101"/>
      <c r="D654" s="101"/>
      <c r="E654" s="100"/>
      <c r="F654" s="101"/>
      <c r="G654" s="101"/>
      <c r="H654" s="101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</row>
    <row r="655" spans="1:27" ht="15" x14ac:dyDescent="0.2">
      <c r="A655" s="100"/>
      <c r="B655" s="100"/>
      <c r="C655" s="101"/>
      <c r="D655" s="101"/>
      <c r="E655" s="100"/>
      <c r="F655" s="101"/>
      <c r="G655" s="101"/>
      <c r="H655" s="101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</row>
    <row r="656" spans="1:27" ht="15" x14ac:dyDescent="0.2">
      <c r="A656" s="100"/>
      <c r="B656" s="100"/>
      <c r="C656" s="101"/>
      <c r="D656" s="101"/>
      <c r="E656" s="100"/>
      <c r="F656" s="101"/>
      <c r="G656" s="101"/>
      <c r="H656" s="101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</row>
    <row r="657" spans="1:27" ht="15" x14ac:dyDescent="0.2">
      <c r="A657" s="100"/>
      <c r="B657" s="100"/>
      <c r="C657" s="101"/>
      <c r="D657" s="101"/>
      <c r="E657" s="100"/>
      <c r="F657" s="101"/>
      <c r="G657" s="101"/>
      <c r="H657" s="101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</row>
    <row r="658" spans="1:27" ht="15" x14ac:dyDescent="0.2">
      <c r="A658" s="100"/>
      <c r="B658" s="100"/>
      <c r="C658" s="101"/>
      <c r="D658" s="101"/>
      <c r="E658" s="100"/>
      <c r="F658" s="101"/>
      <c r="G658" s="101"/>
      <c r="H658" s="101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</row>
    <row r="659" spans="1:27" ht="15" x14ac:dyDescent="0.2">
      <c r="A659" s="100"/>
      <c r="B659" s="100"/>
      <c r="C659" s="101"/>
      <c r="D659" s="101"/>
      <c r="E659" s="100"/>
      <c r="F659" s="101"/>
      <c r="G659" s="101"/>
      <c r="H659" s="101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</row>
    <row r="660" spans="1:27" ht="15" x14ac:dyDescent="0.2">
      <c r="A660" s="100"/>
      <c r="B660" s="100"/>
      <c r="C660" s="101"/>
      <c r="D660" s="101"/>
      <c r="E660" s="100"/>
      <c r="F660" s="101"/>
      <c r="G660" s="101"/>
      <c r="H660" s="101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</row>
    <row r="661" spans="1:27" ht="15" x14ac:dyDescent="0.2">
      <c r="A661" s="100"/>
      <c r="B661" s="100"/>
      <c r="C661" s="101"/>
      <c r="D661" s="101"/>
      <c r="E661" s="100"/>
      <c r="F661" s="101"/>
      <c r="G661" s="101"/>
      <c r="H661" s="101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</row>
    <row r="662" spans="1:27" ht="15" x14ac:dyDescent="0.2">
      <c r="A662" s="100"/>
      <c r="B662" s="100"/>
      <c r="C662" s="101"/>
      <c r="D662" s="101"/>
      <c r="E662" s="100"/>
      <c r="F662" s="101"/>
      <c r="G662" s="101"/>
      <c r="H662" s="101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</row>
    <row r="663" spans="1:27" ht="15" x14ac:dyDescent="0.2">
      <c r="A663" s="100"/>
      <c r="B663" s="100"/>
      <c r="C663" s="101"/>
      <c r="D663" s="101"/>
      <c r="E663" s="100"/>
      <c r="F663" s="101"/>
      <c r="G663" s="101"/>
      <c r="H663" s="101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</row>
    <row r="664" spans="1:27" ht="15" x14ac:dyDescent="0.2">
      <c r="A664" s="100"/>
      <c r="B664" s="100"/>
      <c r="C664" s="101"/>
      <c r="D664" s="101"/>
      <c r="E664" s="100"/>
      <c r="F664" s="101"/>
      <c r="G664" s="101"/>
      <c r="H664" s="101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</row>
    <row r="665" spans="1:27" ht="15" x14ac:dyDescent="0.2">
      <c r="A665" s="100"/>
      <c r="B665" s="100"/>
      <c r="C665" s="101"/>
      <c r="D665" s="101"/>
      <c r="E665" s="100"/>
      <c r="F665" s="101"/>
      <c r="G665" s="101"/>
      <c r="H665" s="101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</row>
    <row r="666" spans="1:27" ht="15" x14ac:dyDescent="0.2">
      <c r="A666" s="100"/>
      <c r="B666" s="100"/>
      <c r="C666" s="101"/>
      <c r="D666" s="101"/>
      <c r="E666" s="100"/>
      <c r="F666" s="101"/>
      <c r="G666" s="101"/>
      <c r="H666" s="101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</row>
    <row r="667" spans="1:27" ht="15" x14ac:dyDescent="0.2">
      <c r="A667" s="100"/>
      <c r="B667" s="100"/>
      <c r="C667" s="101"/>
      <c r="D667" s="101"/>
      <c r="E667" s="100"/>
      <c r="F667" s="101"/>
      <c r="G667" s="101"/>
      <c r="H667" s="101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</row>
    <row r="668" spans="1:27" ht="15" x14ac:dyDescent="0.2">
      <c r="A668" s="100"/>
      <c r="B668" s="100"/>
      <c r="C668" s="101"/>
      <c r="D668" s="101"/>
      <c r="E668" s="100"/>
      <c r="F668" s="101"/>
      <c r="G668" s="101"/>
      <c r="H668" s="101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</row>
    <row r="669" spans="1:27" ht="15" x14ac:dyDescent="0.2">
      <c r="A669" s="100"/>
      <c r="B669" s="100"/>
      <c r="C669" s="101"/>
      <c r="D669" s="101"/>
      <c r="E669" s="100"/>
      <c r="F669" s="101"/>
      <c r="G669" s="101"/>
      <c r="H669" s="101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</row>
    <row r="670" spans="1:27" ht="15" x14ac:dyDescent="0.2">
      <c r="A670" s="100"/>
      <c r="B670" s="100"/>
      <c r="C670" s="101"/>
      <c r="D670" s="101"/>
      <c r="E670" s="100"/>
      <c r="F670" s="101"/>
      <c r="G670" s="101"/>
      <c r="H670" s="101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</row>
    <row r="671" spans="1:27" ht="15" x14ac:dyDescent="0.2">
      <c r="A671" s="100"/>
      <c r="B671" s="100"/>
      <c r="C671" s="101"/>
      <c r="D671" s="101"/>
      <c r="E671" s="100"/>
      <c r="F671" s="101"/>
      <c r="G671" s="101"/>
      <c r="H671" s="101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</row>
    <row r="672" spans="1:27" ht="15" x14ac:dyDescent="0.2">
      <c r="A672" s="100"/>
      <c r="B672" s="100"/>
      <c r="C672" s="101"/>
      <c r="D672" s="101"/>
      <c r="E672" s="100"/>
      <c r="F672" s="101"/>
      <c r="G672" s="101"/>
      <c r="H672" s="101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</row>
    <row r="673" spans="1:27" ht="15" x14ac:dyDescent="0.2">
      <c r="A673" s="100"/>
      <c r="B673" s="100"/>
      <c r="C673" s="101"/>
      <c r="D673" s="101"/>
      <c r="E673" s="100"/>
      <c r="F673" s="101"/>
      <c r="G673" s="101"/>
      <c r="H673" s="101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</row>
    <row r="674" spans="1:27" ht="15" x14ac:dyDescent="0.2">
      <c r="A674" s="100"/>
      <c r="B674" s="100"/>
      <c r="C674" s="101"/>
      <c r="D674" s="101"/>
      <c r="E674" s="100"/>
      <c r="F674" s="101"/>
      <c r="G674" s="101"/>
      <c r="H674" s="101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</row>
    <row r="675" spans="1:27" ht="15" x14ac:dyDescent="0.2">
      <c r="A675" s="100"/>
      <c r="B675" s="100"/>
      <c r="C675" s="101"/>
      <c r="D675" s="101"/>
      <c r="E675" s="100"/>
      <c r="F675" s="101"/>
      <c r="G675" s="101"/>
      <c r="H675" s="101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</row>
    <row r="676" spans="1:27" ht="15" x14ac:dyDescent="0.2">
      <c r="A676" s="100"/>
      <c r="B676" s="100"/>
      <c r="C676" s="101"/>
      <c r="D676" s="101"/>
      <c r="E676" s="100"/>
      <c r="F676" s="101"/>
      <c r="G676" s="101"/>
      <c r="H676" s="101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</row>
    <row r="677" spans="1:27" ht="15" x14ac:dyDescent="0.2">
      <c r="A677" s="100"/>
      <c r="B677" s="100"/>
      <c r="C677" s="101"/>
      <c r="D677" s="101"/>
      <c r="E677" s="100"/>
      <c r="F677" s="101"/>
      <c r="G677" s="101"/>
      <c r="H677" s="101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</row>
    <row r="678" spans="1:27" ht="15" x14ac:dyDescent="0.2">
      <c r="A678" s="100"/>
      <c r="B678" s="100"/>
      <c r="C678" s="101"/>
      <c r="D678" s="101"/>
      <c r="E678" s="100"/>
      <c r="F678" s="101"/>
      <c r="G678" s="101"/>
      <c r="H678" s="101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</row>
    <row r="679" spans="1:27" ht="15" x14ac:dyDescent="0.2">
      <c r="A679" s="100"/>
      <c r="B679" s="100"/>
      <c r="C679" s="101"/>
      <c r="D679" s="101"/>
      <c r="E679" s="100"/>
      <c r="F679" s="101"/>
      <c r="G679" s="101"/>
      <c r="H679" s="101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</row>
    <row r="680" spans="1:27" ht="15" x14ac:dyDescent="0.2">
      <c r="A680" s="100"/>
      <c r="B680" s="100"/>
      <c r="C680" s="101"/>
      <c r="D680" s="101"/>
      <c r="E680" s="100"/>
      <c r="F680" s="101"/>
      <c r="G680" s="101"/>
      <c r="H680" s="101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</row>
    <row r="681" spans="1:27" ht="15" x14ac:dyDescent="0.2">
      <c r="A681" s="100"/>
      <c r="B681" s="100"/>
      <c r="C681" s="101"/>
      <c r="D681" s="101"/>
      <c r="E681" s="100"/>
      <c r="F681" s="101"/>
      <c r="G681" s="101"/>
      <c r="H681" s="101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</row>
    <row r="682" spans="1:27" ht="15" x14ac:dyDescent="0.2">
      <c r="A682" s="100"/>
      <c r="B682" s="100"/>
      <c r="C682" s="101"/>
      <c r="D682" s="101"/>
      <c r="E682" s="100"/>
      <c r="F682" s="101"/>
      <c r="G682" s="101"/>
      <c r="H682" s="101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</row>
    <row r="683" spans="1:27" ht="15" x14ac:dyDescent="0.2">
      <c r="A683" s="100"/>
      <c r="B683" s="100"/>
      <c r="C683" s="101"/>
      <c r="D683" s="101"/>
      <c r="E683" s="100"/>
      <c r="F683" s="101"/>
      <c r="G683" s="101"/>
      <c r="H683" s="101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</row>
    <row r="684" spans="1:27" ht="15" x14ac:dyDescent="0.2">
      <c r="A684" s="100"/>
      <c r="B684" s="100"/>
      <c r="C684" s="101"/>
      <c r="D684" s="101"/>
      <c r="E684" s="100"/>
      <c r="F684" s="101"/>
      <c r="G684" s="101"/>
      <c r="H684" s="101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</row>
    <row r="685" spans="1:27" ht="15" x14ac:dyDescent="0.2">
      <c r="A685" s="100"/>
      <c r="B685" s="100"/>
      <c r="C685" s="101"/>
      <c r="D685" s="101"/>
      <c r="E685" s="100"/>
      <c r="F685" s="101"/>
      <c r="G685" s="101"/>
      <c r="H685" s="101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</row>
    <row r="686" spans="1:27" ht="15" x14ac:dyDescent="0.2">
      <c r="A686" s="100"/>
      <c r="B686" s="100"/>
      <c r="C686" s="101"/>
      <c r="D686" s="101"/>
      <c r="E686" s="100"/>
      <c r="F686" s="101"/>
      <c r="G686" s="101"/>
      <c r="H686" s="101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</row>
    <row r="687" spans="1:27" ht="15" x14ac:dyDescent="0.2">
      <c r="A687" s="100"/>
      <c r="B687" s="100"/>
      <c r="C687" s="101"/>
      <c r="D687" s="101"/>
      <c r="E687" s="100"/>
      <c r="F687" s="101"/>
      <c r="G687" s="101"/>
      <c r="H687" s="101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</row>
    <row r="688" spans="1:27" ht="15" x14ac:dyDescent="0.2">
      <c r="A688" s="100"/>
      <c r="B688" s="100"/>
      <c r="C688" s="101"/>
      <c r="D688" s="101"/>
      <c r="E688" s="100"/>
      <c r="F688" s="101"/>
      <c r="G688" s="101"/>
      <c r="H688" s="101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</row>
    <row r="689" spans="1:27" ht="15" x14ac:dyDescent="0.2">
      <c r="A689" s="100"/>
      <c r="B689" s="100"/>
      <c r="C689" s="101"/>
      <c r="D689" s="101"/>
      <c r="E689" s="100"/>
      <c r="F689" s="101"/>
      <c r="G689" s="101"/>
      <c r="H689" s="101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</row>
    <row r="690" spans="1:27" ht="15" x14ac:dyDescent="0.2">
      <c r="A690" s="100"/>
      <c r="B690" s="100"/>
      <c r="C690" s="101"/>
      <c r="D690" s="101"/>
      <c r="E690" s="100"/>
      <c r="F690" s="101"/>
      <c r="G690" s="101"/>
      <c r="H690" s="101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</row>
    <row r="691" spans="1:27" ht="15" x14ac:dyDescent="0.2">
      <c r="A691" s="100"/>
      <c r="B691" s="100"/>
      <c r="C691" s="101"/>
      <c r="D691" s="101"/>
      <c r="E691" s="100"/>
      <c r="F691" s="101"/>
      <c r="G691" s="101"/>
      <c r="H691" s="101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</row>
    <row r="692" spans="1:27" ht="15" x14ac:dyDescent="0.2">
      <c r="A692" s="100"/>
      <c r="B692" s="100"/>
      <c r="C692" s="101"/>
      <c r="D692" s="101"/>
      <c r="E692" s="100"/>
      <c r="F692" s="101"/>
      <c r="G692" s="101"/>
      <c r="H692" s="101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</row>
    <row r="693" spans="1:27" ht="15" x14ac:dyDescent="0.2">
      <c r="A693" s="100"/>
      <c r="B693" s="100"/>
      <c r="C693" s="101"/>
      <c r="D693" s="101"/>
      <c r="E693" s="100"/>
      <c r="F693" s="101"/>
      <c r="G693" s="101"/>
      <c r="H693" s="101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</row>
    <row r="694" spans="1:27" ht="15" x14ac:dyDescent="0.2">
      <c r="A694" s="100"/>
      <c r="B694" s="100"/>
      <c r="C694" s="101"/>
      <c r="D694" s="101"/>
      <c r="E694" s="100"/>
      <c r="F694" s="101"/>
      <c r="G694" s="101"/>
      <c r="H694" s="101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</row>
    <row r="695" spans="1:27" ht="15" x14ac:dyDescent="0.2">
      <c r="A695" s="100"/>
      <c r="B695" s="100"/>
      <c r="C695" s="101"/>
      <c r="D695" s="101"/>
      <c r="E695" s="100"/>
      <c r="F695" s="101"/>
      <c r="G695" s="101"/>
      <c r="H695" s="101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</row>
    <row r="696" spans="1:27" ht="15" x14ac:dyDescent="0.2">
      <c r="A696" s="100"/>
      <c r="B696" s="100"/>
      <c r="C696" s="101"/>
      <c r="D696" s="101"/>
      <c r="E696" s="100"/>
      <c r="F696" s="101"/>
      <c r="G696" s="101"/>
      <c r="H696" s="101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</row>
    <row r="697" spans="1:27" ht="15" x14ac:dyDescent="0.2">
      <c r="A697" s="100"/>
      <c r="B697" s="100"/>
      <c r="C697" s="101"/>
      <c r="D697" s="101"/>
      <c r="E697" s="100"/>
      <c r="F697" s="101"/>
      <c r="G697" s="101"/>
      <c r="H697" s="101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</row>
    <row r="698" spans="1:27" ht="15" x14ac:dyDescent="0.2">
      <c r="A698" s="100"/>
      <c r="B698" s="100"/>
      <c r="C698" s="101"/>
      <c r="D698" s="101"/>
      <c r="E698" s="100"/>
      <c r="F698" s="101"/>
      <c r="G698" s="101"/>
      <c r="H698" s="101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</row>
    <row r="699" spans="1:27" ht="15" x14ac:dyDescent="0.2">
      <c r="A699" s="100"/>
      <c r="B699" s="100"/>
      <c r="C699" s="101"/>
      <c r="D699" s="101"/>
      <c r="E699" s="100"/>
      <c r="F699" s="101"/>
      <c r="G699" s="101"/>
      <c r="H699" s="101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</row>
    <row r="700" spans="1:27" ht="15" x14ac:dyDescent="0.2">
      <c r="A700" s="100"/>
      <c r="B700" s="100"/>
      <c r="C700" s="101"/>
      <c r="D700" s="101"/>
      <c r="E700" s="100"/>
      <c r="F700" s="101"/>
      <c r="G700" s="101"/>
      <c r="H700" s="101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</row>
    <row r="701" spans="1:27" ht="15" x14ac:dyDescent="0.2">
      <c r="A701" s="100"/>
      <c r="B701" s="100"/>
      <c r="C701" s="101"/>
      <c r="D701" s="101"/>
      <c r="E701" s="100"/>
      <c r="F701" s="101"/>
      <c r="G701" s="101"/>
      <c r="H701" s="101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</row>
    <row r="702" spans="1:27" ht="15" x14ac:dyDescent="0.2">
      <c r="A702" s="100"/>
      <c r="B702" s="100"/>
      <c r="C702" s="101"/>
      <c r="D702" s="101"/>
      <c r="E702" s="100"/>
      <c r="F702" s="101"/>
      <c r="G702" s="101"/>
      <c r="H702" s="101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</row>
    <row r="703" spans="1:27" ht="15" x14ac:dyDescent="0.2">
      <c r="A703" s="100"/>
      <c r="B703" s="100"/>
      <c r="C703" s="101"/>
      <c r="D703" s="101"/>
      <c r="E703" s="100"/>
      <c r="F703" s="101"/>
      <c r="G703" s="101"/>
      <c r="H703" s="101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</row>
    <row r="704" spans="1:27" ht="15" x14ac:dyDescent="0.2">
      <c r="A704" s="100"/>
      <c r="B704" s="100"/>
      <c r="C704" s="101"/>
      <c r="D704" s="101"/>
      <c r="E704" s="100"/>
      <c r="F704" s="101"/>
      <c r="G704" s="101"/>
      <c r="H704" s="101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</row>
    <row r="705" spans="1:27" ht="15" x14ac:dyDescent="0.2">
      <c r="A705" s="100"/>
      <c r="B705" s="100"/>
      <c r="C705" s="101"/>
      <c r="D705" s="101"/>
      <c r="E705" s="100"/>
      <c r="F705" s="101"/>
      <c r="G705" s="101"/>
      <c r="H705" s="101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</row>
    <row r="706" spans="1:27" ht="15" x14ac:dyDescent="0.2">
      <c r="A706" s="100"/>
      <c r="B706" s="100"/>
      <c r="C706" s="101"/>
      <c r="D706" s="101"/>
      <c r="E706" s="100"/>
      <c r="F706" s="101"/>
      <c r="G706" s="101"/>
      <c r="H706" s="101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</row>
    <row r="707" spans="1:27" ht="15" x14ac:dyDescent="0.2">
      <c r="A707" s="100"/>
      <c r="B707" s="100"/>
      <c r="C707" s="101"/>
      <c r="D707" s="101"/>
      <c r="E707" s="100"/>
      <c r="F707" s="101"/>
      <c r="G707" s="101"/>
      <c r="H707" s="101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</row>
    <row r="708" spans="1:27" ht="15" x14ac:dyDescent="0.2">
      <c r="A708" s="100"/>
      <c r="B708" s="100"/>
      <c r="C708" s="101"/>
      <c r="D708" s="101"/>
      <c r="E708" s="100"/>
      <c r="F708" s="101"/>
      <c r="G708" s="101"/>
      <c r="H708" s="101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</row>
    <row r="709" spans="1:27" ht="15" x14ac:dyDescent="0.2">
      <c r="A709" s="100"/>
      <c r="B709" s="100"/>
      <c r="C709" s="101"/>
      <c r="D709" s="101"/>
      <c r="E709" s="100"/>
      <c r="F709" s="101"/>
      <c r="G709" s="101"/>
      <c r="H709" s="101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</row>
    <row r="710" spans="1:27" ht="15" x14ac:dyDescent="0.2">
      <c r="A710" s="100"/>
      <c r="B710" s="100"/>
      <c r="C710" s="101"/>
      <c r="D710" s="101"/>
      <c r="E710" s="100"/>
      <c r="F710" s="101"/>
      <c r="G710" s="101"/>
      <c r="H710" s="101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</row>
    <row r="711" spans="1:27" ht="15" x14ac:dyDescent="0.2">
      <c r="A711" s="100"/>
      <c r="B711" s="100"/>
      <c r="C711" s="101"/>
      <c r="D711" s="101"/>
      <c r="E711" s="100"/>
      <c r="F711" s="101"/>
      <c r="G711" s="101"/>
      <c r="H711" s="101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</row>
    <row r="712" spans="1:27" ht="15" x14ac:dyDescent="0.2">
      <c r="A712" s="100"/>
      <c r="B712" s="100"/>
      <c r="C712" s="101"/>
      <c r="D712" s="101"/>
      <c r="E712" s="100"/>
      <c r="F712" s="101"/>
      <c r="G712" s="101"/>
      <c r="H712" s="101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</row>
    <row r="713" spans="1:27" ht="15" x14ac:dyDescent="0.2">
      <c r="A713" s="100"/>
      <c r="B713" s="100"/>
      <c r="C713" s="101"/>
      <c r="D713" s="101"/>
      <c r="E713" s="100"/>
      <c r="F713" s="101"/>
      <c r="G713" s="101"/>
      <c r="H713" s="101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</row>
    <row r="714" spans="1:27" ht="15" x14ac:dyDescent="0.2">
      <c r="A714" s="100"/>
      <c r="B714" s="100"/>
      <c r="C714" s="101"/>
      <c r="D714" s="101"/>
      <c r="E714" s="100"/>
      <c r="F714" s="101"/>
      <c r="G714" s="101"/>
      <c r="H714" s="101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</row>
    <row r="715" spans="1:27" ht="15" x14ac:dyDescent="0.2">
      <c r="A715" s="100"/>
      <c r="B715" s="100"/>
      <c r="C715" s="101"/>
      <c r="D715" s="101"/>
      <c r="E715" s="100"/>
      <c r="F715" s="101"/>
      <c r="G715" s="101"/>
      <c r="H715" s="101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</row>
    <row r="716" spans="1:27" ht="15" x14ac:dyDescent="0.2">
      <c r="A716" s="100"/>
      <c r="B716" s="100"/>
      <c r="C716" s="101"/>
      <c r="D716" s="101"/>
      <c r="E716" s="100"/>
      <c r="F716" s="101"/>
      <c r="G716" s="101"/>
      <c r="H716" s="101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</row>
    <row r="717" spans="1:27" ht="15" x14ac:dyDescent="0.2">
      <c r="A717" s="100"/>
      <c r="B717" s="100"/>
      <c r="C717" s="101"/>
      <c r="D717" s="101"/>
      <c r="E717" s="100"/>
      <c r="F717" s="101"/>
      <c r="G717" s="101"/>
      <c r="H717" s="101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</row>
    <row r="718" spans="1:27" ht="15" x14ac:dyDescent="0.2">
      <c r="A718" s="100"/>
      <c r="B718" s="100"/>
      <c r="C718" s="101"/>
      <c r="D718" s="101"/>
      <c r="E718" s="100"/>
      <c r="F718" s="101"/>
      <c r="G718" s="101"/>
      <c r="H718" s="101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</row>
    <row r="719" spans="1:27" ht="15" x14ac:dyDescent="0.2">
      <c r="A719" s="100"/>
      <c r="B719" s="100"/>
      <c r="C719" s="101"/>
      <c r="D719" s="101"/>
      <c r="E719" s="100"/>
      <c r="F719" s="101"/>
      <c r="G719" s="101"/>
      <c r="H719" s="101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</row>
    <row r="720" spans="1:27" ht="15" x14ac:dyDescent="0.2">
      <c r="A720" s="100"/>
      <c r="B720" s="100"/>
      <c r="C720" s="101"/>
      <c r="D720" s="101"/>
      <c r="E720" s="100"/>
      <c r="F720" s="101"/>
      <c r="G720" s="101"/>
      <c r="H720" s="101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</row>
    <row r="721" spans="1:27" ht="15" x14ac:dyDescent="0.2">
      <c r="A721" s="100"/>
      <c r="B721" s="100"/>
      <c r="C721" s="101"/>
      <c r="D721" s="101"/>
      <c r="E721" s="100"/>
      <c r="F721" s="101"/>
      <c r="G721" s="101"/>
      <c r="H721" s="101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</row>
    <row r="722" spans="1:27" ht="15" x14ac:dyDescent="0.2">
      <c r="A722" s="100"/>
      <c r="B722" s="100"/>
      <c r="C722" s="101"/>
      <c r="D722" s="101"/>
      <c r="E722" s="100"/>
      <c r="F722" s="101"/>
      <c r="G722" s="101"/>
      <c r="H722" s="101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</row>
    <row r="723" spans="1:27" ht="15" x14ac:dyDescent="0.2">
      <c r="A723" s="100"/>
      <c r="B723" s="100"/>
      <c r="C723" s="101"/>
      <c r="D723" s="101"/>
      <c r="E723" s="100"/>
      <c r="F723" s="101"/>
      <c r="G723" s="101"/>
      <c r="H723" s="101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</row>
    <row r="724" spans="1:27" ht="15" x14ac:dyDescent="0.2">
      <c r="A724" s="100"/>
      <c r="B724" s="100"/>
      <c r="C724" s="101"/>
      <c r="D724" s="101"/>
      <c r="E724" s="100"/>
      <c r="F724" s="101"/>
      <c r="G724" s="101"/>
      <c r="H724" s="101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</row>
    <row r="725" spans="1:27" ht="15" x14ac:dyDescent="0.2">
      <c r="A725" s="100"/>
      <c r="B725" s="100"/>
      <c r="C725" s="101"/>
      <c r="D725" s="101"/>
      <c r="E725" s="100"/>
      <c r="F725" s="101"/>
      <c r="G725" s="101"/>
      <c r="H725" s="101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</row>
    <row r="726" spans="1:27" ht="15" x14ac:dyDescent="0.2">
      <c r="A726" s="100"/>
      <c r="B726" s="100"/>
      <c r="C726" s="101"/>
      <c r="D726" s="101"/>
      <c r="E726" s="100"/>
      <c r="F726" s="101"/>
      <c r="G726" s="101"/>
      <c r="H726" s="101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</row>
    <row r="727" spans="1:27" ht="15" x14ac:dyDescent="0.2">
      <c r="A727" s="100"/>
      <c r="B727" s="100"/>
      <c r="C727" s="101"/>
      <c r="D727" s="101"/>
      <c r="E727" s="100"/>
      <c r="F727" s="101"/>
      <c r="G727" s="101"/>
      <c r="H727" s="101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</row>
    <row r="728" spans="1:27" ht="15" x14ac:dyDescent="0.2">
      <c r="A728" s="100"/>
      <c r="B728" s="100"/>
      <c r="C728" s="101"/>
      <c r="D728" s="101"/>
      <c r="E728" s="100"/>
      <c r="F728" s="101"/>
      <c r="G728" s="101"/>
      <c r="H728" s="101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</row>
    <row r="729" spans="1:27" ht="15" x14ac:dyDescent="0.2">
      <c r="A729" s="100"/>
      <c r="B729" s="100"/>
      <c r="C729" s="101"/>
      <c r="D729" s="101"/>
      <c r="E729" s="100"/>
      <c r="F729" s="101"/>
      <c r="G729" s="101"/>
      <c r="H729" s="101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</row>
    <row r="730" spans="1:27" ht="15" x14ac:dyDescent="0.2">
      <c r="A730" s="100"/>
      <c r="B730" s="100"/>
      <c r="C730" s="101"/>
      <c r="D730" s="101"/>
      <c r="E730" s="100"/>
      <c r="F730" s="101"/>
      <c r="G730" s="101"/>
      <c r="H730" s="101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</row>
    <row r="731" spans="1:27" ht="15" x14ac:dyDescent="0.2">
      <c r="A731" s="100"/>
      <c r="B731" s="100"/>
      <c r="C731" s="101"/>
      <c r="D731" s="101"/>
      <c r="E731" s="100"/>
      <c r="F731" s="101"/>
      <c r="G731" s="101"/>
      <c r="H731" s="101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</row>
    <row r="732" spans="1:27" ht="15" x14ac:dyDescent="0.2">
      <c r="A732" s="100"/>
      <c r="B732" s="100"/>
      <c r="C732" s="101"/>
      <c r="D732" s="101"/>
      <c r="E732" s="100"/>
      <c r="F732" s="101"/>
      <c r="G732" s="101"/>
      <c r="H732" s="101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</row>
    <row r="733" spans="1:27" ht="15" x14ac:dyDescent="0.2">
      <c r="A733" s="100"/>
      <c r="B733" s="100"/>
      <c r="C733" s="101"/>
      <c r="D733" s="101"/>
      <c r="E733" s="100"/>
      <c r="F733" s="101"/>
      <c r="G733" s="101"/>
      <c r="H733" s="101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</row>
    <row r="734" spans="1:27" ht="15" x14ac:dyDescent="0.2">
      <c r="A734" s="100"/>
      <c r="B734" s="100"/>
      <c r="C734" s="101"/>
      <c r="D734" s="101"/>
      <c r="E734" s="100"/>
      <c r="F734" s="101"/>
      <c r="G734" s="101"/>
      <c r="H734" s="101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</row>
    <row r="735" spans="1:27" ht="15" x14ac:dyDescent="0.2">
      <c r="A735" s="100"/>
      <c r="B735" s="100"/>
      <c r="C735" s="101"/>
      <c r="D735" s="101"/>
      <c r="E735" s="100"/>
      <c r="F735" s="101"/>
      <c r="G735" s="101"/>
      <c r="H735" s="101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</row>
    <row r="736" spans="1:27" ht="15" x14ac:dyDescent="0.2">
      <c r="A736" s="100"/>
      <c r="B736" s="100"/>
      <c r="C736" s="101"/>
      <c r="D736" s="101"/>
      <c r="E736" s="100"/>
      <c r="F736" s="101"/>
      <c r="G736" s="101"/>
      <c r="H736" s="101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</row>
    <row r="737" spans="1:27" ht="15" x14ac:dyDescent="0.2">
      <c r="A737" s="100"/>
      <c r="B737" s="100"/>
      <c r="C737" s="101"/>
      <c r="D737" s="101"/>
      <c r="E737" s="100"/>
      <c r="F737" s="101"/>
      <c r="G737" s="101"/>
      <c r="H737" s="101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</row>
    <row r="738" spans="1:27" ht="15" x14ac:dyDescent="0.2">
      <c r="A738" s="100"/>
      <c r="B738" s="100"/>
      <c r="C738" s="101"/>
      <c r="D738" s="101"/>
      <c r="E738" s="100"/>
      <c r="F738" s="101"/>
      <c r="G738" s="101"/>
      <c r="H738" s="101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</row>
    <row r="739" spans="1:27" ht="15" x14ac:dyDescent="0.2">
      <c r="A739" s="100"/>
      <c r="B739" s="100"/>
      <c r="C739" s="101"/>
      <c r="D739" s="101"/>
      <c r="E739" s="100"/>
      <c r="F739" s="101"/>
      <c r="G739" s="101"/>
      <c r="H739" s="101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</row>
    <row r="740" spans="1:27" ht="15" x14ac:dyDescent="0.2">
      <c r="A740" s="100"/>
      <c r="B740" s="100"/>
      <c r="C740" s="101"/>
      <c r="D740" s="101"/>
      <c r="E740" s="100"/>
      <c r="F740" s="101"/>
      <c r="G740" s="101"/>
      <c r="H740" s="101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</row>
    <row r="741" spans="1:27" ht="15" x14ac:dyDescent="0.2">
      <c r="A741" s="100"/>
      <c r="B741" s="100"/>
      <c r="C741" s="101"/>
      <c r="D741" s="101"/>
      <c r="E741" s="100"/>
      <c r="F741" s="101"/>
      <c r="G741" s="101"/>
      <c r="H741" s="101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</row>
    <row r="742" spans="1:27" ht="15" x14ac:dyDescent="0.2">
      <c r="A742" s="100"/>
      <c r="B742" s="100"/>
      <c r="C742" s="101"/>
      <c r="D742" s="101"/>
      <c r="E742" s="100"/>
      <c r="F742" s="101"/>
      <c r="G742" s="101"/>
      <c r="H742" s="101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</row>
    <row r="743" spans="1:27" ht="15" x14ac:dyDescent="0.2">
      <c r="A743" s="100"/>
      <c r="B743" s="100"/>
      <c r="C743" s="101"/>
      <c r="D743" s="101"/>
      <c r="E743" s="100"/>
      <c r="F743" s="101"/>
      <c r="G743" s="101"/>
      <c r="H743" s="101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</row>
    <row r="744" spans="1:27" ht="15" x14ac:dyDescent="0.2">
      <c r="A744" s="100"/>
      <c r="B744" s="100"/>
      <c r="C744" s="101"/>
      <c r="D744" s="101"/>
      <c r="E744" s="100"/>
      <c r="F744" s="101"/>
      <c r="G744" s="101"/>
      <c r="H744" s="101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</row>
    <row r="745" spans="1:27" ht="15" x14ac:dyDescent="0.2">
      <c r="A745" s="100"/>
      <c r="B745" s="100"/>
      <c r="C745" s="101"/>
      <c r="D745" s="101"/>
      <c r="E745" s="100"/>
      <c r="F745" s="101"/>
      <c r="G745" s="101"/>
      <c r="H745" s="101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</row>
    <row r="746" spans="1:27" ht="15" x14ac:dyDescent="0.2">
      <c r="A746" s="100"/>
      <c r="B746" s="100"/>
      <c r="C746" s="101"/>
      <c r="D746" s="101"/>
      <c r="E746" s="100"/>
      <c r="F746" s="101"/>
      <c r="G746" s="101"/>
      <c r="H746" s="101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</row>
    <row r="747" spans="1:27" ht="15" x14ac:dyDescent="0.2">
      <c r="A747" s="100"/>
      <c r="B747" s="100"/>
      <c r="C747" s="101"/>
      <c r="D747" s="101"/>
      <c r="E747" s="100"/>
      <c r="F747" s="101"/>
      <c r="G747" s="101"/>
      <c r="H747" s="101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</row>
    <row r="748" spans="1:27" ht="15" x14ac:dyDescent="0.2">
      <c r="A748" s="100"/>
      <c r="B748" s="100"/>
      <c r="C748" s="101"/>
      <c r="D748" s="101"/>
      <c r="E748" s="100"/>
      <c r="F748" s="101"/>
      <c r="G748" s="101"/>
      <c r="H748" s="101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</row>
    <row r="749" spans="1:27" ht="15" x14ac:dyDescent="0.2">
      <c r="A749" s="100"/>
      <c r="B749" s="100"/>
      <c r="C749" s="101"/>
      <c r="D749" s="101"/>
      <c r="E749" s="100"/>
      <c r="F749" s="101"/>
      <c r="G749" s="101"/>
      <c r="H749" s="101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</row>
    <row r="750" spans="1:27" ht="15" x14ac:dyDescent="0.2">
      <c r="A750" s="100"/>
      <c r="B750" s="100"/>
      <c r="C750" s="101"/>
      <c r="D750" s="101"/>
      <c r="E750" s="100"/>
      <c r="F750" s="101"/>
      <c r="G750" s="101"/>
      <c r="H750" s="101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</row>
    <row r="751" spans="1:27" ht="15" x14ac:dyDescent="0.2">
      <c r="A751" s="100"/>
      <c r="B751" s="100"/>
      <c r="C751" s="101"/>
      <c r="D751" s="101"/>
      <c r="E751" s="100"/>
      <c r="F751" s="101"/>
      <c r="G751" s="101"/>
      <c r="H751" s="101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</row>
    <row r="752" spans="1:27" ht="15" x14ac:dyDescent="0.2">
      <c r="A752" s="100"/>
      <c r="B752" s="100"/>
      <c r="C752" s="101"/>
      <c r="D752" s="101"/>
      <c r="E752" s="100"/>
      <c r="F752" s="101"/>
      <c r="G752" s="101"/>
      <c r="H752" s="101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</row>
    <row r="753" spans="1:27" ht="15" x14ac:dyDescent="0.2">
      <c r="A753" s="100"/>
      <c r="B753" s="100"/>
      <c r="C753" s="101"/>
      <c r="D753" s="101"/>
      <c r="E753" s="100"/>
      <c r="F753" s="101"/>
      <c r="G753" s="101"/>
      <c r="H753" s="101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</row>
    <row r="754" spans="1:27" ht="15" x14ac:dyDescent="0.2">
      <c r="A754" s="100"/>
      <c r="B754" s="100"/>
      <c r="C754" s="101"/>
      <c r="D754" s="101"/>
      <c r="E754" s="100"/>
      <c r="F754" s="101"/>
      <c r="G754" s="101"/>
      <c r="H754" s="101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</row>
    <row r="755" spans="1:27" ht="15" x14ac:dyDescent="0.2">
      <c r="A755" s="100"/>
      <c r="B755" s="100"/>
      <c r="C755" s="101"/>
      <c r="D755" s="101"/>
      <c r="E755" s="100"/>
      <c r="F755" s="101"/>
      <c r="G755" s="101"/>
      <c r="H755" s="101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</row>
    <row r="756" spans="1:27" ht="15" x14ac:dyDescent="0.2">
      <c r="A756" s="100"/>
      <c r="B756" s="100"/>
      <c r="C756" s="101"/>
      <c r="D756" s="101"/>
      <c r="E756" s="100"/>
      <c r="F756" s="101"/>
      <c r="G756" s="101"/>
      <c r="H756" s="101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</row>
    <row r="757" spans="1:27" ht="15" x14ac:dyDescent="0.2">
      <c r="A757" s="100"/>
      <c r="B757" s="100"/>
      <c r="C757" s="101"/>
      <c r="D757" s="101"/>
      <c r="E757" s="100"/>
      <c r="F757" s="101"/>
      <c r="G757" s="101"/>
      <c r="H757" s="101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</row>
    <row r="758" spans="1:27" ht="15" x14ac:dyDescent="0.2">
      <c r="A758" s="100"/>
      <c r="B758" s="100"/>
      <c r="C758" s="101"/>
      <c r="D758" s="101"/>
      <c r="E758" s="100"/>
      <c r="F758" s="101"/>
      <c r="G758" s="101"/>
      <c r="H758" s="101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</row>
    <row r="759" spans="1:27" ht="15" x14ac:dyDescent="0.2">
      <c r="A759" s="100"/>
      <c r="B759" s="100"/>
      <c r="C759" s="101"/>
      <c r="D759" s="101"/>
      <c r="E759" s="100"/>
      <c r="F759" s="101"/>
      <c r="G759" s="101"/>
      <c r="H759" s="101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</row>
    <row r="760" spans="1:27" ht="15" x14ac:dyDescent="0.2">
      <c r="A760" s="100"/>
      <c r="B760" s="100"/>
      <c r="C760" s="101"/>
      <c r="D760" s="101"/>
      <c r="E760" s="100"/>
      <c r="F760" s="101"/>
      <c r="G760" s="101"/>
      <c r="H760" s="101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</row>
    <row r="761" spans="1:27" ht="15" x14ac:dyDescent="0.2">
      <c r="A761" s="100"/>
      <c r="B761" s="100"/>
      <c r="C761" s="101"/>
      <c r="D761" s="101"/>
      <c r="E761" s="100"/>
      <c r="F761" s="101"/>
      <c r="G761" s="101"/>
      <c r="H761" s="101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</row>
    <row r="762" spans="1:27" ht="15" x14ac:dyDescent="0.2">
      <c r="A762" s="100"/>
      <c r="B762" s="100"/>
      <c r="C762" s="101"/>
      <c r="D762" s="101"/>
      <c r="E762" s="100"/>
      <c r="F762" s="101"/>
      <c r="G762" s="101"/>
      <c r="H762" s="101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</row>
    <row r="763" spans="1:27" ht="15" x14ac:dyDescent="0.2">
      <c r="A763" s="100"/>
      <c r="B763" s="100"/>
      <c r="C763" s="101"/>
      <c r="D763" s="101"/>
      <c r="E763" s="100"/>
      <c r="F763" s="101"/>
      <c r="G763" s="101"/>
      <c r="H763" s="101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</row>
    <row r="764" spans="1:27" ht="15" x14ac:dyDescent="0.2">
      <c r="A764" s="100"/>
      <c r="B764" s="100"/>
      <c r="C764" s="101"/>
      <c r="D764" s="101"/>
      <c r="E764" s="100"/>
      <c r="F764" s="101"/>
      <c r="G764" s="101"/>
      <c r="H764" s="101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</row>
    <row r="765" spans="1:27" ht="15" x14ac:dyDescent="0.2">
      <c r="A765" s="100"/>
      <c r="B765" s="100"/>
      <c r="C765" s="101"/>
      <c r="D765" s="101"/>
      <c r="E765" s="100"/>
      <c r="F765" s="101"/>
      <c r="G765" s="101"/>
      <c r="H765" s="101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</row>
    <row r="766" spans="1:27" ht="15" x14ac:dyDescent="0.2">
      <c r="A766" s="100"/>
      <c r="B766" s="100"/>
      <c r="C766" s="101"/>
      <c r="D766" s="101"/>
      <c r="E766" s="100"/>
      <c r="F766" s="101"/>
      <c r="G766" s="101"/>
      <c r="H766" s="101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</row>
    <row r="767" spans="1:27" ht="15" x14ac:dyDescent="0.2">
      <c r="A767" s="100"/>
      <c r="B767" s="100"/>
      <c r="C767" s="101"/>
      <c r="D767" s="101"/>
      <c r="E767" s="100"/>
      <c r="F767" s="101"/>
      <c r="G767" s="101"/>
      <c r="H767" s="101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</row>
    <row r="768" spans="1:27" ht="15" x14ac:dyDescent="0.2">
      <c r="A768" s="100"/>
      <c r="B768" s="100"/>
      <c r="C768" s="101"/>
      <c r="D768" s="101"/>
      <c r="E768" s="100"/>
      <c r="F768" s="101"/>
      <c r="G768" s="101"/>
      <c r="H768" s="101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</row>
    <row r="769" spans="1:27" ht="15" x14ac:dyDescent="0.2">
      <c r="A769" s="100"/>
      <c r="B769" s="100"/>
      <c r="C769" s="101"/>
      <c r="D769" s="101"/>
      <c r="E769" s="100"/>
      <c r="F769" s="101"/>
      <c r="G769" s="101"/>
      <c r="H769" s="101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</row>
    <row r="770" spans="1:27" ht="15" x14ac:dyDescent="0.2">
      <c r="A770" s="100"/>
      <c r="B770" s="100"/>
      <c r="C770" s="101"/>
      <c r="D770" s="101"/>
      <c r="E770" s="100"/>
      <c r="F770" s="101"/>
      <c r="G770" s="101"/>
      <c r="H770" s="101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</row>
    <row r="771" spans="1:27" ht="15" x14ac:dyDescent="0.2">
      <c r="A771" s="100"/>
      <c r="B771" s="100"/>
      <c r="C771" s="101"/>
      <c r="D771" s="101"/>
      <c r="E771" s="100"/>
      <c r="F771" s="101"/>
      <c r="G771" s="101"/>
      <c r="H771" s="101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</row>
    <row r="772" spans="1:27" ht="15" x14ac:dyDescent="0.2">
      <c r="A772" s="100"/>
      <c r="B772" s="100"/>
      <c r="C772" s="101"/>
      <c r="D772" s="101"/>
      <c r="E772" s="100"/>
      <c r="F772" s="101"/>
      <c r="G772" s="101"/>
      <c r="H772" s="101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</row>
    <row r="773" spans="1:27" ht="15" x14ac:dyDescent="0.2">
      <c r="A773" s="100"/>
      <c r="B773" s="100"/>
      <c r="C773" s="101"/>
      <c r="D773" s="101"/>
      <c r="E773" s="100"/>
      <c r="F773" s="101"/>
      <c r="G773" s="101"/>
      <c r="H773" s="101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</row>
    <row r="774" spans="1:27" ht="15" x14ac:dyDescent="0.2">
      <c r="A774" s="100"/>
      <c r="B774" s="100"/>
      <c r="C774" s="101"/>
      <c r="D774" s="101"/>
      <c r="E774" s="100"/>
      <c r="F774" s="101"/>
      <c r="G774" s="101"/>
      <c r="H774" s="101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</row>
    <row r="775" spans="1:27" ht="15" x14ac:dyDescent="0.2">
      <c r="A775" s="100"/>
      <c r="B775" s="100"/>
      <c r="C775" s="101"/>
      <c r="D775" s="101"/>
      <c r="E775" s="100"/>
      <c r="F775" s="101"/>
      <c r="G775" s="101"/>
      <c r="H775" s="101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</row>
    <row r="776" spans="1:27" ht="15" x14ac:dyDescent="0.2">
      <c r="A776" s="100"/>
      <c r="B776" s="100"/>
      <c r="C776" s="101"/>
      <c r="D776" s="101"/>
      <c r="E776" s="100"/>
      <c r="F776" s="101"/>
      <c r="G776" s="101"/>
      <c r="H776" s="101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</row>
    <row r="777" spans="1:27" ht="15" x14ac:dyDescent="0.2">
      <c r="A777" s="100"/>
      <c r="B777" s="100"/>
      <c r="C777" s="101"/>
      <c r="D777" s="101"/>
      <c r="E777" s="100"/>
      <c r="F777" s="101"/>
      <c r="G777" s="101"/>
      <c r="H777" s="101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</row>
    <row r="778" spans="1:27" ht="15" x14ac:dyDescent="0.2">
      <c r="A778" s="100"/>
      <c r="B778" s="100"/>
      <c r="C778" s="101"/>
      <c r="D778" s="101"/>
      <c r="E778" s="100"/>
      <c r="F778" s="101"/>
      <c r="G778" s="101"/>
      <c r="H778" s="101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</row>
    <row r="779" spans="1:27" ht="15" x14ac:dyDescent="0.2">
      <c r="A779" s="100"/>
      <c r="B779" s="100"/>
      <c r="C779" s="101"/>
      <c r="D779" s="101"/>
      <c r="E779" s="100"/>
      <c r="F779" s="101"/>
      <c r="G779" s="101"/>
      <c r="H779" s="101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</row>
    <row r="780" spans="1:27" ht="15" x14ac:dyDescent="0.2">
      <c r="A780" s="100"/>
      <c r="B780" s="100"/>
      <c r="C780" s="101"/>
      <c r="D780" s="101"/>
      <c r="E780" s="100"/>
      <c r="F780" s="101"/>
      <c r="G780" s="101"/>
      <c r="H780" s="101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</row>
    <row r="781" spans="1:27" ht="15" x14ac:dyDescent="0.2">
      <c r="A781" s="100"/>
      <c r="B781" s="100"/>
      <c r="C781" s="101"/>
      <c r="D781" s="101"/>
      <c r="E781" s="100"/>
      <c r="F781" s="101"/>
      <c r="G781" s="101"/>
      <c r="H781" s="101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</row>
    <row r="782" spans="1:27" ht="15" x14ac:dyDescent="0.2">
      <c r="A782" s="100"/>
      <c r="B782" s="100"/>
      <c r="C782" s="101"/>
      <c r="D782" s="101"/>
      <c r="E782" s="100"/>
      <c r="F782" s="101"/>
      <c r="G782" s="101"/>
      <c r="H782" s="101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</row>
    <row r="783" spans="1:27" ht="15" x14ac:dyDescent="0.2">
      <c r="A783" s="100"/>
      <c r="B783" s="100"/>
      <c r="C783" s="101"/>
      <c r="D783" s="101"/>
      <c r="E783" s="100"/>
      <c r="F783" s="101"/>
      <c r="G783" s="101"/>
      <c r="H783" s="101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</row>
    <row r="784" spans="1:27" ht="15" x14ac:dyDescent="0.2">
      <c r="A784" s="100"/>
      <c r="B784" s="100"/>
      <c r="C784" s="101"/>
      <c r="D784" s="101"/>
      <c r="E784" s="100"/>
      <c r="F784" s="101"/>
      <c r="G784" s="101"/>
      <c r="H784" s="101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</row>
    <row r="785" spans="1:27" ht="15" x14ac:dyDescent="0.2">
      <c r="A785" s="100"/>
      <c r="B785" s="100"/>
      <c r="C785" s="101"/>
      <c r="D785" s="101"/>
      <c r="E785" s="100"/>
      <c r="F785" s="101"/>
      <c r="G785" s="101"/>
      <c r="H785" s="101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</row>
    <row r="786" spans="1:27" ht="15" x14ac:dyDescent="0.2">
      <c r="A786" s="100"/>
      <c r="B786" s="100"/>
      <c r="C786" s="101"/>
      <c r="D786" s="101"/>
      <c r="E786" s="100"/>
      <c r="F786" s="101"/>
      <c r="G786" s="101"/>
      <c r="H786" s="101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</row>
    <row r="787" spans="1:27" ht="15" x14ac:dyDescent="0.2">
      <c r="A787" s="100"/>
      <c r="B787" s="100"/>
      <c r="C787" s="101"/>
      <c r="D787" s="101"/>
      <c r="E787" s="100"/>
      <c r="F787" s="101"/>
      <c r="G787" s="101"/>
      <c r="H787" s="101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</row>
    <row r="788" spans="1:27" ht="15" x14ac:dyDescent="0.2">
      <c r="A788" s="100"/>
      <c r="B788" s="100"/>
      <c r="C788" s="101"/>
      <c r="D788" s="101"/>
      <c r="E788" s="100"/>
      <c r="F788" s="101"/>
      <c r="G788" s="101"/>
      <c r="H788" s="101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</row>
    <row r="789" spans="1:27" ht="15" x14ac:dyDescent="0.2">
      <c r="A789" s="100"/>
      <c r="B789" s="100"/>
      <c r="C789" s="101"/>
      <c r="D789" s="101"/>
      <c r="E789" s="100"/>
      <c r="F789" s="101"/>
      <c r="G789" s="101"/>
      <c r="H789" s="101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</row>
    <row r="790" spans="1:27" ht="15" x14ac:dyDescent="0.2">
      <c r="A790" s="100"/>
      <c r="B790" s="100"/>
      <c r="C790" s="101"/>
      <c r="D790" s="101"/>
      <c r="E790" s="100"/>
      <c r="F790" s="101"/>
      <c r="G790" s="101"/>
      <c r="H790" s="101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</row>
    <row r="791" spans="1:27" ht="15" x14ac:dyDescent="0.2">
      <c r="A791" s="100"/>
      <c r="B791" s="100"/>
      <c r="C791" s="101"/>
      <c r="D791" s="101"/>
      <c r="E791" s="100"/>
      <c r="F791" s="101"/>
      <c r="G791" s="101"/>
      <c r="H791" s="101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</row>
    <row r="792" spans="1:27" ht="15" x14ac:dyDescent="0.2">
      <c r="A792" s="100"/>
      <c r="B792" s="100"/>
      <c r="C792" s="101"/>
      <c r="D792" s="101"/>
      <c r="E792" s="100"/>
      <c r="F792" s="101"/>
      <c r="G792" s="101"/>
      <c r="H792" s="101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</row>
    <row r="793" spans="1:27" ht="15" x14ac:dyDescent="0.2">
      <c r="A793" s="100"/>
      <c r="B793" s="100"/>
      <c r="C793" s="101"/>
      <c r="D793" s="101"/>
      <c r="E793" s="100"/>
      <c r="F793" s="101"/>
      <c r="G793" s="101"/>
      <c r="H793" s="101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</row>
    <row r="794" spans="1:27" ht="15" x14ac:dyDescent="0.2">
      <c r="A794" s="100"/>
      <c r="B794" s="100"/>
      <c r="C794" s="101"/>
      <c r="D794" s="101"/>
      <c r="E794" s="100"/>
      <c r="F794" s="101"/>
      <c r="G794" s="101"/>
      <c r="H794" s="101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</row>
    <row r="795" spans="1:27" ht="15" x14ac:dyDescent="0.2">
      <c r="A795" s="100"/>
      <c r="B795" s="100"/>
      <c r="C795" s="101"/>
      <c r="D795" s="101"/>
      <c r="E795" s="100"/>
      <c r="F795" s="101"/>
      <c r="G795" s="101"/>
      <c r="H795" s="101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</row>
    <row r="796" spans="1:27" ht="15" x14ac:dyDescent="0.2">
      <c r="A796" s="100"/>
      <c r="B796" s="100"/>
      <c r="C796" s="101"/>
      <c r="D796" s="101"/>
      <c r="E796" s="100"/>
      <c r="F796" s="101"/>
      <c r="G796" s="101"/>
      <c r="H796" s="101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</row>
    <row r="797" spans="1:27" ht="15" x14ac:dyDescent="0.2">
      <c r="A797" s="100"/>
      <c r="B797" s="100"/>
      <c r="C797" s="101"/>
      <c r="D797" s="101"/>
      <c r="E797" s="100"/>
      <c r="F797" s="101"/>
      <c r="G797" s="101"/>
      <c r="H797" s="101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</row>
    <row r="798" spans="1:27" ht="15" x14ac:dyDescent="0.2">
      <c r="A798" s="100"/>
      <c r="B798" s="100"/>
      <c r="C798" s="101"/>
      <c r="D798" s="101"/>
      <c r="E798" s="100"/>
      <c r="F798" s="101"/>
      <c r="G798" s="101"/>
      <c r="H798" s="101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</row>
    <row r="799" spans="1:27" ht="15" x14ac:dyDescent="0.2">
      <c r="A799" s="100"/>
      <c r="B799" s="100"/>
      <c r="C799" s="101"/>
      <c r="D799" s="101"/>
      <c r="E799" s="100"/>
      <c r="F799" s="101"/>
      <c r="G799" s="101"/>
      <c r="H799" s="101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</row>
    <row r="800" spans="1:27" ht="15" x14ac:dyDescent="0.2">
      <c r="A800" s="100"/>
      <c r="B800" s="100"/>
      <c r="C800" s="101"/>
      <c r="D800" s="101"/>
      <c r="E800" s="100"/>
      <c r="F800" s="101"/>
      <c r="G800" s="101"/>
      <c r="H800" s="101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</row>
    <row r="801" spans="1:27" ht="15" x14ac:dyDescent="0.2">
      <c r="A801" s="100"/>
      <c r="B801" s="100"/>
      <c r="C801" s="101"/>
      <c r="D801" s="101"/>
      <c r="E801" s="100"/>
      <c r="F801" s="101"/>
      <c r="G801" s="101"/>
      <c r="H801" s="101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</row>
    <row r="802" spans="1:27" ht="15" x14ac:dyDescent="0.2">
      <c r="A802" s="100"/>
      <c r="B802" s="100"/>
      <c r="C802" s="101"/>
      <c r="D802" s="101"/>
      <c r="E802" s="100"/>
      <c r="F802" s="101"/>
      <c r="G802" s="101"/>
      <c r="H802" s="101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</row>
    <row r="803" spans="1:27" ht="15" x14ac:dyDescent="0.2">
      <c r="A803" s="100"/>
      <c r="B803" s="100"/>
      <c r="C803" s="101"/>
      <c r="D803" s="101"/>
      <c r="E803" s="100"/>
      <c r="F803" s="101"/>
      <c r="G803" s="101"/>
      <c r="H803" s="101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</row>
    <row r="804" spans="1:27" ht="15" x14ac:dyDescent="0.2">
      <c r="A804" s="100"/>
      <c r="B804" s="100"/>
      <c r="C804" s="101"/>
      <c r="D804" s="101"/>
      <c r="E804" s="100"/>
      <c r="F804" s="101"/>
      <c r="G804" s="101"/>
      <c r="H804" s="101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</row>
    <row r="805" spans="1:27" ht="15" x14ac:dyDescent="0.2">
      <c r="A805" s="100"/>
      <c r="B805" s="100"/>
      <c r="C805" s="101"/>
      <c r="D805" s="101"/>
      <c r="E805" s="100"/>
      <c r="F805" s="101"/>
      <c r="G805" s="101"/>
      <c r="H805" s="101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</row>
    <row r="806" spans="1:27" ht="15" x14ac:dyDescent="0.2">
      <c r="A806" s="100"/>
      <c r="B806" s="100"/>
      <c r="C806" s="101"/>
      <c r="D806" s="101"/>
      <c r="E806" s="100"/>
      <c r="F806" s="101"/>
      <c r="G806" s="101"/>
      <c r="H806" s="101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</row>
    <row r="807" spans="1:27" ht="15" x14ac:dyDescent="0.2">
      <c r="A807" s="100"/>
      <c r="B807" s="100"/>
      <c r="C807" s="101"/>
      <c r="D807" s="101"/>
      <c r="E807" s="100"/>
      <c r="F807" s="101"/>
      <c r="G807" s="101"/>
      <c r="H807" s="101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</row>
    <row r="808" spans="1:27" ht="15" x14ac:dyDescent="0.2">
      <c r="A808" s="100"/>
      <c r="B808" s="100"/>
      <c r="C808" s="101"/>
      <c r="D808" s="101"/>
      <c r="E808" s="100"/>
      <c r="F808" s="101"/>
      <c r="G808" s="101"/>
      <c r="H808" s="101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</row>
    <row r="809" spans="1:27" ht="15" x14ac:dyDescent="0.2">
      <c r="A809" s="100"/>
      <c r="B809" s="100"/>
      <c r="C809" s="101"/>
      <c r="D809" s="101"/>
      <c r="E809" s="100"/>
      <c r="F809" s="101"/>
      <c r="G809" s="101"/>
      <c r="H809" s="101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</row>
    <row r="810" spans="1:27" ht="15" x14ac:dyDescent="0.2">
      <c r="A810" s="100"/>
      <c r="B810" s="100"/>
      <c r="C810" s="101"/>
      <c r="D810" s="101"/>
      <c r="E810" s="100"/>
      <c r="F810" s="101"/>
      <c r="G810" s="101"/>
      <c r="H810" s="101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</row>
    <row r="811" spans="1:27" ht="15" x14ac:dyDescent="0.2">
      <c r="A811" s="100"/>
      <c r="B811" s="100"/>
      <c r="C811" s="101"/>
      <c r="D811" s="101"/>
      <c r="E811" s="100"/>
      <c r="F811" s="101"/>
      <c r="G811" s="101"/>
      <c r="H811" s="101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</row>
    <row r="812" spans="1:27" ht="15" x14ac:dyDescent="0.2">
      <c r="A812" s="100"/>
      <c r="B812" s="100"/>
      <c r="C812" s="101"/>
      <c r="D812" s="101"/>
      <c r="E812" s="100"/>
      <c r="F812" s="101"/>
      <c r="G812" s="101"/>
      <c r="H812" s="101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</row>
    <row r="813" spans="1:27" ht="15" x14ac:dyDescent="0.2">
      <c r="A813" s="100"/>
      <c r="B813" s="100"/>
      <c r="C813" s="101"/>
      <c r="D813" s="101"/>
      <c r="E813" s="100"/>
      <c r="F813" s="101"/>
      <c r="G813" s="101"/>
      <c r="H813" s="101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</row>
    <row r="814" spans="1:27" ht="15" x14ac:dyDescent="0.2">
      <c r="A814" s="100"/>
      <c r="B814" s="100"/>
      <c r="C814" s="101"/>
      <c r="D814" s="101"/>
      <c r="E814" s="100"/>
      <c r="F814" s="101"/>
      <c r="G814" s="101"/>
      <c r="H814" s="101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</row>
    <row r="815" spans="1:27" ht="15" x14ac:dyDescent="0.2">
      <c r="A815" s="100"/>
      <c r="B815" s="100"/>
      <c r="C815" s="101"/>
      <c r="D815" s="101"/>
      <c r="E815" s="100"/>
      <c r="F815" s="101"/>
      <c r="G815" s="101"/>
      <c r="H815" s="101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</row>
    <row r="816" spans="1:27" ht="15" x14ac:dyDescent="0.2">
      <c r="A816" s="100"/>
      <c r="B816" s="100"/>
      <c r="C816" s="101"/>
      <c r="D816" s="101"/>
      <c r="E816" s="100"/>
      <c r="F816" s="101"/>
      <c r="G816" s="101"/>
      <c r="H816" s="101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</row>
    <row r="817" spans="1:27" ht="15" x14ac:dyDescent="0.2">
      <c r="A817" s="100"/>
      <c r="B817" s="100"/>
      <c r="C817" s="101"/>
      <c r="D817" s="101"/>
      <c r="E817" s="100"/>
      <c r="F817" s="101"/>
      <c r="G817" s="101"/>
      <c r="H817" s="101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</row>
    <row r="818" spans="1:27" ht="15" x14ac:dyDescent="0.2">
      <c r="A818" s="100"/>
      <c r="B818" s="100"/>
      <c r="C818" s="101"/>
      <c r="D818" s="101"/>
      <c r="E818" s="100"/>
      <c r="F818" s="101"/>
      <c r="G818" s="101"/>
      <c r="H818" s="101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</row>
    <row r="819" spans="1:27" ht="15" x14ac:dyDescent="0.2">
      <c r="A819" s="100"/>
      <c r="B819" s="100"/>
      <c r="C819" s="101"/>
      <c r="D819" s="101"/>
      <c r="E819" s="100"/>
      <c r="F819" s="101"/>
      <c r="G819" s="101"/>
      <c r="H819" s="101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</row>
    <row r="820" spans="1:27" ht="15" x14ac:dyDescent="0.2">
      <c r="A820" s="100"/>
      <c r="B820" s="100"/>
      <c r="C820" s="101"/>
      <c r="D820" s="101"/>
      <c r="E820" s="100"/>
      <c r="F820" s="101"/>
      <c r="G820" s="101"/>
      <c r="H820" s="101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</row>
    <row r="821" spans="1:27" ht="15" x14ac:dyDescent="0.2">
      <c r="A821" s="100"/>
      <c r="B821" s="100"/>
      <c r="C821" s="101"/>
      <c r="D821" s="101"/>
      <c r="E821" s="100"/>
      <c r="F821" s="101"/>
      <c r="G821" s="101"/>
      <c r="H821" s="101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</row>
    <row r="822" spans="1:27" ht="15" x14ac:dyDescent="0.2">
      <c r="A822" s="100"/>
      <c r="B822" s="100"/>
      <c r="C822" s="101"/>
      <c r="D822" s="101"/>
      <c r="E822" s="100"/>
      <c r="F822" s="101"/>
      <c r="G822" s="101"/>
      <c r="H822" s="101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</row>
    <row r="823" spans="1:27" ht="15" x14ac:dyDescent="0.2">
      <c r="A823" s="100"/>
      <c r="B823" s="100"/>
      <c r="C823" s="101"/>
      <c r="D823" s="101"/>
      <c r="E823" s="100"/>
      <c r="F823" s="101"/>
      <c r="G823" s="101"/>
      <c r="H823" s="101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</row>
    <row r="824" spans="1:27" ht="15" x14ac:dyDescent="0.2">
      <c r="A824" s="100"/>
      <c r="B824" s="100"/>
      <c r="C824" s="101"/>
      <c r="D824" s="101"/>
      <c r="E824" s="100"/>
      <c r="F824" s="101"/>
      <c r="G824" s="101"/>
      <c r="H824" s="101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</row>
    <row r="825" spans="1:27" ht="15" x14ac:dyDescent="0.2">
      <c r="A825" s="100"/>
      <c r="B825" s="100"/>
      <c r="C825" s="101"/>
      <c r="D825" s="101"/>
      <c r="E825" s="100"/>
      <c r="F825" s="101"/>
      <c r="G825" s="101"/>
      <c r="H825" s="101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</row>
    <row r="826" spans="1:27" ht="15" x14ac:dyDescent="0.2">
      <c r="A826" s="100"/>
      <c r="B826" s="100"/>
      <c r="C826" s="101"/>
      <c r="D826" s="101"/>
      <c r="E826" s="100"/>
      <c r="F826" s="101"/>
      <c r="G826" s="101"/>
      <c r="H826" s="101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</row>
    <row r="827" spans="1:27" ht="15" x14ac:dyDescent="0.2">
      <c r="A827" s="100"/>
      <c r="B827" s="100"/>
      <c r="C827" s="101"/>
      <c r="D827" s="101"/>
      <c r="E827" s="100"/>
      <c r="F827" s="101"/>
      <c r="G827" s="101"/>
      <c r="H827" s="101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</row>
    <row r="828" spans="1:27" ht="15" x14ac:dyDescent="0.2">
      <c r="A828" s="100"/>
      <c r="B828" s="100"/>
      <c r="C828" s="101"/>
      <c r="D828" s="101"/>
      <c r="E828" s="100"/>
      <c r="F828" s="101"/>
      <c r="G828" s="101"/>
      <c r="H828" s="101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</row>
    <row r="829" spans="1:27" ht="15" x14ac:dyDescent="0.2">
      <c r="A829" s="100"/>
      <c r="B829" s="100"/>
      <c r="C829" s="101"/>
      <c r="D829" s="101"/>
      <c r="E829" s="100"/>
      <c r="F829" s="101"/>
      <c r="G829" s="101"/>
      <c r="H829" s="101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</row>
    <row r="830" spans="1:27" ht="15" x14ac:dyDescent="0.2">
      <c r="A830" s="100"/>
      <c r="B830" s="100"/>
      <c r="C830" s="101"/>
      <c r="D830" s="101"/>
      <c r="E830" s="100"/>
      <c r="F830" s="101"/>
      <c r="G830" s="101"/>
      <c r="H830" s="101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</row>
    <row r="831" spans="1:27" ht="15" x14ac:dyDescent="0.2">
      <c r="A831" s="100"/>
      <c r="B831" s="100"/>
      <c r="C831" s="101"/>
      <c r="D831" s="101"/>
      <c r="E831" s="100"/>
      <c r="F831" s="101"/>
      <c r="G831" s="101"/>
      <c r="H831" s="101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</row>
    <row r="832" spans="1:27" ht="15" x14ac:dyDescent="0.2">
      <c r="A832" s="100"/>
      <c r="B832" s="100"/>
      <c r="C832" s="101"/>
      <c r="D832" s="101"/>
      <c r="E832" s="100"/>
      <c r="F832" s="101"/>
      <c r="G832" s="101"/>
      <c r="H832" s="101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</row>
    <row r="833" spans="1:27" ht="15" x14ac:dyDescent="0.2">
      <c r="A833" s="100"/>
      <c r="B833" s="100"/>
      <c r="C833" s="101"/>
      <c r="D833" s="101"/>
      <c r="E833" s="100"/>
      <c r="F833" s="101"/>
      <c r="G833" s="101"/>
      <c r="H833" s="101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</row>
    <row r="834" spans="1:27" ht="15" x14ac:dyDescent="0.2">
      <c r="A834" s="100"/>
      <c r="B834" s="100"/>
      <c r="C834" s="101"/>
      <c r="D834" s="101"/>
      <c r="E834" s="100"/>
      <c r="F834" s="101"/>
      <c r="G834" s="101"/>
      <c r="H834" s="101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</row>
    <row r="835" spans="1:27" ht="15" x14ac:dyDescent="0.2">
      <c r="A835" s="100"/>
      <c r="B835" s="100"/>
      <c r="C835" s="101"/>
      <c r="D835" s="101"/>
      <c r="E835" s="100"/>
      <c r="F835" s="101"/>
      <c r="G835" s="101"/>
      <c r="H835" s="101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</row>
    <row r="836" spans="1:27" ht="15" x14ac:dyDescent="0.2">
      <c r="A836" s="100"/>
      <c r="B836" s="100"/>
      <c r="C836" s="101"/>
      <c r="D836" s="101"/>
      <c r="E836" s="100"/>
      <c r="F836" s="101"/>
      <c r="G836" s="101"/>
      <c r="H836" s="101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</row>
    <row r="837" spans="1:27" ht="15" x14ac:dyDescent="0.2">
      <c r="A837" s="100"/>
      <c r="B837" s="100"/>
      <c r="C837" s="101"/>
      <c r="D837" s="101"/>
      <c r="E837" s="100"/>
      <c r="F837" s="101"/>
      <c r="G837" s="101"/>
      <c r="H837" s="101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</row>
    <row r="838" spans="1:27" ht="15" x14ac:dyDescent="0.2">
      <c r="A838" s="100"/>
      <c r="B838" s="100"/>
      <c r="C838" s="101"/>
      <c r="D838" s="101"/>
      <c r="E838" s="100"/>
      <c r="F838" s="101"/>
      <c r="G838" s="101"/>
      <c r="H838" s="101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</row>
    <row r="839" spans="1:27" ht="15" x14ac:dyDescent="0.2">
      <c r="A839" s="100"/>
      <c r="B839" s="100"/>
      <c r="C839" s="101"/>
      <c r="D839" s="101"/>
      <c r="E839" s="100"/>
      <c r="F839" s="101"/>
      <c r="G839" s="101"/>
      <c r="H839" s="101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</row>
    <row r="840" spans="1:27" ht="15" x14ac:dyDescent="0.2">
      <c r="A840" s="100"/>
      <c r="B840" s="100"/>
      <c r="C840" s="101"/>
      <c r="D840" s="101"/>
      <c r="E840" s="100"/>
      <c r="F840" s="101"/>
      <c r="G840" s="101"/>
      <c r="H840" s="101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</row>
    <row r="841" spans="1:27" ht="15" x14ac:dyDescent="0.2">
      <c r="A841" s="100"/>
      <c r="B841" s="100"/>
      <c r="C841" s="101"/>
      <c r="D841" s="101"/>
      <c r="E841" s="100"/>
      <c r="F841" s="101"/>
      <c r="G841" s="101"/>
      <c r="H841" s="101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</row>
    <row r="842" spans="1:27" ht="15" x14ac:dyDescent="0.2">
      <c r="A842" s="100"/>
      <c r="B842" s="100"/>
      <c r="C842" s="101"/>
      <c r="D842" s="101"/>
      <c r="E842" s="100"/>
      <c r="F842" s="101"/>
      <c r="G842" s="101"/>
      <c r="H842" s="101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</row>
    <row r="843" spans="1:27" ht="15" x14ac:dyDescent="0.2">
      <c r="A843" s="100"/>
      <c r="B843" s="100"/>
      <c r="C843" s="101"/>
      <c r="D843" s="101"/>
      <c r="E843" s="100"/>
      <c r="F843" s="101"/>
      <c r="G843" s="101"/>
      <c r="H843" s="101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</row>
    <row r="844" spans="1:27" ht="15" x14ac:dyDescent="0.2">
      <c r="A844" s="100"/>
      <c r="B844" s="100"/>
      <c r="C844" s="101"/>
      <c r="D844" s="101"/>
      <c r="E844" s="100"/>
      <c r="F844" s="101"/>
      <c r="G844" s="101"/>
      <c r="H844" s="101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</row>
    <row r="845" spans="1:27" ht="15" x14ac:dyDescent="0.2">
      <c r="A845" s="100"/>
      <c r="B845" s="100"/>
      <c r="C845" s="101"/>
      <c r="D845" s="101"/>
      <c r="E845" s="100"/>
      <c r="F845" s="101"/>
      <c r="G845" s="101"/>
      <c r="H845" s="101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</row>
    <row r="846" spans="1:27" ht="15" x14ac:dyDescent="0.2">
      <c r="A846" s="100"/>
      <c r="B846" s="100"/>
      <c r="C846" s="101"/>
      <c r="D846" s="101"/>
      <c r="E846" s="100"/>
      <c r="F846" s="101"/>
      <c r="G846" s="101"/>
      <c r="H846" s="101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</row>
    <row r="847" spans="1:27" ht="15" x14ac:dyDescent="0.2">
      <c r="A847" s="100"/>
      <c r="B847" s="100"/>
      <c r="C847" s="101"/>
      <c r="D847" s="101"/>
      <c r="E847" s="100"/>
      <c r="F847" s="101"/>
      <c r="G847" s="101"/>
      <c r="H847" s="101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</row>
    <row r="848" spans="1:27" ht="15" x14ac:dyDescent="0.2">
      <c r="A848" s="100"/>
      <c r="B848" s="100"/>
      <c r="C848" s="101"/>
      <c r="D848" s="101"/>
      <c r="E848" s="100"/>
      <c r="F848" s="101"/>
      <c r="G848" s="101"/>
      <c r="H848" s="101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</row>
    <row r="849" spans="1:27" ht="15" x14ac:dyDescent="0.2">
      <c r="A849" s="100"/>
      <c r="B849" s="100"/>
      <c r="C849" s="101"/>
      <c r="D849" s="101"/>
      <c r="E849" s="100"/>
      <c r="F849" s="101"/>
      <c r="G849" s="101"/>
      <c r="H849" s="101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</row>
    <row r="850" spans="1:27" ht="15" x14ac:dyDescent="0.2">
      <c r="A850" s="100"/>
      <c r="B850" s="100"/>
      <c r="C850" s="101"/>
      <c r="D850" s="101"/>
      <c r="E850" s="100"/>
      <c r="F850" s="101"/>
      <c r="G850" s="101"/>
      <c r="H850" s="101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</row>
    <row r="851" spans="1:27" ht="15" x14ac:dyDescent="0.2">
      <c r="A851" s="100"/>
      <c r="B851" s="100"/>
      <c r="C851" s="101"/>
      <c r="D851" s="101"/>
      <c r="E851" s="100"/>
      <c r="F851" s="101"/>
      <c r="G851" s="101"/>
      <c r="H851" s="101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</row>
    <row r="852" spans="1:27" ht="15" x14ac:dyDescent="0.2">
      <c r="A852" s="100"/>
      <c r="B852" s="100"/>
      <c r="C852" s="101"/>
      <c r="D852" s="101"/>
      <c r="E852" s="100"/>
      <c r="F852" s="101"/>
      <c r="G852" s="101"/>
      <c r="H852" s="101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</row>
    <row r="853" spans="1:27" ht="15" x14ac:dyDescent="0.2">
      <c r="A853" s="100"/>
      <c r="B853" s="100"/>
      <c r="C853" s="101"/>
      <c r="D853" s="101"/>
      <c r="E853" s="100"/>
      <c r="F853" s="101"/>
      <c r="G853" s="101"/>
      <c r="H853" s="101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</row>
    <row r="854" spans="1:27" ht="15" x14ac:dyDescent="0.2">
      <c r="A854" s="100"/>
      <c r="B854" s="100"/>
      <c r="C854" s="101"/>
      <c r="D854" s="101"/>
      <c r="E854" s="100"/>
      <c r="F854" s="101"/>
      <c r="G854" s="101"/>
      <c r="H854" s="101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</row>
    <row r="855" spans="1:27" ht="15" x14ac:dyDescent="0.2">
      <c r="A855" s="100"/>
      <c r="B855" s="100"/>
      <c r="C855" s="101"/>
      <c r="D855" s="101"/>
      <c r="E855" s="100"/>
      <c r="F855" s="101"/>
      <c r="G855" s="101"/>
      <c r="H855" s="101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</row>
    <row r="856" spans="1:27" ht="15" x14ac:dyDescent="0.2">
      <c r="A856" s="100"/>
      <c r="B856" s="100"/>
      <c r="C856" s="101"/>
      <c r="D856" s="101"/>
      <c r="E856" s="100"/>
      <c r="F856" s="101"/>
      <c r="G856" s="101"/>
      <c r="H856" s="101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</row>
    <row r="857" spans="1:27" ht="15" x14ac:dyDescent="0.2">
      <c r="A857" s="100"/>
      <c r="B857" s="100"/>
      <c r="C857" s="101"/>
      <c r="D857" s="101"/>
      <c r="E857" s="100"/>
      <c r="F857" s="101"/>
      <c r="G857" s="101"/>
      <c r="H857" s="101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</row>
    <row r="858" spans="1:27" ht="15" x14ac:dyDescent="0.2">
      <c r="A858" s="100"/>
      <c r="B858" s="100"/>
      <c r="C858" s="101"/>
      <c r="D858" s="101"/>
      <c r="E858" s="100"/>
      <c r="F858" s="101"/>
      <c r="G858" s="101"/>
      <c r="H858" s="101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</row>
    <row r="859" spans="1:27" ht="15" x14ac:dyDescent="0.2">
      <c r="A859" s="100"/>
      <c r="B859" s="100"/>
      <c r="C859" s="101"/>
      <c r="D859" s="101"/>
      <c r="E859" s="100"/>
      <c r="F859" s="101"/>
      <c r="G859" s="101"/>
      <c r="H859" s="101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</row>
    <row r="860" spans="1:27" ht="15" x14ac:dyDescent="0.2">
      <c r="A860" s="100"/>
      <c r="B860" s="100"/>
      <c r="C860" s="101"/>
      <c r="D860" s="101"/>
      <c r="E860" s="100"/>
      <c r="F860" s="101"/>
      <c r="G860" s="101"/>
      <c r="H860" s="101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</row>
    <row r="861" spans="1:27" ht="15" x14ac:dyDescent="0.2">
      <c r="A861" s="100"/>
      <c r="B861" s="100"/>
      <c r="C861" s="101"/>
      <c r="D861" s="101"/>
      <c r="E861" s="100"/>
      <c r="F861" s="101"/>
      <c r="G861" s="101"/>
      <c r="H861" s="101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</row>
    <row r="862" spans="1:27" ht="15" x14ac:dyDescent="0.2">
      <c r="A862" s="100"/>
      <c r="B862" s="100"/>
      <c r="C862" s="101"/>
      <c r="D862" s="101"/>
      <c r="E862" s="100"/>
      <c r="F862" s="101"/>
      <c r="G862" s="101"/>
      <c r="H862" s="101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</row>
    <row r="863" spans="1:27" ht="15" x14ac:dyDescent="0.2">
      <c r="A863" s="100"/>
      <c r="B863" s="100"/>
      <c r="C863" s="101"/>
      <c r="D863" s="101"/>
      <c r="E863" s="100"/>
      <c r="F863" s="101"/>
      <c r="G863" s="101"/>
      <c r="H863" s="101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</row>
    <row r="864" spans="1:27" ht="15" x14ac:dyDescent="0.2">
      <c r="A864" s="100"/>
      <c r="B864" s="100"/>
      <c r="C864" s="101"/>
      <c r="D864" s="101"/>
      <c r="E864" s="100"/>
      <c r="F864" s="101"/>
      <c r="G864" s="101"/>
      <c r="H864" s="101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</row>
    <row r="865" spans="1:27" ht="15" x14ac:dyDescent="0.2">
      <c r="A865" s="100"/>
      <c r="B865" s="100"/>
      <c r="C865" s="101"/>
      <c r="D865" s="101"/>
      <c r="E865" s="100"/>
      <c r="F865" s="101"/>
      <c r="G865" s="101"/>
      <c r="H865" s="101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</row>
    <row r="866" spans="1:27" ht="15" x14ac:dyDescent="0.2">
      <c r="A866" s="100"/>
      <c r="B866" s="100"/>
      <c r="C866" s="101"/>
      <c r="D866" s="101"/>
      <c r="E866" s="100"/>
      <c r="F866" s="101"/>
      <c r="G866" s="101"/>
      <c r="H866" s="101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</row>
    <row r="867" spans="1:27" ht="15" x14ac:dyDescent="0.2">
      <c r="A867" s="100"/>
      <c r="B867" s="100"/>
      <c r="C867" s="101"/>
      <c r="D867" s="101"/>
      <c r="E867" s="100"/>
      <c r="F867" s="101"/>
      <c r="G867" s="101"/>
      <c r="H867" s="101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</row>
    <row r="868" spans="1:27" ht="15" x14ac:dyDescent="0.2">
      <c r="A868" s="100"/>
      <c r="B868" s="100"/>
      <c r="C868" s="101"/>
      <c r="D868" s="101"/>
      <c r="E868" s="100"/>
      <c r="F868" s="101"/>
      <c r="G868" s="101"/>
      <c r="H868" s="101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</row>
    <row r="869" spans="1:27" ht="15" x14ac:dyDescent="0.2">
      <c r="A869" s="100"/>
      <c r="B869" s="100"/>
      <c r="C869" s="101"/>
      <c r="D869" s="101"/>
      <c r="E869" s="100"/>
      <c r="F869" s="101"/>
      <c r="G869" s="101"/>
      <c r="H869" s="101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</row>
    <row r="870" spans="1:27" ht="15" x14ac:dyDescent="0.2">
      <c r="A870" s="100"/>
      <c r="B870" s="100"/>
      <c r="C870" s="101"/>
      <c r="D870" s="101"/>
      <c r="E870" s="100"/>
      <c r="F870" s="101"/>
      <c r="G870" s="101"/>
      <c r="H870" s="101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</row>
    <row r="871" spans="1:27" ht="15" x14ac:dyDescent="0.2">
      <c r="A871" s="100"/>
      <c r="B871" s="100"/>
      <c r="C871" s="101"/>
      <c r="D871" s="101"/>
      <c r="E871" s="100"/>
      <c r="F871" s="101"/>
      <c r="G871" s="101"/>
      <c r="H871" s="101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</row>
    <row r="872" spans="1:27" ht="15" x14ac:dyDescent="0.2">
      <c r="A872" s="100"/>
      <c r="B872" s="100"/>
      <c r="C872" s="101"/>
      <c r="D872" s="101"/>
      <c r="E872" s="100"/>
      <c r="F872" s="101"/>
      <c r="G872" s="101"/>
      <c r="H872" s="101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</row>
    <row r="873" spans="1:27" ht="15" x14ac:dyDescent="0.2">
      <c r="A873" s="100"/>
      <c r="B873" s="100"/>
      <c r="C873" s="101"/>
      <c r="D873" s="101"/>
      <c r="E873" s="100"/>
      <c r="F873" s="101"/>
      <c r="G873" s="101"/>
      <c r="H873" s="101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</row>
    <row r="874" spans="1:27" ht="15" x14ac:dyDescent="0.2">
      <c r="A874" s="100"/>
      <c r="B874" s="100"/>
      <c r="C874" s="101"/>
      <c r="D874" s="101"/>
      <c r="E874" s="100"/>
      <c r="F874" s="101"/>
      <c r="G874" s="101"/>
      <c r="H874" s="101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</row>
    <row r="875" spans="1:27" ht="15" x14ac:dyDescent="0.2">
      <c r="A875" s="100"/>
      <c r="B875" s="100"/>
      <c r="C875" s="101"/>
      <c r="D875" s="101"/>
      <c r="E875" s="100"/>
      <c r="F875" s="101"/>
      <c r="G875" s="101"/>
      <c r="H875" s="101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</row>
    <row r="876" spans="1:27" ht="15" x14ac:dyDescent="0.2">
      <c r="A876" s="100"/>
      <c r="B876" s="100"/>
      <c r="C876" s="101"/>
      <c r="D876" s="101"/>
      <c r="E876" s="100"/>
      <c r="F876" s="101"/>
      <c r="G876" s="101"/>
      <c r="H876" s="101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</row>
    <row r="877" spans="1:27" ht="15" x14ac:dyDescent="0.2">
      <c r="A877" s="100"/>
      <c r="B877" s="100"/>
      <c r="C877" s="101"/>
      <c r="D877" s="101"/>
      <c r="E877" s="100"/>
      <c r="F877" s="101"/>
      <c r="G877" s="101"/>
      <c r="H877" s="101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</row>
    <row r="878" spans="1:27" ht="15" x14ac:dyDescent="0.2">
      <c r="A878" s="100"/>
      <c r="B878" s="100"/>
      <c r="C878" s="101"/>
      <c r="D878" s="101"/>
      <c r="E878" s="100"/>
      <c r="F878" s="101"/>
      <c r="G878" s="101"/>
      <c r="H878" s="101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</row>
    <row r="879" spans="1:27" ht="15" x14ac:dyDescent="0.2">
      <c r="A879" s="100"/>
      <c r="B879" s="100"/>
      <c r="C879" s="101"/>
      <c r="D879" s="101"/>
      <c r="E879" s="100"/>
      <c r="F879" s="101"/>
      <c r="G879" s="101"/>
      <c r="H879" s="101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</row>
    <row r="880" spans="1:27" ht="15" x14ac:dyDescent="0.2">
      <c r="A880" s="100"/>
      <c r="B880" s="100"/>
      <c r="C880" s="101"/>
      <c r="D880" s="101"/>
      <c r="E880" s="100"/>
      <c r="F880" s="101"/>
      <c r="G880" s="101"/>
      <c r="H880" s="101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</row>
    <row r="881" spans="1:27" ht="15" x14ac:dyDescent="0.2">
      <c r="A881" s="100"/>
      <c r="B881" s="100"/>
      <c r="C881" s="101"/>
      <c r="D881" s="101"/>
      <c r="E881" s="100"/>
      <c r="F881" s="101"/>
      <c r="G881" s="101"/>
      <c r="H881" s="101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</row>
    <row r="882" spans="1:27" ht="15" x14ac:dyDescent="0.2">
      <c r="A882" s="100"/>
      <c r="B882" s="100"/>
      <c r="C882" s="101"/>
      <c r="D882" s="101"/>
      <c r="E882" s="100"/>
      <c r="F882" s="101"/>
      <c r="G882" s="101"/>
      <c r="H882" s="101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</row>
    <row r="883" spans="1:27" ht="15" x14ac:dyDescent="0.2">
      <c r="A883" s="100"/>
      <c r="B883" s="100"/>
      <c r="C883" s="101"/>
      <c r="D883" s="101"/>
      <c r="E883" s="100"/>
      <c r="F883" s="101"/>
      <c r="G883" s="101"/>
      <c r="H883" s="101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</row>
    <row r="884" spans="1:27" ht="15" x14ac:dyDescent="0.2">
      <c r="A884" s="100"/>
      <c r="B884" s="100"/>
      <c r="C884" s="101"/>
      <c r="D884" s="101"/>
      <c r="E884" s="100"/>
      <c r="F884" s="101"/>
      <c r="G884" s="101"/>
      <c r="H884" s="101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</row>
    <row r="885" spans="1:27" ht="15" x14ac:dyDescent="0.2">
      <c r="A885" s="100"/>
      <c r="B885" s="100"/>
      <c r="C885" s="101"/>
      <c r="D885" s="101"/>
      <c r="E885" s="100"/>
      <c r="F885" s="101"/>
      <c r="G885" s="101"/>
      <c r="H885" s="101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</row>
    <row r="886" spans="1:27" ht="15" x14ac:dyDescent="0.2">
      <c r="A886" s="100"/>
      <c r="B886" s="100"/>
      <c r="C886" s="101"/>
      <c r="D886" s="101"/>
      <c r="E886" s="100"/>
      <c r="F886" s="101"/>
      <c r="G886" s="101"/>
      <c r="H886" s="101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</row>
    <row r="887" spans="1:27" ht="15" x14ac:dyDescent="0.2">
      <c r="A887" s="100"/>
      <c r="B887" s="100"/>
      <c r="C887" s="101"/>
      <c r="D887" s="101"/>
      <c r="E887" s="100"/>
      <c r="F887" s="101"/>
      <c r="G887" s="101"/>
      <c r="H887" s="101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</row>
    <row r="888" spans="1:27" ht="15" x14ac:dyDescent="0.2">
      <c r="A888" s="100"/>
      <c r="B888" s="100"/>
      <c r="C888" s="101"/>
      <c r="D888" s="101"/>
      <c r="E888" s="100"/>
      <c r="F888" s="101"/>
      <c r="G888" s="101"/>
      <c r="H888" s="101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</row>
    <row r="889" spans="1:27" ht="15" x14ac:dyDescent="0.2">
      <c r="A889" s="100"/>
      <c r="B889" s="100"/>
      <c r="C889" s="101"/>
      <c r="D889" s="101"/>
      <c r="E889" s="100"/>
      <c r="F889" s="101"/>
      <c r="G889" s="101"/>
      <c r="H889" s="101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</row>
    <row r="890" spans="1:27" ht="15" x14ac:dyDescent="0.2">
      <c r="A890" s="100"/>
      <c r="B890" s="100"/>
      <c r="C890" s="101"/>
      <c r="D890" s="101"/>
      <c r="E890" s="100"/>
      <c r="F890" s="101"/>
      <c r="G890" s="101"/>
      <c r="H890" s="101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</row>
    <row r="891" spans="1:27" ht="15" x14ac:dyDescent="0.2">
      <c r="A891" s="100"/>
      <c r="B891" s="100"/>
      <c r="C891" s="101"/>
      <c r="D891" s="101"/>
      <c r="E891" s="100"/>
      <c r="F891" s="101"/>
      <c r="G891" s="101"/>
      <c r="H891" s="101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</row>
    <row r="892" spans="1:27" ht="15" x14ac:dyDescent="0.2">
      <c r="A892" s="100"/>
      <c r="B892" s="100"/>
      <c r="C892" s="101"/>
      <c r="D892" s="101"/>
      <c r="E892" s="100"/>
      <c r="F892" s="101"/>
      <c r="G892" s="101"/>
      <c r="H892" s="101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</row>
    <row r="893" spans="1:27" ht="15" x14ac:dyDescent="0.2">
      <c r="A893" s="100"/>
      <c r="B893" s="100"/>
      <c r="C893" s="101"/>
      <c r="D893" s="101"/>
      <c r="E893" s="100"/>
      <c r="F893" s="101"/>
      <c r="G893" s="101"/>
      <c r="H893" s="101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</row>
    <row r="894" spans="1:27" ht="15" x14ac:dyDescent="0.2">
      <c r="A894" s="100"/>
      <c r="B894" s="100"/>
      <c r="C894" s="101"/>
      <c r="D894" s="101"/>
      <c r="E894" s="100"/>
      <c r="F894" s="101"/>
      <c r="G894" s="101"/>
      <c r="H894" s="101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</row>
    <row r="895" spans="1:27" ht="15" x14ac:dyDescent="0.2">
      <c r="A895" s="100"/>
      <c r="B895" s="100"/>
      <c r="C895" s="101"/>
      <c r="D895" s="101"/>
      <c r="E895" s="100"/>
      <c r="F895" s="101"/>
      <c r="G895" s="101"/>
      <c r="H895" s="101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</row>
    <row r="896" spans="1:27" ht="15" x14ac:dyDescent="0.2">
      <c r="A896" s="100"/>
      <c r="B896" s="100"/>
      <c r="C896" s="101"/>
      <c r="D896" s="101"/>
      <c r="E896" s="100"/>
      <c r="F896" s="101"/>
      <c r="G896" s="101"/>
      <c r="H896" s="101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</row>
    <row r="897" spans="1:27" ht="15" x14ac:dyDescent="0.2">
      <c r="A897" s="100"/>
      <c r="B897" s="100"/>
      <c r="C897" s="101"/>
      <c r="D897" s="101"/>
      <c r="E897" s="100"/>
      <c r="F897" s="101"/>
      <c r="G897" s="101"/>
      <c r="H897" s="101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</row>
    <row r="898" spans="1:27" ht="15" x14ac:dyDescent="0.2">
      <c r="A898" s="100"/>
      <c r="B898" s="100"/>
      <c r="C898" s="101"/>
      <c r="D898" s="101"/>
      <c r="E898" s="100"/>
      <c r="F898" s="101"/>
      <c r="G898" s="101"/>
      <c r="H898" s="101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</row>
    <row r="899" spans="1:27" ht="15" x14ac:dyDescent="0.2">
      <c r="A899" s="100"/>
      <c r="B899" s="100"/>
      <c r="C899" s="101"/>
      <c r="D899" s="101"/>
      <c r="E899" s="100"/>
      <c r="F899" s="101"/>
      <c r="G899" s="101"/>
      <c r="H899" s="101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</row>
    <row r="900" spans="1:27" ht="15" x14ac:dyDescent="0.2">
      <c r="A900" s="100"/>
      <c r="B900" s="100"/>
      <c r="C900" s="101"/>
      <c r="D900" s="101"/>
      <c r="E900" s="100"/>
      <c r="F900" s="101"/>
      <c r="G900" s="101"/>
      <c r="H900" s="101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</row>
    <row r="901" spans="1:27" ht="15" x14ac:dyDescent="0.2">
      <c r="A901" s="100"/>
      <c r="B901" s="100"/>
      <c r="C901" s="101"/>
      <c r="D901" s="101"/>
      <c r="E901" s="100"/>
      <c r="F901" s="101"/>
      <c r="G901" s="101"/>
      <c r="H901" s="101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</row>
    <row r="902" spans="1:27" ht="15" x14ac:dyDescent="0.2">
      <c r="A902" s="100"/>
      <c r="B902" s="100"/>
      <c r="C902" s="101"/>
      <c r="D902" s="101"/>
      <c r="E902" s="100"/>
      <c r="F902" s="101"/>
      <c r="G902" s="101"/>
      <c r="H902" s="101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</row>
    <row r="903" spans="1:27" ht="15" x14ac:dyDescent="0.2">
      <c r="A903" s="100"/>
      <c r="B903" s="100"/>
      <c r="C903" s="101"/>
      <c r="D903" s="101"/>
      <c r="E903" s="100"/>
      <c r="F903" s="101"/>
      <c r="G903" s="101"/>
      <c r="H903" s="101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</row>
    <row r="904" spans="1:27" ht="15" x14ac:dyDescent="0.2">
      <c r="A904" s="100"/>
      <c r="B904" s="100"/>
      <c r="C904" s="101"/>
      <c r="D904" s="101"/>
      <c r="E904" s="100"/>
      <c r="F904" s="101"/>
      <c r="G904" s="101"/>
      <c r="H904" s="101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</row>
    <row r="905" spans="1:27" ht="15" x14ac:dyDescent="0.2">
      <c r="A905" s="100"/>
      <c r="B905" s="100"/>
      <c r="C905" s="101"/>
      <c r="D905" s="101"/>
      <c r="E905" s="100"/>
      <c r="F905" s="101"/>
      <c r="G905" s="101"/>
      <c r="H905" s="101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</row>
    <row r="906" spans="1:27" ht="15" x14ac:dyDescent="0.2">
      <c r="A906" s="100"/>
      <c r="B906" s="100"/>
      <c r="C906" s="101"/>
      <c r="D906" s="101"/>
      <c r="E906" s="100"/>
      <c r="F906" s="101"/>
      <c r="G906" s="101"/>
      <c r="H906" s="101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</row>
    <row r="907" spans="1:27" ht="15" x14ac:dyDescent="0.2">
      <c r="A907" s="100"/>
      <c r="B907" s="100"/>
      <c r="C907" s="101"/>
      <c r="D907" s="101"/>
      <c r="E907" s="100"/>
      <c r="F907" s="101"/>
      <c r="G907" s="101"/>
      <c r="H907" s="101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</row>
    <row r="908" spans="1:27" ht="15" x14ac:dyDescent="0.2">
      <c r="A908" s="100"/>
      <c r="B908" s="100"/>
      <c r="C908" s="101"/>
      <c r="D908" s="101"/>
      <c r="E908" s="100"/>
      <c r="F908" s="101"/>
      <c r="G908" s="101"/>
      <c r="H908" s="101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</row>
    <row r="909" spans="1:27" ht="15" x14ac:dyDescent="0.2">
      <c r="A909" s="100"/>
      <c r="B909" s="100"/>
      <c r="C909" s="101"/>
      <c r="D909" s="101"/>
      <c r="E909" s="100"/>
      <c r="F909" s="101"/>
      <c r="G909" s="101"/>
      <c r="H909" s="101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</row>
    <row r="910" spans="1:27" ht="15" x14ac:dyDescent="0.2">
      <c r="A910" s="100"/>
      <c r="B910" s="100"/>
      <c r="C910" s="101"/>
      <c r="D910" s="101"/>
      <c r="E910" s="100"/>
      <c r="F910" s="101"/>
      <c r="G910" s="101"/>
      <c r="H910" s="101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</row>
    <row r="911" spans="1:27" ht="15" x14ac:dyDescent="0.2">
      <c r="A911" s="100"/>
      <c r="B911" s="100"/>
      <c r="C911" s="101"/>
      <c r="D911" s="101"/>
      <c r="E911" s="100"/>
      <c r="F911" s="101"/>
      <c r="G911" s="101"/>
      <c r="H911" s="101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</row>
    <row r="912" spans="1:27" ht="15" x14ac:dyDescent="0.2">
      <c r="A912" s="100"/>
      <c r="B912" s="100"/>
      <c r="C912" s="101"/>
      <c r="D912" s="101"/>
      <c r="E912" s="100"/>
      <c r="F912" s="101"/>
      <c r="G912" s="101"/>
      <c r="H912" s="101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</row>
    <row r="913" spans="1:27" ht="15" x14ac:dyDescent="0.2">
      <c r="A913" s="100"/>
      <c r="B913" s="100"/>
      <c r="C913" s="101"/>
      <c r="D913" s="101"/>
      <c r="E913" s="100"/>
      <c r="F913" s="101"/>
      <c r="G913" s="101"/>
      <c r="H913" s="101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</row>
    <row r="914" spans="1:27" ht="15" x14ac:dyDescent="0.2">
      <c r="A914" s="100"/>
      <c r="B914" s="100"/>
      <c r="C914" s="101"/>
      <c r="D914" s="101"/>
      <c r="E914" s="100"/>
      <c r="F914" s="101"/>
      <c r="G914" s="101"/>
      <c r="H914" s="101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</row>
    <row r="915" spans="1:27" ht="15" x14ac:dyDescent="0.2">
      <c r="A915" s="100"/>
      <c r="B915" s="100"/>
      <c r="C915" s="101"/>
      <c r="D915" s="101"/>
      <c r="E915" s="100"/>
      <c r="F915" s="101"/>
      <c r="G915" s="101"/>
      <c r="H915" s="101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</row>
    <row r="916" spans="1:27" ht="15" x14ac:dyDescent="0.2">
      <c r="A916" s="100"/>
      <c r="B916" s="100"/>
      <c r="C916" s="101"/>
      <c r="D916" s="101"/>
      <c r="E916" s="100"/>
      <c r="F916" s="101"/>
      <c r="G916" s="101"/>
      <c r="H916" s="101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</row>
    <row r="917" spans="1:27" ht="15" x14ac:dyDescent="0.2">
      <c r="A917" s="100"/>
      <c r="B917" s="100"/>
      <c r="C917" s="101"/>
      <c r="D917" s="101"/>
      <c r="E917" s="100"/>
      <c r="F917" s="101"/>
      <c r="G917" s="101"/>
      <c r="H917" s="101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</row>
    <row r="918" spans="1:27" ht="15" x14ac:dyDescent="0.2">
      <c r="A918" s="100"/>
      <c r="B918" s="100"/>
      <c r="C918" s="101"/>
      <c r="D918" s="101"/>
      <c r="E918" s="100"/>
      <c r="F918" s="101"/>
      <c r="G918" s="101"/>
      <c r="H918" s="101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</row>
    <row r="919" spans="1:27" ht="15" x14ac:dyDescent="0.2">
      <c r="A919" s="100"/>
      <c r="B919" s="100"/>
      <c r="C919" s="101"/>
      <c r="D919" s="101"/>
      <c r="E919" s="100"/>
      <c r="F919" s="101"/>
      <c r="G919" s="101"/>
      <c r="H919" s="101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</row>
    <row r="920" spans="1:27" ht="15" x14ac:dyDescent="0.2">
      <c r="A920" s="100"/>
      <c r="B920" s="100"/>
      <c r="C920" s="101"/>
      <c r="D920" s="101"/>
      <c r="E920" s="100"/>
      <c r="F920" s="101"/>
      <c r="G920" s="101"/>
      <c r="H920" s="101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</row>
    <row r="921" spans="1:27" ht="15" x14ac:dyDescent="0.2">
      <c r="A921" s="100"/>
      <c r="B921" s="100"/>
      <c r="C921" s="101"/>
      <c r="D921" s="101"/>
      <c r="E921" s="100"/>
      <c r="F921" s="101"/>
      <c r="G921" s="101"/>
      <c r="H921" s="101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</row>
    <row r="922" spans="1:27" ht="15" x14ac:dyDescent="0.2">
      <c r="A922" s="100"/>
      <c r="B922" s="100"/>
      <c r="C922" s="101"/>
      <c r="D922" s="101"/>
      <c r="E922" s="100"/>
      <c r="F922" s="101"/>
      <c r="G922" s="101"/>
      <c r="H922" s="101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</row>
    <row r="923" spans="1:27" ht="15" x14ac:dyDescent="0.2">
      <c r="A923" s="100"/>
      <c r="B923" s="100"/>
      <c r="C923" s="101"/>
      <c r="D923" s="101"/>
      <c r="E923" s="100"/>
      <c r="F923" s="101"/>
      <c r="G923" s="101"/>
      <c r="H923" s="101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</row>
    <row r="924" spans="1:27" ht="15" x14ac:dyDescent="0.2">
      <c r="A924" s="100"/>
      <c r="B924" s="100"/>
      <c r="C924" s="101"/>
      <c r="D924" s="101"/>
      <c r="E924" s="100"/>
      <c r="F924" s="101"/>
      <c r="G924" s="101"/>
      <c r="H924" s="101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</row>
    <row r="925" spans="1:27" ht="15" x14ac:dyDescent="0.2">
      <c r="A925" s="100"/>
      <c r="B925" s="100"/>
      <c r="C925" s="101"/>
      <c r="D925" s="101"/>
      <c r="E925" s="100"/>
      <c r="F925" s="101"/>
      <c r="G925" s="101"/>
      <c r="H925" s="101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</row>
    <row r="926" spans="1:27" ht="15" x14ac:dyDescent="0.2">
      <c r="A926" s="100"/>
      <c r="B926" s="100"/>
      <c r="C926" s="101"/>
      <c r="D926" s="101"/>
      <c r="E926" s="100"/>
      <c r="F926" s="101"/>
      <c r="G926" s="101"/>
      <c r="H926" s="101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</row>
    <row r="927" spans="1:27" ht="15" x14ac:dyDescent="0.2">
      <c r="A927" s="100"/>
      <c r="B927" s="100"/>
      <c r="C927" s="101"/>
      <c r="D927" s="101"/>
      <c r="E927" s="100"/>
      <c r="F927" s="101"/>
      <c r="G927" s="101"/>
      <c r="H927" s="101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</row>
    <row r="928" spans="1:27" ht="15" x14ac:dyDescent="0.2">
      <c r="A928" s="100"/>
      <c r="B928" s="100"/>
      <c r="C928" s="101"/>
      <c r="D928" s="101"/>
      <c r="E928" s="100"/>
      <c r="F928" s="101"/>
      <c r="G928" s="101"/>
      <c r="H928" s="101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</row>
    <row r="929" spans="1:27" ht="15" x14ac:dyDescent="0.2">
      <c r="A929" s="100"/>
      <c r="B929" s="100"/>
      <c r="C929" s="101"/>
      <c r="D929" s="101"/>
      <c r="E929" s="100"/>
      <c r="F929" s="101"/>
      <c r="G929" s="101"/>
      <c r="H929" s="101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</row>
    <row r="930" spans="1:27" ht="15" x14ac:dyDescent="0.2">
      <c r="A930" s="100"/>
      <c r="B930" s="100"/>
      <c r="C930" s="101"/>
      <c r="D930" s="101"/>
      <c r="E930" s="100"/>
      <c r="F930" s="101"/>
      <c r="G930" s="101"/>
      <c r="H930" s="101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</row>
    <row r="931" spans="1:27" ht="15" x14ac:dyDescent="0.2">
      <c r="A931" s="100"/>
      <c r="B931" s="100"/>
      <c r="C931" s="101"/>
      <c r="D931" s="101"/>
      <c r="E931" s="100"/>
      <c r="F931" s="101"/>
      <c r="G931" s="101"/>
      <c r="H931" s="101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</row>
    <row r="932" spans="1:27" ht="15" x14ac:dyDescent="0.2">
      <c r="A932" s="100"/>
      <c r="B932" s="100"/>
      <c r="C932" s="101"/>
      <c r="D932" s="101"/>
      <c r="E932" s="100"/>
      <c r="F932" s="101"/>
      <c r="G932" s="101"/>
      <c r="H932" s="101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</row>
    <row r="933" spans="1:27" ht="15" x14ac:dyDescent="0.2">
      <c r="A933" s="100"/>
      <c r="B933" s="100"/>
      <c r="C933" s="101"/>
      <c r="D933" s="101"/>
      <c r="E933" s="100"/>
      <c r="F933" s="101"/>
      <c r="G933" s="101"/>
      <c r="H933" s="101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</row>
    <row r="934" spans="1:27" ht="15" x14ac:dyDescent="0.2">
      <c r="A934" s="100"/>
      <c r="B934" s="100"/>
      <c r="C934" s="101"/>
      <c r="D934" s="101"/>
      <c r="E934" s="100"/>
      <c r="F934" s="101"/>
      <c r="G934" s="101"/>
      <c r="H934" s="101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</row>
    <row r="935" spans="1:27" ht="15" x14ac:dyDescent="0.2">
      <c r="A935" s="100"/>
      <c r="B935" s="100"/>
      <c r="C935" s="101"/>
      <c r="D935" s="101"/>
      <c r="E935" s="100"/>
      <c r="F935" s="101"/>
      <c r="G935" s="101"/>
      <c r="H935" s="101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</row>
    <row r="936" spans="1:27" ht="15" x14ac:dyDescent="0.2">
      <c r="A936" s="100"/>
      <c r="B936" s="100"/>
      <c r="C936" s="101"/>
      <c r="D936" s="101"/>
      <c r="E936" s="100"/>
      <c r="F936" s="101"/>
      <c r="G936" s="101"/>
      <c r="H936" s="101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</row>
    <row r="937" spans="1:27" ht="15" x14ac:dyDescent="0.2">
      <c r="A937" s="100"/>
      <c r="B937" s="100"/>
      <c r="C937" s="101"/>
      <c r="D937" s="101"/>
      <c r="E937" s="100"/>
      <c r="F937" s="101"/>
      <c r="G937" s="101"/>
      <c r="H937" s="101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</row>
    <row r="938" spans="1:27" ht="15" x14ac:dyDescent="0.2">
      <c r="A938" s="100"/>
      <c r="B938" s="100"/>
      <c r="C938" s="101"/>
      <c r="D938" s="101"/>
      <c r="E938" s="100"/>
      <c r="F938" s="101"/>
      <c r="G938" s="101"/>
      <c r="H938" s="101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</row>
    <row r="939" spans="1:27" ht="15" x14ac:dyDescent="0.2">
      <c r="A939" s="100"/>
      <c r="B939" s="100"/>
      <c r="C939" s="101"/>
      <c r="D939" s="101"/>
      <c r="E939" s="100"/>
      <c r="F939" s="101"/>
      <c r="G939" s="101"/>
      <c r="H939" s="101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</row>
    <row r="940" spans="1:27" ht="15" x14ac:dyDescent="0.2">
      <c r="A940" s="100"/>
      <c r="B940" s="100"/>
      <c r="C940" s="101"/>
      <c r="D940" s="101"/>
      <c r="E940" s="100"/>
      <c r="F940" s="101"/>
      <c r="G940" s="101"/>
      <c r="H940" s="101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</row>
    <row r="941" spans="1:27" ht="15" x14ac:dyDescent="0.2">
      <c r="A941" s="100"/>
      <c r="B941" s="100"/>
      <c r="C941" s="101"/>
      <c r="D941" s="101"/>
      <c r="E941" s="100"/>
      <c r="F941" s="101"/>
      <c r="G941" s="101"/>
      <c r="H941" s="101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</row>
    <row r="942" spans="1:27" ht="15" x14ac:dyDescent="0.2">
      <c r="A942" s="100"/>
      <c r="B942" s="100"/>
      <c r="C942" s="101"/>
      <c r="D942" s="101"/>
      <c r="E942" s="100"/>
      <c r="F942" s="101"/>
      <c r="G942" s="101"/>
      <c r="H942" s="101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</row>
    <row r="943" spans="1:27" ht="15" x14ac:dyDescent="0.2">
      <c r="A943" s="100"/>
      <c r="B943" s="100"/>
      <c r="C943" s="101"/>
      <c r="D943" s="101"/>
      <c r="E943" s="100"/>
      <c r="F943" s="101"/>
      <c r="G943" s="101"/>
      <c r="H943" s="101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</row>
    <row r="944" spans="1:27" ht="15" x14ac:dyDescent="0.2">
      <c r="A944" s="100"/>
      <c r="B944" s="100"/>
      <c r="C944" s="101"/>
      <c r="D944" s="101"/>
      <c r="E944" s="100"/>
      <c r="F944" s="101"/>
      <c r="G944" s="101"/>
      <c r="H944" s="101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</row>
    <row r="945" spans="1:27" ht="15" x14ac:dyDescent="0.2">
      <c r="A945" s="100"/>
      <c r="B945" s="100"/>
      <c r="C945" s="101"/>
      <c r="D945" s="101"/>
      <c r="E945" s="100"/>
      <c r="F945" s="101"/>
      <c r="G945" s="101"/>
      <c r="H945" s="101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</row>
    <row r="946" spans="1:27" ht="15" x14ac:dyDescent="0.2">
      <c r="A946" s="100"/>
      <c r="B946" s="100"/>
      <c r="C946" s="101"/>
      <c r="D946" s="101"/>
      <c r="E946" s="100"/>
      <c r="F946" s="101"/>
      <c r="G946" s="101"/>
      <c r="H946" s="101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</row>
    <row r="947" spans="1:27" ht="15" x14ac:dyDescent="0.2">
      <c r="A947" s="100"/>
      <c r="B947" s="100"/>
      <c r="C947" s="101"/>
      <c r="D947" s="101"/>
      <c r="E947" s="100"/>
      <c r="F947" s="101"/>
      <c r="G947" s="101"/>
      <c r="H947" s="101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</row>
    <row r="948" spans="1:27" ht="15" x14ac:dyDescent="0.2">
      <c r="A948" s="100"/>
      <c r="B948" s="100"/>
      <c r="C948" s="101"/>
      <c r="D948" s="101"/>
      <c r="E948" s="100"/>
      <c r="F948" s="101"/>
      <c r="G948" s="101"/>
      <c r="H948" s="101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</row>
    <row r="949" spans="1:27" ht="15" x14ac:dyDescent="0.2">
      <c r="A949" s="100"/>
      <c r="B949" s="100"/>
      <c r="C949" s="101"/>
      <c r="D949" s="101"/>
      <c r="E949" s="100"/>
      <c r="F949" s="101"/>
      <c r="G949" s="101"/>
      <c r="H949" s="101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</row>
    <row r="950" spans="1:27" ht="15" x14ac:dyDescent="0.2">
      <c r="A950" s="100"/>
      <c r="B950" s="100"/>
      <c r="C950" s="101"/>
      <c r="D950" s="101"/>
      <c r="E950" s="100"/>
      <c r="F950" s="101"/>
      <c r="G950" s="101"/>
      <c r="H950" s="101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</row>
    <row r="951" spans="1:27" ht="15" x14ac:dyDescent="0.2">
      <c r="A951" s="100"/>
      <c r="B951" s="100"/>
      <c r="C951" s="101"/>
      <c r="D951" s="101"/>
      <c r="E951" s="100"/>
      <c r="F951" s="101"/>
      <c r="G951" s="101"/>
      <c r="H951" s="101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</row>
    <row r="952" spans="1:27" ht="15" x14ac:dyDescent="0.2">
      <c r="A952" s="100"/>
      <c r="B952" s="100"/>
      <c r="C952" s="101"/>
      <c r="D952" s="101"/>
      <c r="E952" s="100"/>
      <c r="F952" s="101"/>
      <c r="G952" s="101"/>
      <c r="H952" s="101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</row>
    <row r="953" spans="1:27" ht="15" x14ac:dyDescent="0.2">
      <c r="A953" s="100"/>
      <c r="B953" s="100"/>
      <c r="C953" s="101"/>
      <c r="D953" s="101"/>
      <c r="E953" s="100"/>
      <c r="F953" s="101"/>
      <c r="G953" s="101"/>
      <c r="H953" s="101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</row>
    <row r="954" spans="1:27" ht="15" x14ac:dyDescent="0.2">
      <c r="A954" s="100"/>
      <c r="B954" s="100"/>
      <c r="C954" s="101"/>
      <c r="D954" s="101"/>
      <c r="E954" s="100"/>
      <c r="F954" s="101"/>
      <c r="G954" s="101"/>
      <c r="H954" s="101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</row>
    <row r="955" spans="1:27" ht="15" x14ac:dyDescent="0.2">
      <c r="A955" s="100"/>
      <c r="B955" s="100"/>
      <c r="C955" s="101"/>
      <c r="D955" s="101"/>
      <c r="E955" s="100"/>
      <c r="F955" s="101"/>
      <c r="G955" s="101"/>
      <c r="H955" s="101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</row>
    <row r="956" spans="1:27" ht="15" x14ac:dyDescent="0.2">
      <c r="A956" s="100"/>
      <c r="B956" s="100"/>
      <c r="C956" s="101"/>
      <c r="D956" s="101"/>
      <c r="E956" s="100"/>
      <c r="F956" s="101"/>
      <c r="G956" s="101"/>
      <c r="H956" s="101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</row>
    <row r="957" spans="1:27" ht="15" x14ac:dyDescent="0.2">
      <c r="A957" s="100"/>
      <c r="B957" s="100"/>
      <c r="C957" s="101"/>
      <c r="D957" s="101"/>
      <c r="E957" s="100"/>
      <c r="F957" s="101"/>
      <c r="G957" s="101"/>
      <c r="H957" s="101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</row>
    <row r="958" spans="1:27" ht="15" x14ac:dyDescent="0.2">
      <c r="A958" s="100"/>
      <c r="B958" s="100"/>
      <c r="C958" s="101"/>
      <c r="D958" s="101"/>
      <c r="E958" s="100"/>
      <c r="F958" s="101"/>
      <c r="G958" s="101"/>
      <c r="H958" s="101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</row>
    <row r="959" spans="1:27" ht="15" x14ac:dyDescent="0.2">
      <c r="A959" s="100"/>
      <c r="B959" s="100"/>
      <c r="C959" s="101"/>
      <c r="D959" s="101"/>
      <c r="E959" s="100"/>
      <c r="F959" s="101"/>
      <c r="G959" s="101"/>
      <c r="H959" s="101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</row>
    <row r="960" spans="1:27" ht="15" x14ac:dyDescent="0.2">
      <c r="A960" s="100"/>
      <c r="B960" s="100"/>
      <c r="C960" s="101"/>
      <c r="D960" s="101"/>
      <c r="E960" s="100"/>
      <c r="F960" s="101"/>
      <c r="G960" s="101"/>
      <c r="H960" s="101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</row>
    <row r="961" spans="1:27" ht="15" x14ac:dyDescent="0.2">
      <c r="A961" s="100"/>
      <c r="B961" s="100"/>
      <c r="C961" s="101"/>
      <c r="D961" s="101"/>
      <c r="E961" s="100"/>
      <c r="F961" s="101"/>
      <c r="G961" s="101"/>
      <c r="H961" s="101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</row>
    <row r="962" spans="1:27" ht="15" x14ac:dyDescent="0.2">
      <c r="A962" s="100"/>
      <c r="B962" s="100"/>
      <c r="C962" s="101"/>
      <c r="D962" s="101"/>
      <c r="E962" s="100"/>
      <c r="F962" s="101"/>
      <c r="G962" s="101"/>
      <c r="H962" s="101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</row>
    <row r="963" spans="1:27" ht="15" x14ac:dyDescent="0.2">
      <c r="A963" s="100"/>
      <c r="B963" s="100"/>
      <c r="C963" s="101"/>
      <c r="D963" s="101"/>
      <c r="E963" s="100"/>
      <c r="F963" s="101"/>
      <c r="G963" s="101"/>
      <c r="H963" s="101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</row>
    <row r="964" spans="1:27" ht="15" x14ac:dyDescent="0.2">
      <c r="A964" s="100"/>
      <c r="B964" s="100"/>
      <c r="C964" s="101"/>
      <c r="D964" s="101"/>
      <c r="E964" s="100"/>
      <c r="F964" s="101"/>
      <c r="G964" s="101"/>
      <c r="H964" s="101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</row>
    <row r="965" spans="1:27" ht="15" x14ac:dyDescent="0.2">
      <c r="A965" s="100"/>
      <c r="B965" s="100"/>
      <c r="C965" s="101"/>
      <c r="D965" s="101"/>
      <c r="E965" s="100"/>
      <c r="F965" s="101"/>
      <c r="G965" s="101"/>
      <c r="H965" s="101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</row>
    <row r="966" spans="1:27" ht="15" x14ac:dyDescent="0.2">
      <c r="A966" s="100"/>
      <c r="B966" s="100"/>
      <c r="C966" s="101"/>
      <c r="D966" s="101"/>
      <c r="E966" s="100"/>
      <c r="F966" s="101"/>
      <c r="G966" s="101"/>
      <c r="H966" s="101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</row>
    <row r="967" spans="1:27" ht="15" x14ac:dyDescent="0.2">
      <c r="A967" s="100"/>
      <c r="B967" s="100"/>
      <c r="C967" s="101"/>
      <c r="D967" s="101"/>
      <c r="E967" s="100"/>
      <c r="F967" s="101"/>
      <c r="G967" s="101"/>
      <c r="H967" s="101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</row>
    <row r="968" spans="1:27" ht="15" x14ac:dyDescent="0.2">
      <c r="A968" s="100"/>
      <c r="B968" s="100"/>
      <c r="C968" s="101"/>
      <c r="D968" s="101"/>
      <c r="E968" s="100"/>
      <c r="F968" s="101"/>
      <c r="G968" s="101"/>
      <c r="H968" s="101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</row>
    <row r="969" spans="1:27" ht="15" x14ac:dyDescent="0.2">
      <c r="A969" s="100"/>
      <c r="B969" s="100"/>
      <c r="C969" s="101"/>
      <c r="D969" s="101"/>
      <c r="E969" s="100"/>
      <c r="F969" s="101"/>
      <c r="G969" s="101"/>
      <c r="H969" s="101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</row>
    <row r="970" spans="1:27" ht="15" x14ac:dyDescent="0.2">
      <c r="A970" s="100"/>
      <c r="B970" s="100"/>
      <c r="C970" s="101"/>
      <c r="D970" s="101"/>
      <c r="E970" s="100"/>
      <c r="F970" s="101"/>
      <c r="G970" s="101"/>
      <c r="H970" s="101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</row>
    <row r="971" spans="1:27" ht="15" x14ac:dyDescent="0.2">
      <c r="A971" s="100"/>
      <c r="B971" s="100"/>
      <c r="C971" s="101"/>
      <c r="D971" s="101"/>
      <c r="E971" s="100"/>
      <c r="F971" s="101"/>
      <c r="G971" s="101"/>
      <c r="H971" s="101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</row>
    <row r="972" spans="1:27" ht="15" x14ac:dyDescent="0.2">
      <c r="A972" s="100"/>
      <c r="B972" s="100"/>
      <c r="C972" s="101"/>
      <c r="D972" s="101"/>
      <c r="E972" s="100"/>
      <c r="F972" s="101"/>
      <c r="G972" s="101"/>
      <c r="H972" s="101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</row>
    <row r="973" spans="1:27" ht="15" x14ac:dyDescent="0.2">
      <c r="A973" s="100"/>
      <c r="B973" s="100"/>
      <c r="C973" s="101"/>
      <c r="D973" s="101"/>
      <c r="E973" s="100"/>
      <c r="F973" s="101"/>
      <c r="G973" s="101"/>
      <c r="H973" s="101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</row>
    <row r="974" spans="1:27" ht="15" x14ac:dyDescent="0.2">
      <c r="A974" s="100"/>
      <c r="B974" s="100"/>
      <c r="C974" s="101"/>
      <c r="D974" s="101"/>
      <c r="E974" s="100"/>
      <c r="F974" s="101"/>
      <c r="G974" s="101"/>
      <c r="H974" s="101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</row>
    <row r="975" spans="1:27" ht="15" x14ac:dyDescent="0.2">
      <c r="A975" s="100"/>
      <c r="B975" s="100"/>
      <c r="C975" s="101"/>
      <c r="D975" s="101"/>
      <c r="E975" s="100"/>
      <c r="F975" s="101"/>
      <c r="G975" s="101"/>
      <c r="H975" s="101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</row>
    <row r="976" spans="1:27" ht="15" x14ac:dyDescent="0.2">
      <c r="A976" s="100"/>
      <c r="B976" s="100"/>
      <c r="C976" s="101"/>
      <c r="D976" s="101"/>
      <c r="E976" s="100"/>
      <c r="F976" s="101"/>
      <c r="G976" s="101"/>
      <c r="H976" s="101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</row>
    <row r="977" spans="1:27" ht="15" x14ac:dyDescent="0.2">
      <c r="A977" s="100"/>
      <c r="B977" s="100"/>
      <c r="C977" s="101"/>
      <c r="D977" s="101"/>
      <c r="E977" s="100"/>
      <c r="F977" s="101"/>
      <c r="G977" s="101"/>
      <c r="H977" s="101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</row>
    <row r="978" spans="1:27" ht="15" x14ac:dyDescent="0.2">
      <c r="A978" s="100"/>
      <c r="B978" s="100"/>
      <c r="C978" s="101"/>
      <c r="D978" s="101"/>
      <c r="E978" s="100"/>
      <c r="F978" s="101"/>
      <c r="G978" s="101"/>
      <c r="H978" s="101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</row>
    <row r="979" spans="1:27" ht="15" x14ac:dyDescent="0.2">
      <c r="A979" s="100"/>
      <c r="B979" s="100"/>
      <c r="C979" s="101"/>
      <c r="D979" s="101"/>
      <c r="E979" s="100"/>
      <c r="F979" s="101"/>
      <c r="G979" s="101"/>
      <c r="H979" s="101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</row>
    <row r="980" spans="1:27" ht="15" x14ac:dyDescent="0.2">
      <c r="A980" s="100"/>
      <c r="B980" s="100"/>
      <c r="C980" s="101"/>
      <c r="D980" s="101"/>
      <c r="E980" s="100"/>
      <c r="F980" s="101"/>
      <c r="G980" s="101"/>
      <c r="H980" s="101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</row>
    <row r="981" spans="1:27" ht="15" x14ac:dyDescent="0.2">
      <c r="A981" s="100"/>
      <c r="B981" s="100"/>
      <c r="C981" s="101"/>
      <c r="D981" s="101"/>
      <c r="E981" s="100"/>
      <c r="F981" s="101"/>
      <c r="G981" s="101"/>
      <c r="H981" s="101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</row>
    <row r="982" spans="1:27" ht="15" x14ac:dyDescent="0.2">
      <c r="A982" s="100"/>
      <c r="B982" s="100"/>
      <c r="C982" s="101"/>
      <c r="D982" s="101"/>
      <c r="E982" s="100"/>
      <c r="F982" s="101"/>
      <c r="G982" s="101"/>
      <c r="H982" s="101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</row>
    <row r="983" spans="1:27" ht="15" x14ac:dyDescent="0.2">
      <c r="A983" s="100"/>
      <c r="B983" s="100"/>
      <c r="C983" s="101"/>
      <c r="D983" s="101"/>
      <c r="E983" s="100"/>
      <c r="F983" s="101"/>
      <c r="G983" s="101"/>
      <c r="H983" s="101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</row>
    <row r="984" spans="1:27" ht="15" x14ac:dyDescent="0.2">
      <c r="A984" s="100"/>
      <c r="B984" s="100"/>
      <c r="C984" s="101"/>
      <c r="D984" s="101"/>
      <c r="E984" s="100"/>
      <c r="F984" s="101"/>
      <c r="G984" s="101"/>
      <c r="H984" s="101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</row>
    <row r="985" spans="1:27" ht="15" x14ac:dyDescent="0.2">
      <c r="A985" s="100"/>
      <c r="B985" s="100"/>
      <c r="C985" s="101"/>
      <c r="D985" s="101"/>
      <c r="E985" s="100"/>
      <c r="F985" s="101"/>
      <c r="G985" s="101"/>
      <c r="H985" s="101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</row>
    <row r="986" spans="1:27" ht="15" x14ac:dyDescent="0.2">
      <c r="A986" s="100"/>
      <c r="B986" s="100"/>
      <c r="C986" s="101"/>
      <c r="D986" s="101"/>
      <c r="E986" s="100"/>
      <c r="F986" s="101"/>
      <c r="G986" s="101"/>
      <c r="H986" s="101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</row>
    <row r="987" spans="1:27" ht="15" x14ac:dyDescent="0.2">
      <c r="A987" s="100"/>
      <c r="B987" s="100"/>
      <c r="C987" s="101"/>
      <c r="D987" s="101"/>
      <c r="E987" s="100"/>
      <c r="F987" s="101"/>
      <c r="G987" s="101"/>
      <c r="H987" s="101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</row>
    <row r="988" spans="1:27" ht="15" x14ac:dyDescent="0.2">
      <c r="A988" s="100"/>
      <c r="B988" s="100"/>
      <c r="C988" s="101"/>
      <c r="D988" s="101"/>
      <c r="E988" s="100"/>
      <c r="F988" s="101"/>
      <c r="G988" s="101"/>
      <c r="H988" s="101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</row>
    <row r="989" spans="1:27" ht="15" x14ac:dyDescent="0.2">
      <c r="A989" s="100"/>
      <c r="B989" s="100"/>
      <c r="C989" s="101"/>
      <c r="D989" s="101"/>
      <c r="E989" s="100"/>
      <c r="F989" s="101"/>
      <c r="G989" s="101"/>
      <c r="H989" s="101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</row>
    <row r="990" spans="1:27" ht="15" x14ac:dyDescent="0.2">
      <c r="A990" s="100"/>
      <c r="B990" s="100"/>
      <c r="C990" s="101"/>
      <c r="D990" s="101"/>
      <c r="E990" s="100"/>
      <c r="F990" s="101"/>
      <c r="G990" s="101"/>
      <c r="H990" s="101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</row>
    <row r="991" spans="1:27" ht="15" x14ac:dyDescent="0.2">
      <c r="A991" s="100"/>
      <c r="B991" s="100"/>
      <c r="C991" s="101"/>
      <c r="D991" s="101"/>
      <c r="E991" s="100"/>
      <c r="F991" s="101"/>
      <c r="G991" s="101"/>
      <c r="H991" s="101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</row>
    <row r="992" spans="1:27" ht="15" x14ac:dyDescent="0.2">
      <c r="A992" s="100"/>
      <c r="B992" s="100"/>
      <c r="C992" s="101"/>
      <c r="D992" s="101"/>
      <c r="E992" s="100"/>
      <c r="F992" s="101"/>
      <c r="G992" s="101"/>
      <c r="H992" s="101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</row>
    <row r="993" spans="1:27" ht="15" x14ac:dyDescent="0.2">
      <c r="A993" s="100"/>
      <c r="B993" s="100"/>
      <c r="C993" s="101"/>
      <c r="D993" s="101"/>
      <c r="E993" s="100"/>
      <c r="F993" s="101"/>
      <c r="G993" s="101"/>
      <c r="H993" s="101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</row>
    <row r="994" spans="1:27" ht="15" x14ac:dyDescent="0.2">
      <c r="A994" s="100"/>
      <c r="B994" s="100"/>
      <c r="C994" s="101"/>
      <c r="D994" s="101"/>
      <c r="E994" s="100"/>
      <c r="F994" s="101"/>
      <c r="G994" s="101"/>
      <c r="H994" s="101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</row>
    <row r="995" spans="1:27" ht="15" x14ac:dyDescent="0.2">
      <c r="A995" s="100"/>
      <c r="B995" s="100"/>
      <c r="C995" s="101"/>
      <c r="D995" s="101"/>
      <c r="E995" s="100"/>
      <c r="F995" s="101"/>
      <c r="G995" s="101"/>
      <c r="H995" s="101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</row>
    <row r="996" spans="1:27" ht="15" x14ac:dyDescent="0.2">
      <c r="A996" s="100"/>
      <c r="B996" s="100"/>
      <c r="C996" s="101"/>
      <c r="D996" s="101"/>
      <c r="E996" s="100"/>
      <c r="F996" s="101"/>
      <c r="G996" s="101"/>
      <c r="H996" s="101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</row>
    <row r="997" spans="1:27" ht="15" x14ac:dyDescent="0.2">
      <c r="A997" s="100"/>
      <c r="B997" s="100"/>
      <c r="C997" s="101"/>
      <c r="D997" s="101"/>
      <c r="E997" s="100"/>
      <c r="F997" s="101"/>
      <c r="G997" s="101"/>
      <c r="H997" s="101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</row>
    <row r="998" spans="1:27" ht="15" x14ac:dyDescent="0.2">
      <c r="A998" s="100"/>
      <c r="B998" s="100"/>
      <c r="C998" s="101"/>
      <c r="D998" s="101"/>
      <c r="E998" s="100"/>
      <c r="F998" s="101"/>
      <c r="G998" s="101"/>
      <c r="H998" s="101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</row>
    <row r="999" spans="1:27" ht="15" x14ac:dyDescent="0.2">
      <c r="A999" s="100"/>
      <c r="B999" s="100"/>
      <c r="C999" s="101"/>
      <c r="D999" s="101"/>
      <c r="E999" s="100"/>
      <c r="F999" s="101"/>
      <c r="G999" s="101"/>
      <c r="H999" s="101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</row>
    <row r="1000" spans="1:27" ht="15" x14ac:dyDescent="0.2">
      <c r="A1000" s="100"/>
      <c r="B1000" s="100"/>
      <c r="C1000" s="101"/>
      <c r="D1000" s="101"/>
      <c r="E1000" s="100"/>
      <c r="F1000" s="101"/>
      <c r="G1000" s="101"/>
      <c r="H1000" s="101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</row>
    <row r="1001" spans="1:27" ht="15" x14ac:dyDescent="0.2">
      <c r="A1001" s="100"/>
      <c r="B1001" s="100"/>
      <c r="C1001" s="101"/>
      <c r="D1001" s="101"/>
      <c r="E1001" s="100"/>
      <c r="F1001" s="101"/>
      <c r="G1001" s="101"/>
      <c r="H1001" s="101"/>
      <c r="I1001" s="79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</row>
    <row r="1002" spans="1:27" ht="15" x14ac:dyDescent="0.2">
      <c r="A1002" s="100"/>
      <c r="B1002" s="100"/>
      <c r="C1002" s="101"/>
      <c r="D1002" s="101"/>
      <c r="E1002" s="100"/>
      <c r="F1002" s="101"/>
      <c r="G1002" s="101"/>
      <c r="H1002" s="101"/>
      <c r="I1002" s="79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</row>
    <row r="1003" spans="1:27" ht="15" x14ac:dyDescent="0.2">
      <c r="A1003" s="100"/>
      <c r="B1003" s="100"/>
      <c r="C1003" s="101"/>
      <c r="D1003" s="101"/>
      <c r="E1003" s="100"/>
      <c r="F1003" s="101"/>
      <c r="G1003" s="101"/>
      <c r="H1003" s="101"/>
      <c r="I1003" s="79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</row>
    <row r="1004" spans="1:27" ht="15" x14ac:dyDescent="0.2">
      <c r="A1004" s="100"/>
      <c r="B1004" s="100"/>
      <c r="C1004" s="101"/>
      <c r="D1004" s="101"/>
      <c r="E1004" s="100"/>
      <c r="F1004" s="101"/>
      <c r="G1004" s="101"/>
      <c r="H1004" s="101"/>
      <c r="I1004" s="79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</row>
    <row r="1005" spans="1:27" ht="15" x14ac:dyDescent="0.2">
      <c r="A1005" s="100"/>
      <c r="B1005" s="100"/>
      <c r="C1005" s="101"/>
      <c r="D1005" s="101"/>
      <c r="E1005" s="100"/>
      <c r="F1005" s="101"/>
      <c r="G1005" s="101"/>
      <c r="H1005" s="101"/>
      <c r="I1005" s="79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  <c r="AA1005" s="79"/>
    </row>
    <row r="1006" spans="1:27" ht="15" x14ac:dyDescent="0.2">
      <c r="A1006" s="100"/>
      <c r="B1006" s="100"/>
      <c r="C1006" s="101"/>
      <c r="D1006" s="101"/>
      <c r="E1006" s="100"/>
      <c r="F1006" s="101"/>
      <c r="G1006" s="101"/>
      <c r="H1006" s="101"/>
      <c r="I1006" s="79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</row>
    <row r="1007" spans="1:27" ht="15" x14ac:dyDescent="0.2">
      <c r="A1007" s="100"/>
      <c r="B1007" s="100"/>
      <c r="C1007" s="101"/>
      <c r="D1007" s="101"/>
      <c r="E1007" s="100"/>
      <c r="F1007" s="101"/>
      <c r="G1007" s="101"/>
      <c r="H1007" s="101"/>
      <c r="I1007" s="79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  <c r="AA1007" s="79"/>
    </row>
    <row r="1008" spans="1:27" ht="15" x14ac:dyDescent="0.2">
      <c r="A1008" s="100"/>
      <c r="B1008" s="100"/>
      <c r="C1008" s="101"/>
      <c r="D1008" s="101"/>
      <c r="E1008" s="100"/>
      <c r="F1008" s="101"/>
      <c r="G1008" s="101"/>
      <c r="H1008" s="101"/>
      <c r="I1008" s="79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  <c r="AA1008" s="79"/>
    </row>
    <row r="1009" spans="1:27" ht="15" x14ac:dyDescent="0.2">
      <c r="A1009" s="100"/>
      <c r="B1009" s="100"/>
      <c r="C1009" s="101"/>
      <c r="D1009" s="101"/>
      <c r="E1009" s="100"/>
      <c r="F1009" s="101"/>
      <c r="G1009" s="101"/>
      <c r="H1009" s="101"/>
      <c r="I1009" s="79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  <c r="AA1009" s="79"/>
    </row>
    <row r="1010" spans="1:27" ht="15" x14ac:dyDescent="0.2">
      <c r="A1010" s="100"/>
      <c r="B1010" s="100"/>
      <c r="C1010" s="101"/>
      <c r="D1010" s="101"/>
      <c r="E1010" s="100"/>
      <c r="F1010" s="101"/>
      <c r="G1010" s="101"/>
      <c r="H1010" s="101"/>
      <c r="I1010" s="79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  <c r="AA1010" s="79"/>
    </row>
    <row r="1011" spans="1:27" ht="15" x14ac:dyDescent="0.2">
      <c r="A1011" s="100"/>
      <c r="B1011" s="100"/>
      <c r="C1011" s="101"/>
      <c r="D1011" s="101"/>
      <c r="E1011" s="100"/>
      <c r="F1011" s="101"/>
      <c r="G1011" s="101"/>
      <c r="H1011" s="101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DA68-5892-DB4D-8A05-0848C476E785}">
  <sheetPr>
    <outlinePr summaryBelow="0" summaryRight="0"/>
  </sheetPr>
  <dimension ref="A1:AB1242"/>
  <sheetViews>
    <sheetView tabSelected="1" topLeftCell="C1" workbookViewId="0">
      <pane ySplit="1" topLeftCell="A325" activePane="bottomLeft" state="frozen"/>
      <selection pane="bottomLeft" activeCell="E212" sqref="E212"/>
    </sheetView>
  </sheetViews>
  <sheetFormatPr baseColWidth="10" defaultColWidth="12.6640625" defaultRowHeight="15.75" customHeight="1" x14ac:dyDescent="0.2"/>
  <cols>
    <col min="1" max="1" width="8" style="80" bestFit="1" customWidth="1"/>
    <col min="2" max="2" width="10.83203125" style="131" bestFit="1" customWidth="1"/>
    <col min="3" max="3" width="24.5" style="131" bestFit="1" customWidth="1"/>
    <col min="4" max="4" width="13.33203125" style="131" bestFit="1" customWidth="1"/>
    <col min="5" max="5" width="16.33203125" style="131" bestFit="1" customWidth="1"/>
    <col min="6" max="6" width="12.5" style="80" bestFit="1" customWidth="1"/>
    <col min="7" max="7" width="13.5" style="80" bestFit="1" customWidth="1"/>
    <col min="8" max="8" width="19.33203125" style="80" bestFit="1" customWidth="1"/>
    <col min="9" max="9" width="17.1640625" style="80" bestFit="1" customWidth="1"/>
    <col min="10" max="16384" width="12.6640625" style="80"/>
  </cols>
  <sheetData>
    <row r="1" spans="1:28" s="114" customFormat="1" ht="15.75" customHeight="1" x14ac:dyDescent="0.2">
      <c r="A1" s="109" t="s">
        <v>4</v>
      </c>
      <c r="B1" s="111" t="s">
        <v>2</v>
      </c>
      <c r="C1" s="111" t="s">
        <v>5</v>
      </c>
      <c r="D1" s="111" t="s">
        <v>6</v>
      </c>
      <c r="E1" s="111" t="s">
        <v>7</v>
      </c>
      <c r="F1" s="111" t="s">
        <v>8</v>
      </c>
      <c r="G1" s="115" t="s">
        <v>483</v>
      </c>
      <c r="H1" s="115" t="s">
        <v>490</v>
      </c>
      <c r="I1" s="112" t="s">
        <v>9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 spans="1:28" ht="15.75" customHeight="1" x14ac:dyDescent="0.2">
      <c r="A2" s="81">
        <v>1</v>
      </c>
      <c r="B2" s="82" t="str">
        <f>UPPER(LEFT(C2,2)&amp;LEFT(D2,2)&amp;LEFT(E2,3)&amp;LEFT(J2)&amp;LEFT(Cod_Gen6[[#This Row],[Cantidad unitaria]]))</f>
        <v>ATHEMS5-1</v>
      </c>
      <c r="C2" s="82" t="s">
        <v>10</v>
      </c>
      <c r="D2" s="82" t="s">
        <v>11</v>
      </c>
      <c r="E2" s="82" t="s">
        <v>12</v>
      </c>
      <c r="F2" s="82"/>
      <c r="G2" s="116" t="s">
        <v>31</v>
      </c>
      <c r="H2" s="116">
        <v>1</v>
      </c>
      <c r="I2" s="83">
        <v>2</v>
      </c>
      <c r="J2" s="84" t="s">
        <v>487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</row>
    <row r="3" spans="1:28" ht="15.75" customHeight="1" x14ac:dyDescent="0.2">
      <c r="A3" s="81">
        <v>2</v>
      </c>
      <c r="B3" s="82" t="str">
        <f>UPPER(LEFT(C3,2)&amp;LEFT(D3,2)&amp;LEFT(E3,3)&amp;LEFT(J3)&amp;LEFT(Cod_Gen6[[#This Row],[Cantidad unitaria]]))</f>
        <v>ATHEMS5-2</v>
      </c>
      <c r="C3" s="82" t="s">
        <v>10</v>
      </c>
      <c r="D3" s="82" t="s">
        <v>11</v>
      </c>
      <c r="E3" s="82" t="s">
        <v>12</v>
      </c>
      <c r="F3" s="82"/>
      <c r="G3" s="116" t="s">
        <v>31</v>
      </c>
      <c r="H3" s="106">
        <v>2</v>
      </c>
      <c r="I3" s="107"/>
      <c r="J3" s="84" t="s">
        <v>487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</row>
    <row r="4" spans="1:28" ht="15.75" customHeight="1" x14ac:dyDescent="0.2">
      <c r="A4" s="81">
        <v>3</v>
      </c>
      <c r="B4" s="82" t="str">
        <f>UPPER(LEFT(C4,2)&amp;LEFT(D4,2)&amp;LEFT(E4,3)&amp;LEFT(J4)&amp;LEFT(Cod_Gen6[[#This Row],[Cantidad unitaria]]))</f>
        <v>ATHESS2-1</v>
      </c>
      <c r="C4" s="86" t="s">
        <v>13</v>
      </c>
      <c r="D4" s="86" t="s">
        <v>11</v>
      </c>
      <c r="E4" s="86" t="s">
        <v>14</v>
      </c>
      <c r="F4" s="86"/>
      <c r="G4" s="117" t="s">
        <v>31</v>
      </c>
      <c r="H4" s="117">
        <v>1</v>
      </c>
      <c r="I4" s="87">
        <v>8</v>
      </c>
      <c r="J4" s="84" t="s">
        <v>487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 spans="1:28" ht="15.75" customHeight="1" x14ac:dyDescent="0.2">
      <c r="A5" s="81">
        <v>4</v>
      </c>
      <c r="B5" s="82" t="str">
        <f>UPPER(LEFT(C5,2)&amp;LEFT(D5,2)&amp;LEFT(E5,3)&amp;LEFT(J5)&amp;LEFT(Cod_Gen6[[#This Row],[Cantidad unitaria]]))</f>
        <v>ATHESS2-2</v>
      </c>
      <c r="C5" s="86" t="s">
        <v>13</v>
      </c>
      <c r="D5" s="86" t="s">
        <v>11</v>
      </c>
      <c r="E5" s="86" t="s">
        <v>14</v>
      </c>
      <c r="F5" s="86"/>
      <c r="G5" s="117" t="s">
        <v>31</v>
      </c>
      <c r="H5" s="122">
        <v>2</v>
      </c>
      <c r="I5" s="107"/>
      <c r="J5" s="84" t="s">
        <v>487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spans="1:28" ht="15.75" customHeight="1" x14ac:dyDescent="0.2">
      <c r="A6" s="81">
        <v>5</v>
      </c>
      <c r="B6" s="82" t="str">
        <f>UPPER(LEFT(C6,2)&amp;LEFT(D6,2)&amp;LEFT(E6,3)&amp;LEFT(J6)&amp;LEFT(Cod_Gen6[[#This Row],[Cantidad unitaria]]))</f>
        <v>ATHESS2-3</v>
      </c>
      <c r="C6" s="86" t="s">
        <v>13</v>
      </c>
      <c r="D6" s="86" t="s">
        <v>11</v>
      </c>
      <c r="E6" s="86" t="s">
        <v>14</v>
      </c>
      <c r="F6" s="86"/>
      <c r="G6" s="117" t="s">
        <v>31</v>
      </c>
      <c r="H6" s="122">
        <v>3</v>
      </c>
      <c r="I6" s="107"/>
      <c r="J6" s="84" t="s">
        <v>487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</row>
    <row r="7" spans="1:28" ht="15.75" customHeight="1" x14ac:dyDescent="0.2">
      <c r="A7" s="81">
        <v>6</v>
      </c>
      <c r="B7" s="82" t="str">
        <f>UPPER(LEFT(C7,2)&amp;LEFT(D7,2)&amp;LEFT(E7,3)&amp;LEFT(J7)&amp;LEFT(Cod_Gen6[[#This Row],[Cantidad unitaria]]))</f>
        <v>ATHESS2-4</v>
      </c>
      <c r="C7" s="86" t="s">
        <v>13</v>
      </c>
      <c r="D7" s="86" t="s">
        <v>11</v>
      </c>
      <c r="E7" s="86" t="s">
        <v>14</v>
      </c>
      <c r="F7" s="86"/>
      <c r="G7" s="117" t="s">
        <v>31</v>
      </c>
      <c r="H7" s="122">
        <v>4</v>
      </c>
      <c r="I7" s="107"/>
      <c r="J7" s="84" t="s">
        <v>487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</row>
    <row r="8" spans="1:28" ht="15.75" customHeight="1" x14ac:dyDescent="0.2">
      <c r="A8" s="81">
        <v>7</v>
      </c>
      <c r="B8" s="82" t="str">
        <f>UPPER(LEFT(C8,2)&amp;LEFT(D8,2)&amp;LEFT(E8,3)&amp;LEFT(J8)&amp;LEFT(Cod_Gen6[[#This Row],[Cantidad unitaria]]))</f>
        <v>ATHESS2-5</v>
      </c>
      <c r="C8" s="86" t="s">
        <v>13</v>
      </c>
      <c r="D8" s="86" t="s">
        <v>11</v>
      </c>
      <c r="E8" s="86" t="s">
        <v>14</v>
      </c>
      <c r="F8" s="86"/>
      <c r="G8" s="117" t="s">
        <v>31</v>
      </c>
      <c r="H8" s="122">
        <v>5</v>
      </c>
      <c r="I8" s="107"/>
      <c r="J8" s="84" t="s">
        <v>487</v>
      </c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</row>
    <row r="9" spans="1:28" ht="15.75" customHeight="1" x14ac:dyDescent="0.2">
      <c r="A9" s="81">
        <v>8</v>
      </c>
      <c r="B9" s="82" t="str">
        <f>UPPER(LEFT(C9,2)&amp;LEFT(D9,2)&amp;LEFT(E9,3)&amp;LEFT(J9)&amp;LEFT(Cod_Gen6[[#This Row],[Cantidad unitaria]]))</f>
        <v>ATHESS2-6</v>
      </c>
      <c r="C9" s="86" t="s">
        <v>13</v>
      </c>
      <c r="D9" s="86" t="s">
        <v>11</v>
      </c>
      <c r="E9" s="86" t="s">
        <v>14</v>
      </c>
      <c r="F9" s="86"/>
      <c r="G9" s="117" t="s">
        <v>31</v>
      </c>
      <c r="H9" s="122">
        <v>6</v>
      </c>
      <c r="I9" s="107"/>
      <c r="J9" s="84" t="s">
        <v>487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</row>
    <row r="10" spans="1:28" ht="15.75" customHeight="1" x14ac:dyDescent="0.2">
      <c r="A10" s="81">
        <v>9</v>
      </c>
      <c r="B10" s="82" t="str">
        <f>UPPER(LEFT(C10,2)&amp;LEFT(D10,2)&amp;LEFT(E10,3)&amp;LEFT(J10)&amp;LEFT(Cod_Gen6[[#This Row],[Cantidad unitaria]]))</f>
        <v>ATHESS2-7</v>
      </c>
      <c r="C10" s="86" t="s">
        <v>13</v>
      </c>
      <c r="D10" s="86" t="s">
        <v>11</v>
      </c>
      <c r="E10" s="86" t="s">
        <v>14</v>
      </c>
      <c r="F10" s="86"/>
      <c r="G10" s="117" t="s">
        <v>31</v>
      </c>
      <c r="H10" s="122">
        <v>7</v>
      </c>
      <c r="I10" s="107"/>
      <c r="J10" s="84" t="s">
        <v>487</v>
      </c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</row>
    <row r="11" spans="1:28" ht="15.75" customHeight="1" x14ac:dyDescent="0.2">
      <c r="A11" s="81">
        <v>10</v>
      </c>
      <c r="B11" s="82" t="str">
        <f>UPPER(LEFT(C11,2)&amp;LEFT(D11,2)&amp;LEFT(E11,3)&amp;LEFT(J11)&amp;LEFT(Cod_Gen6[[#This Row],[Cantidad unitaria]]))</f>
        <v>ATHESS2-8</v>
      </c>
      <c r="C11" s="86" t="s">
        <v>13</v>
      </c>
      <c r="D11" s="86" t="s">
        <v>11</v>
      </c>
      <c r="E11" s="86" t="s">
        <v>14</v>
      </c>
      <c r="F11" s="86"/>
      <c r="G11" s="117" t="s">
        <v>31</v>
      </c>
      <c r="H11" s="122">
        <v>8</v>
      </c>
      <c r="I11" s="107"/>
      <c r="J11" s="84" t="s">
        <v>487</v>
      </c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</row>
    <row r="12" spans="1:28" ht="15.75" customHeight="1" x14ac:dyDescent="0.2">
      <c r="A12" s="81">
        <v>11</v>
      </c>
      <c r="B12" s="82" t="str">
        <f>UPPER(LEFT(C12,2)&amp;LEFT(D12,2)&amp;LEFT(E12,3)&amp;LEFT(J12)&amp;LEFT(Cod_Gen6[[#This Row],[Cantidad unitaria]]))</f>
        <v>ATK&amp;254-1</v>
      </c>
      <c r="C12" s="82" t="s">
        <v>10</v>
      </c>
      <c r="D12" s="82" t="s">
        <v>15</v>
      </c>
      <c r="E12" s="82">
        <v>25400</v>
      </c>
      <c r="F12" s="82"/>
      <c r="G12" s="117" t="s">
        <v>31</v>
      </c>
      <c r="H12" s="106">
        <v>1</v>
      </c>
      <c r="I12" s="83">
        <v>10</v>
      </c>
      <c r="J12" s="84" t="s">
        <v>487</v>
      </c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</row>
    <row r="13" spans="1:28" ht="15.75" customHeight="1" x14ac:dyDescent="0.2">
      <c r="A13" s="81">
        <v>12</v>
      </c>
      <c r="B13" s="82" t="str">
        <f>UPPER(LEFT(C13,2)&amp;LEFT(D13,2)&amp;LEFT(E13,3)&amp;LEFT(J13)&amp;LEFT(Cod_Gen6[[#This Row],[Cantidad unitaria]]))</f>
        <v>ATK&amp;254-2</v>
      </c>
      <c r="C13" s="82" t="s">
        <v>10</v>
      </c>
      <c r="D13" s="82" t="s">
        <v>15</v>
      </c>
      <c r="E13" s="82">
        <v>25400</v>
      </c>
      <c r="F13" s="82"/>
      <c r="G13" s="117" t="s">
        <v>31</v>
      </c>
      <c r="H13" s="122">
        <v>2</v>
      </c>
      <c r="I13" s="107"/>
      <c r="J13" s="84" t="s">
        <v>487</v>
      </c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</row>
    <row r="14" spans="1:28" ht="15.75" customHeight="1" x14ac:dyDescent="0.2">
      <c r="A14" s="81">
        <v>13</v>
      </c>
      <c r="B14" s="82" t="str">
        <f>UPPER(LEFT(C14,2)&amp;LEFT(D14,2)&amp;LEFT(E14,3)&amp;LEFT(J14)&amp;LEFT(Cod_Gen6[[#This Row],[Cantidad unitaria]]))</f>
        <v>ATK&amp;254-3</v>
      </c>
      <c r="C14" s="82" t="s">
        <v>10</v>
      </c>
      <c r="D14" s="82" t="s">
        <v>15</v>
      </c>
      <c r="E14" s="82">
        <v>25400</v>
      </c>
      <c r="F14" s="82"/>
      <c r="G14" s="117" t="s">
        <v>31</v>
      </c>
      <c r="H14" s="122">
        <v>3</v>
      </c>
      <c r="I14" s="107"/>
      <c r="J14" s="84" t="s">
        <v>487</v>
      </c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</row>
    <row r="15" spans="1:28" ht="15.75" customHeight="1" x14ac:dyDescent="0.2">
      <c r="A15" s="81">
        <v>14</v>
      </c>
      <c r="B15" s="82" t="str">
        <f>UPPER(LEFT(C15,2)&amp;LEFT(D15,2)&amp;LEFT(E15,3)&amp;LEFT(J15)&amp;LEFT(Cod_Gen6[[#This Row],[Cantidad unitaria]]))</f>
        <v>ATK&amp;254-4</v>
      </c>
      <c r="C15" s="82" t="s">
        <v>10</v>
      </c>
      <c r="D15" s="82" t="s">
        <v>15</v>
      </c>
      <c r="E15" s="82">
        <v>25400</v>
      </c>
      <c r="F15" s="82"/>
      <c r="G15" s="117" t="s">
        <v>31</v>
      </c>
      <c r="H15" s="122">
        <v>4</v>
      </c>
      <c r="I15" s="107"/>
      <c r="J15" s="84" t="s">
        <v>487</v>
      </c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</row>
    <row r="16" spans="1:28" ht="15.75" customHeight="1" x14ac:dyDescent="0.2">
      <c r="A16" s="81">
        <v>15</v>
      </c>
      <c r="B16" s="82" t="str">
        <f>UPPER(LEFT(C16,2)&amp;LEFT(D16,2)&amp;LEFT(E16,3)&amp;LEFT(J16)&amp;LEFT(Cod_Gen6[[#This Row],[Cantidad unitaria]]))</f>
        <v>ATK&amp;254-5</v>
      </c>
      <c r="C16" s="82" t="s">
        <v>10</v>
      </c>
      <c r="D16" s="82" t="s">
        <v>15</v>
      </c>
      <c r="E16" s="82">
        <v>25400</v>
      </c>
      <c r="F16" s="82"/>
      <c r="G16" s="117" t="s">
        <v>31</v>
      </c>
      <c r="H16" s="122">
        <v>5</v>
      </c>
      <c r="I16" s="107"/>
      <c r="J16" s="84" t="s">
        <v>487</v>
      </c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</row>
    <row r="17" spans="1:28" ht="15.75" customHeight="1" x14ac:dyDescent="0.2">
      <c r="A17" s="81">
        <v>16</v>
      </c>
      <c r="B17" s="82" t="str">
        <f>UPPER(LEFT(C17,2)&amp;LEFT(D17,2)&amp;LEFT(E17,3)&amp;LEFT(J17)&amp;LEFT(Cod_Gen6[[#This Row],[Cantidad unitaria]]))</f>
        <v>ATK&amp;254-6</v>
      </c>
      <c r="C17" s="82" t="s">
        <v>10</v>
      </c>
      <c r="D17" s="82" t="s">
        <v>15</v>
      </c>
      <c r="E17" s="82">
        <v>25400</v>
      </c>
      <c r="F17" s="82"/>
      <c r="G17" s="117" t="s">
        <v>31</v>
      </c>
      <c r="H17" s="122">
        <v>6</v>
      </c>
      <c r="I17" s="107"/>
      <c r="J17" s="84" t="s">
        <v>487</v>
      </c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</row>
    <row r="18" spans="1:28" ht="15.75" customHeight="1" x14ac:dyDescent="0.2">
      <c r="A18" s="81">
        <v>17</v>
      </c>
      <c r="B18" s="82" t="str">
        <f>UPPER(LEFT(C18,2)&amp;LEFT(D18,2)&amp;LEFT(E18,3)&amp;LEFT(J18)&amp;LEFT(Cod_Gen6[[#This Row],[Cantidad unitaria]]))</f>
        <v>ATK&amp;254-7</v>
      </c>
      <c r="C18" s="82" t="s">
        <v>10</v>
      </c>
      <c r="D18" s="82" t="s">
        <v>15</v>
      </c>
      <c r="E18" s="82">
        <v>25400</v>
      </c>
      <c r="F18" s="82"/>
      <c r="G18" s="117" t="s">
        <v>31</v>
      </c>
      <c r="H18" s="122">
        <v>7</v>
      </c>
      <c r="I18" s="107"/>
      <c r="J18" s="84" t="s">
        <v>487</v>
      </c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</row>
    <row r="19" spans="1:28" ht="15.75" customHeight="1" x14ac:dyDescent="0.2">
      <c r="A19" s="81">
        <v>18</v>
      </c>
      <c r="B19" s="82" t="str">
        <f>UPPER(LEFT(C19,2)&amp;LEFT(D19,2)&amp;LEFT(E19,3)&amp;LEFT(J19)&amp;LEFT(Cod_Gen6[[#This Row],[Cantidad unitaria]]))</f>
        <v>ATK&amp;254-8</v>
      </c>
      <c r="C19" s="82" t="s">
        <v>10</v>
      </c>
      <c r="D19" s="82" t="s">
        <v>15</v>
      </c>
      <c r="E19" s="82">
        <v>25400</v>
      </c>
      <c r="F19" s="82"/>
      <c r="G19" s="117" t="s">
        <v>31</v>
      </c>
      <c r="H19" s="122">
        <v>8</v>
      </c>
      <c r="I19" s="107"/>
      <c r="J19" s="84" t="s">
        <v>487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</row>
    <row r="20" spans="1:28" ht="15.75" customHeight="1" x14ac:dyDescent="0.2">
      <c r="A20" s="81">
        <v>19</v>
      </c>
      <c r="B20" s="82" t="str">
        <f>UPPER(LEFT(C20,2)&amp;LEFT(D20,2)&amp;LEFT(E20,3)&amp;LEFT(J20)&amp;LEFT(Cod_Gen6[[#This Row],[Cantidad unitaria]]))</f>
        <v>ATK&amp;254-9</v>
      </c>
      <c r="C20" s="82" t="s">
        <v>10</v>
      </c>
      <c r="D20" s="82" t="s">
        <v>15</v>
      </c>
      <c r="E20" s="82">
        <v>25400</v>
      </c>
      <c r="F20" s="82"/>
      <c r="G20" s="117" t="s">
        <v>31</v>
      </c>
      <c r="H20" s="122">
        <v>9</v>
      </c>
      <c r="I20" s="107"/>
      <c r="J20" s="84" t="s">
        <v>487</v>
      </c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</row>
    <row r="21" spans="1:28" ht="15.75" customHeight="1" x14ac:dyDescent="0.2">
      <c r="A21" s="81">
        <v>20</v>
      </c>
      <c r="B21" s="82" t="str">
        <f>UPPER(LEFT(C21,2)&amp;LEFT(D21,2)&amp;LEFT(E21,3)&amp;LEFT(J21)&amp;LEFT(Cod_Gen6[[#This Row],[Cantidad unitaria]],2))</f>
        <v>ATK&amp;254-10</v>
      </c>
      <c r="C21" s="82" t="s">
        <v>10</v>
      </c>
      <c r="D21" s="82" t="s">
        <v>15</v>
      </c>
      <c r="E21" s="82">
        <v>25400</v>
      </c>
      <c r="F21" s="82"/>
      <c r="G21" s="117" t="s">
        <v>31</v>
      </c>
      <c r="H21" s="122">
        <v>10</v>
      </c>
      <c r="I21" s="107"/>
      <c r="J21" s="84" t="s">
        <v>487</v>
      </c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</row>
    <row r="22" spans="1:28" ht="15.75" customHeight="1" x14ac:dyDescent="0.2">
      <c r="A22" s="81">
        <v>21</v>
      </c>
      <c r="B22" s="82" t="str">
        <f>UPPER(LEFT(C22,2)&amp;LEFT(D22,2)&amp;LEFT(E22,3)&amp;LEFT(J22)&amp;LEFT(Cod_Gen6[[#This Row],[Cantidad unitaria]],2))</f>
        <v>BAGATIP-1</v>
      </c>
      <c r="C22" s="86" t="s">
        <v>16</v>
      </c>
      <c r="D22" s="86" t="s">
        <v>17</v>
      </c>
      <c r="E22" s="86" t="s">
        <v>18</v>
      </c>
      <c r="F22" s="86"/>
      <c r="G22" s="116" t="s">
        <v>445</v>
      </c>
      <c r="H22" s="106">
        <v>1</v>
      </c>
      <c r="I22" s="87">
        <v>2</v>
      </c>
      <c r="J22" s="84" t="s">
        <v>487</v>
      </c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</row>
    <row r="23" spans="1:28" ht="15.75" customHeight="1" x14ac:dyDescent="0.2">
      <c r="A23" s="81">
        <v>22</v>
      </c>
      <c r="B23" s="82" t="str">
        <f>UPPER(LEFT(C23,2)&amp;LEFT(D23,2)&amp;LEFT(E23,3)&amp;LEFT(J23)&amp;LEFT(Cod_Gen6[[#This Row],[Cantidad unitaria]],2))</f>
        <v>BAGATIP-2</v>
      </c>
      <c r="C23" s="86" t="s">
        <v>16</v>
      </c>
      <c r="D23" s="86" t="s">
        <v>17</v>
      </c>
      <c r="E23" s="86" t="s">
        <v>18</v>
      </c>
      <c r="F23" s="86"/>
      <c r="G23" s="116" t="s">
        <v>445</v>
      </c>
      <c r="H23" s="122">
        <v>2</v>
      </c>
      <c r="I23" s="107"/>
      <c r="J23" s="84" t="s">
        <v>487</v>
      </c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</row>
    <row r="24" spans="1:28" ht="15.75" customHeight="1" x14ac:dyDescent="0.2">
      <c r="A24" s="81">
        <v>23</v>
      </c>
      <c r="B24" s="82" t="str">
        <f>UPPER(LEFT(C24,2)&amp;LEFT(D24,2)&amp;LEFT(E24,3)&amp;LEFT(J24)&amp;LEFT(Cod_Gen6[[#This Row],[Cantidad unitaria]],2))</f>
        <v>BAGEN/A-1</v>
      </c>
      <c r="C24" s="82" t="s">
        <v>19</v>
      </c>
      <c r="D24" s="82" t="s">
        <v>20</v>
      </c>
      <c r="E24" s="82" t="s">
        <v>462</v>
      </c>
      <c r="F24" s="82"/>
      <c r="G24" s="116" t="s">
        <v>445</v>
      </c>
      <c r="H24" s="116">
        <v>1</v>
      </c>
      <c r="I24" s="83">
        <v>6</v>
      </c>
      <c r="J24" s="84" t="s">
        <v>487</v>
      </c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 spans="1:28" ht="15.75" customHeight="1" x14ac:dyDescent="0.2">
      <c r="A25" s="81">
        <v>24</v>
      </c>
      <c r="B25" s="82" t="str">
        <f>UPPER(LEFT(C25,2)&amp;LEFT(D25,2)&amp;LEFT(E25,3)&amp;LEFT(J25)&amp;LEFT(Cod_Gen6[[#This Row],[Cantidad unitaria]],2))</f>
        <v>BAGEN/A-2</v>
      </c>
      <c r="C25" s="82" t="s">
        <v>19</v>
      </c>
      <c r="D25" s="82" t="s">
        <v>20</v>
      </c>
      <c r="E25" s="82" t="s">
        <v>462</v>
      </c>
      <c r="F25" s="82"/>
      <c r="G25" s="116" t="s">
        <v>445</v>
      </c>
      <c r="H25" s="122">
        <v>2</v>
      </c>
      <c r="I25" s="107"/>
      <c r="J25" s="84" t="s">
        <v>487</v>
      </c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</row>
    <row r="26" spans="1:28" ht="15.75" customHeight="1" x14ac:dyDescent="0.2">
      <c r="A26" s="81">
        <v>25</v>
      </c>
      <c r="B26" s="82" t="str">
        <f>UPPER(LEFT(C26,2)&amp;LEFT(D26,2)&amp;LEFT(E26,3)&amp;LEFT(J26)&amp;LEFT(Cod_Gen6[[#This Row],[Cantidad unitaria]],2))</f>
        <v>BAGEN/A-3</v>
      </c>
      <c r="C26" s="82" t="s">
        <v>19</v>
      </c>
      <c r="D26" s="82" t="s">
        <v>20</v>
      </c>
      <c r="E26" s="82" t="s">
        <v>462</v>
      </c>
      <c r="F26" s="82"/>
      <c r="G26" s="116" t="s">
        <v>445</v>
      </c>
      <c r="H26" s="122">
        <v>3</v>
      </c>
      <c r="I26" s="107"/>
      <c r="J26" s="84" t="s">
        <v>487</v>
      </c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</row>
    <row r="27" spans="1:28" ht="15.75" customHeight="1" x14ac:dyDescent="0.2">
      <c r="A27" s="81">
        <v>26</v>
      </c>
      <c r="B27" s="82" t="str">
        <f>UPPER(LEFT(C27,2)&amp;LEFT(D27,2)&amp;LEFT(E27,3)&amp;LEFT(J27)&amp;LEFT(Cod_Gen6[[#This Row],[Cantidad unitaria]],2))</f>
        <v>BAGEN/A-4</v>
      </c>
      <c r="C27" s="82" t="s">
        <v>19</v>
      </c>
      <c r="D27" s="82" t="s">
        <v>20</v>
      </c>
      <c r="E27" s="82" t="s">
        <v>462</v>
      </c>
      <c r="F27" s="82"/>
      <c r="G27" s="116" t="s">
        <v>445</v>
      </c>
      <c r="H27" s="122">
        <v>4</v>
      </c>
      <c r="I27" s="107"/>
      <c r="J27" s="84" t="s">
        <v>487</v>
      </c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</row>
    <row r="28" spans="1:28" ht="15.75" customHeight="1" x14ac:dyDescent="0.2">
      <c r="A28" s="81">
        <v>27</v>
      </c>
      <c r="B28" s="82" t="str">
        <f>UPPER(LEFT(C28,2)&amp;LEFT(D28,2)&amp;LEFT(E28,3)&amp;LEFT(J28)&amp;LEFT(Cod_Gen6[[#This Row],[Cantidad unitaria]],2))</f>
        <v>BAGEN/A-5</v>
      </c>
      <c r="C28" s="82" t="s">
        <v>19</v>
      </c>
      <c r="D28" s="82" t="s">
        <v>20</v>
      </c>
      <c r="E28" s="82" t="s">
        <v>462</v>
      </c>
      <c r="F28" s="82"/>
      <c r="G28" s="116" t="s">
        <v>445</v>
      </c>
      <c r="H28" s="122">
        <v>5</v>
      </c>
      <c r="I28" s="107"/>
      <c r="J28" s="84" t="s">
        <v>487</v>
      </c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</row>
    <row r="29" spans="1:28" ht="15.75" customHeight="1" x14ac:dyDescent="0.2">
      <c r="A29" s="81">
        <v>28</v>
      </c>
      <c r="B29" s="82" t="str">
        <f>UPPER(LEFT(C29,2)&amp;LEFT(D29,2)&amp;LEFT(E29,3)&amp;LEFT(J29)&amp;LEFT(Cod_Gen6[[#This Row],[Cantidad unitaria]],2))</f>
        <v>BAGEN/A-6</v>
      </c>
      <c r="C29" s="82" t="s">
        <v>19</v>
      </c>
      <c r="D29" s="82" t="s">
        <v>20</v>
      </c>
      <c r="E29" s="82" t="s">
        <v>462</v>
      </c>
      <c r="F29" s="82"/>
      <c r="G29" s="116" t="s">
        <v>445</v>
      </c>
      <c r="H29" s="122">
        <v>6</v>
      </c>
      <c r="I29" s="107"/>
      <c r="J29" s="84" t="s">
        <v>487</v>
      </c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</row>
    <row r="30" spans="1:28" ht="15.75" customHeight="1" x14ac:dyDescent="0.2">
      <c r="A30" s="81">
        <v>29</v>
      </c>
      <c r="B30" s="82" t="str">
        <f>UPPER(LEFT(C30,2)&amp;LEFT(D30,2)&amp;LEFT(E30,3)&amp;LEFT(J30)&amp;LEFT(Cod_Gen6[[#This Row],[Cantidad unitaria]],2))</f>
        <v>BAGEN/A-1</v>
      </c>
      <c r="C30" s="86" t="s">
        <v>16</v>
      </c>
      <c r="D30" s="86" t="s">
        <v>20</v>
      </c>
      <c r="E30" s="86" t="s">
        <v>462</v>
      </c>
      <c r="F30" s="86"/>
      <c r="G30" s="116" t="s">
        <v>445</v>
      </c>
      <c r="H30" s="106">
        <v>1</v>
      </c>
      <c r="I30" s="87">
        <v>4</v>
      </c>
      <c r="J30" s="84" t="s">
        <v>487</v>
      </c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</row>
    <row r="31" spans="1:28" ht="15.75" customHeight="1" x14ac:dyDescent="0.2">
      <c r="A31" s="81">
        <v>30</v>
      </c>
      <c r="B31" s="82" t="str">
        <f>UPPER(LEFT(C31,2)&amp;LEFT(D31,2)&amp;LEFT(E31,3)&amp;LEFT(J31)&amp;LEFT(Cod_Gen6[[#This Row],[Cantidad unitaria]],2))</f>
        <v>BAGEN/A-2</v>
      </c>
      <c r="C31" s="86" t="s">
        <v>16</v>
      </c>
      <c r="D31" s="86" t="s">
        <v>20</v>
      </c>
      <c r="E31" s="86" t="s">
        <v>462</v>
      </c>
      <c r="F31" s="86"/>
      <c r="G31" s="116" t="s">
        <v>445</v>
      </c>
      <c r="H31" s="122">
        <v>2</v>
      </c>
      <c r="I31" s="107"/>
      <c r="J31" s="84" t="s">
        <v>487</v>
      </c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</row>
    <row r="32" spans="1:28" ht="15.75" customHeight="1" x14ac:dyDescent="0.2">
      <c r="A32" s="81">
        <v>31</v>
      </c>
      <c r="B32" s="82" t="str">
        <f>UPPER(LEFT(C32,2)&amp;LEFT(D32,2)&amp;LEFT(E32,3)&amp;LEFT(J32)&amp;LEFT(Cod_Gen6[[#This Row],[Cantidad unitaria]],2))</f>
        <v>BAGEN/A-3</v>
      </c>
      <c r="C32" s="86" t="s">
        <v>16</v>
      </c>
      <c r="D32" s="86" t="s">
        <v>20</v>
      </c>
      <c r="E32" s="86" t="s">
        <v>462</v>
      </c>
      <c r="F32" s="86"/>
      <c r="G32" s="116" t="s">
        <v>445</v>
      </c>
      <c r="H32" s="122">
        <v>3</v>
      </c>
      <c r="I32" s="107"/>
      <c r="J32" s="84" t="s">
        <v>487</v>
      </c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</row>
    <row r="33" spans="1:28" ht="15.75" customHeight="1" x14ac:dyDescent="0.2">
      <c r="A33" s="81">
        <v>32</v>
      </c>
      <c r="B33" s="82" t="str">
        <f>UPPER(LEFT(C33,2)&amp;LEFT(D33,2)&amp;LEFT(E33,3)&amp;LEFT(J33)&amp;LEFT(Cod_Gen6[[#This Row],[Cantidad unitaria]],2))</f>
        <v>BAGEN/A-4</v>
      </c>
      <c r="C33" s="86" t="s">
        <v>16</v>
      </c>
      <c r="D33" s="86" t="s">
        <v>20</v>
      </c>
      <c r="E33" s="86" t="s">
        <v>462</v>
      </c>
      <c r="F33" s="86"/>
      <c r="G33" s="116" t="s">
        <v>445</v>
      </c>
      <c r="H33" s="122">
        <v>4</v>
      </c>
      <c r="I33" s="107"/>
      <c r="J33" s="84" t="s">
        <v>487</v>
      </c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</row>
    <row r="34" spans="1:28" ht="15.75" customHeight="1" x14ac:dyDescent="0.2">
      <c r="A34" s="81">
        <v>33</v>
      </c>
      <c r="B34" s="82" t="str">
        <f>UPPER(LEFT(C34,2)&amp;LEFT(D34,2)&amp;LEFT(E34,3)&amp;LEFT(J34)&amp;LEFT(Cod_Gen6[[#This Row],[Cantidad unitaria]],2))</f>
        <v>BASA720-1</v>
      </c>
      <c r="C34" s="82" t="s">
        <v>22</v>
      </c>
      <c r="D34" s="82" t="s">
        <v>23</v>
      </c>
      <c r="E34" s="82">
        <v>720</v>
      </c>
      <c r="F34" s="82"/>
      <c r="G34" s="116" t="s">
        <v>444</v>
      </c>
      <c r="H34" s="116">
        <v>1</v>
      </c>
      <c r="I34" s="83">
        <v>8</v>
      </c>
      <c r="J34" s="84" t="s">
        <v>487</v>
      </c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</row>
    <row r="35" spans="1:28" ht="15.75" customHeight="1" x14ac:dyDescent="0.2">
      <c r="A35" s="81">
        <v>34</v>
      </c>
      <c r="B35" s="82" t="str">
        <f>UPPER(LEFT(C35,2)&amp;LEFT(D35,2)&amp;LEFT(E35,3)&amp;LEFT(J35)&amp;LEFT(Cod_Gen6[[#This Row],[Cantidad unitaria]],2))</f>
        <v>BASA720-2</v>
      </c>
      <c r="C35" s="82" t="s">
        <v>22</v>
      </c>
      <c r="D35" s="82" t="s">
        <v>23</v>
      </c>
      <c r="E35" s="82">
        <v>720</v>
      </c>
      <c r="F35" s="82"/>
      <c r="G35" s="116" t="s">
        <v>444</v>
      </c>
      <c r="H35" s="122">
        <v>2</v>
      </c>
      <c r="I35" s="107"/>
      <c r="J35" s="84" t="s">
        <v>487</v>
      </c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</row>
    <row r="36" spans="1:28" ht="15.75" customHeight="1" x14ac:dyDescent="0.2">
      <c r="A36" s="81">
        <v>35</v>
      </c>
      <c r="B36" s="82" t="str">
        <f>UPPER(LEFT(C36,2)&amp;LEFT(D36,2)&amp;LEFT(E36,3)&amp;LEFT(J36)&amp;LEFT(Cod_Gen6[[#This Row],[Cantidad unitaria]],2))</f>
        <v>BASA720-3</v>
      </c>
      <c r="C36" s="82" t="s">
        <v>22</v>
      </c>
      <c r="D36" s="82" t="s">
        <v>23</v>
      </c>
      <c r="E36" s="82">
        <v>720</v>
      </c>
      <c r="F36" s="82"/>
      <c r="G36" s="116" t="s">
        <v>444</v>
      </c>
      <c r="H36" s="122">
        <v>3</v>
      </c>
      <c r="I36" s="107"/>
      <c r="J36" s="84" t="s">
        <v>487</v>
      </c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</row>
    <row r="37" spans="1:28" ht="15.75" customHeight="1" x14ac:dyDescent="0.2">
      <c r="A37" s="81">
        <v>36</v>
      </c>
      <c r="B37" s="82" t="str">
        <f>UPPER(LEFT(C37,2)&amp;LEFT(D37,2)&amp;LEFT(E37,3)&amp;LEFT(J37)&amp;LEFT(Cod_Gen6[[#This Row],[Cantidad unitaria]],2))</f>
        <v>BASA720-4</v>
      </c>
      <c r="C37" s="82" t="s">
        <v>22</v>
      </c>
      <c r="D37" s="82" t="s">
        <v>23</v>
      </c>
      <c r="E37" s="82">
        <v>720</v>
      </c>
      <c r="F37" s="82"/>
      <c r="G37" s="116" t="s">
        <v>444</v>
      </c>
      <c r="H37" s="122">
        <v>4</v>
      </c>
      <c r="I37" s="107"/>
      <c r="J37" s="84" t="s">
        <v>487</v>
      </c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</row>
    <row r="38" spans="1:28" ht="15.75" customHeight="1" x14ac:dyDescent="0.2">
      <c r="A38" s="81">
        <v>37</v>
      </c>
      <c r="B38" s="82" t="str">
        <f>UPPER(LEFT(C38,2)&amp;LEFT(D38,2)&amp;LEFT(E38,3)&amp;LEFT(J38)&amp;LEFT(Cod_Gen6[[#This Row],[Cantidad unitaria]],2))</f>
        <v>BASA720-5</v>
      </c>
      <c r="C38" s="82" t="s">
        <v>22</v>
      </c>
      <c r="D38" s="82" t="s">
        <v>23</v>
      </c>
      <c r="E38" s="82">
        <v>720</v>
      </c>
      <c r="F38" s="82"/>
      <c r="G38" s="116" t="s">
        <v>444</v>
      </c>
      <c r="H38" s="122">
        <v>5</v>
      </c>
      <c r="I38" s="107"/>
      <c r="J38" s="84" t="s">
        <v>487</v>
      </c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</row>
    <row r="39" spans="1:28" ht="15.75" customHeight="1" x14ac:dyDescent="0.2">
      <c r="A39" s="81">
        <v>38</v>
      </c>
      <c r="B39" s="82" t="str">
        <f>UPPER(LEFT(C39,2)&amp;LEFT(D39,2)&amp;LEFT(E39,3)&amp;LEFT(J39)&amp;LEFT(Cod_Gen6[[#This Row],[Cantidad unitaria]],2))</f>
        <v>BASA720-6</v>
      </c>
      <c r="C39" s="82" t="s">
        <v>22</v>
      </c>
      <c r="D39" s="82" t="s">
        <v>23</v>
      </c>
      <c r="E39" s="82">
        <v>720</v>
      </c>
      <c r="F39" s="82"/>
      <c r="G39" s="116" t="s">
        <v>444</v>
      </c>
      <c r="H39" s="122">
        <v>6</v>
      </c>
      <c r="I39" s="107"/>
      <c r="J39" s="84" t="s">
        <v>487</v>
      </c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</row>
    <row r="40" spans="1:28" ht="15.75" customHeight="1" x14ac:dyDescent="0.2">
      <c r="A40" s="81">
        <v>39</v>
      </c>
      <c r="B40" s="82" t="str">
        <f>UPPER(LEFT(C40,2)&amp;LEFT(D40,2)&amp;LEFT(E40,3)&amp;LEFT(J40)&amp;LEFT(Cod_Gen6[[#This Row],[Cantidad unitaria]],2))</f>
        <v>BASA720-7</v>
      </c>
      <c r="C40" s="82" t="s">
        <v>22</v>
      </c>
      <c r="D40" s="82" t="s">
        <v>23</v>
      </c>
      <c r="E40" s="82">
        <v>720</v>
      </c>
      <c r="F40" s="82"/>
      <c r="G40" s="116" t="s">
        <v>444</v>
      </c>
      <c r="H40" s="122">
        <v>7</v>
      </c>
      <c r="I40" s="107"/>
      <c r="J40" s="84" t="s">
        <v>487</v>
      </c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</row>
    <row r="41" spans="1:28" ht="15.75" customHeight="1" x14ac:dyDescent="0.2">
      <c r="A41" s="81">
        <v>40</v>
      </c>
      <c r="B41" s="82" t="str">
        <f>UPPER(LEFT(C41,2)&amp;LEFT(D41,2)&amp;LEFT(E41,3)&amp;LEFT(J41)&amp;LEFT(Cod_Gen6[[#This Row],[Cantidad unitaria]],2))</f>
        <v>BASA720-8</v>
      </c>
      <c r="C41" s="82" t="s">
        <v>22</v>
      </c>
      <c r="D41" s="82" t="s">
        <v>23</v>
      </c>
      <c r="E41" s="82">
        <v>720</v>
      </c>
      <c r="F41" s="82"/>
      <c r="G41" s="116" t="s">
        <v>444</v>
      </c>
      <c r="H41" s="122">
        <v>8</v>
      </c>
      <c r="I41" s="107"/>
      <c r="J41" s="84" t="s">
        <v>487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</row>
    <row r="42" spans="1:28" ht="15.75" customHeight="1" x14ac:dyDescent="0.2">
      <c r="A42" s="81">
        <v>41</v>
      </c>
      <c r="B42" s="82" t="str">
        <f>UPPER(LEFT(C42,2)&amp;LEFT(D42,2)&amp;LEFT(E42,3)&amp;LEFT(J42)&amp;LEFT(Cod_Gen6[[#This Row],[Cantidad unitaria]],2))</f>
        <v>BATE6X5-1</v>
      </c>
      <c r="C42" s="86" t="s">
        <v>24</v>
      </c>
      <c r="D42" s="86" t="s">
        <v>25</v>
      </c>
      <c r="E42" s="86" t="s">
        <v>449</v>
      </c>
      <c r="F42" s="86"/>
      <c r="G42" s="116" t="s">
        <v>444</v>
      </c>
      <c r="H42" s="106">
        <v>1</v>
      </c>
      <c r="I42" s="87">
        <v>4</v>
      </c>
      <c r="J42" s="84" t="s">
        <v>487</v>
      </c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</row>
    <row r="43" spans="1:28" ht="15.75" customHeight="1" x14ac:dyDescent="0.2">
      <c r="A43" s="81">
        <v>42</v>
      </c>
      <c r="B43" s="82" t="str">
        <f>UPPER(LEFT(C43,2)&amp;LEFT(D43,2)&amp;LEFT(E43,3)&amp;LEFT(J43)&amp;LEFT(Cod_Gen6[[#This Row],[Cantidad unitaria]],2))</f>
        <v>BATE6X5-2</v>
      </c>
      <c r="C43" s="86" t="s">
        <v>24</v>
      </c>
      <c r="D43" s="86" t="s">
        <v>25</v>
      </c>
      <c r="E43" s="86" t="s">
        <v>449</v>
      </c>
      <c r="F43" s="86"/>
      <c r="G43" s="116" t="s">
        <v>444</v>
      </c>
      <c r="H43" s="122">
        <v>2</v>
      </c>
      <c r="I43" s="87"/>
      <c r="J43" s="84" t="s">
        <v>487</v>
      </c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</row>
    <row r="44" spans="1:28" ht="15.75" customHeight="1" x14ac:dyDescent="0.2">
      <c r="A44" s="81">
        <v>43</v>
      </c>
      <c r="B44" s="82" t="str">
        <f>UPPER(LEFT(C44,2)&amp;LEFT(D44,2)&amp;LEFT(E44,3)&amp;LEFT(J44)&amp;LEFT(Cod_Gen6[[#This Row],[Cantidad unitaria]],2))</f>
        <v>BATE6X5-3</v>
      </c>
      <c r="C44" s="86" t="s">
        <v>24</v>
      </c>
      <c r="D44" s="86" t="s">
        <v>25</v>
      </c>
      <c r="E44" s="86" t="s">
        <v>449</v>
      </c>
      <c r="F44" s="86"/>
      <c r="G44" s="116" t="s">
        <v>444</v>
      </c>
      <c r="H44" s="122">
        <v>3</v>
      </c>
      <c r="I44" s="87"/>
      <c r="J44" s="84" t="s">
        <v>487</v>
      </c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</row>
    <row r="45" spans="1:28" ht="15.75" customHeight="1" x14ac:dyDescent="0.2">
      <c r="A45" s="81">
        <v>44</v>
      </c>
      <c r="B45" s="82" t="str">
        <f>UPPER(LEFT(C45,2)&amp;LEFT(D45,2)&amp;LEFT(E45,3)&amp;LEFT(J45)&amp;LEFT(Cod_Gen6[[#This Row],[Cantidad unitaria]],2))</f>
        <v>BATE6X5-4</v>
      </c>
      <c r="C45" s="86" t="s">
        <v>24</v>
      </c>
      <c r="D45" s="86" t="s">
        <v>25</v>
      </c>
      <c r="E45" s="86" t="s">
        <v>449</v>
      </c>
      <c r="F45" s="86"/>
      <c r="G45" s="116" t="s">
        <v>444</v>
      </c>
      <c r="H45" s="122">
        <v>4</v>
      </c>
      <c r="I45" s="87"/>
      <c r="J45" s="84" t="s">
        <v>487</v>
      </c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</row>
    <row r="46" spans="1:28" ht="15.75" customHeight="1" x14ac:dyDescent="0.2">
      <c r="A46" s="81">
        <v>45</v>
      </c>
      <c r="B46" s="82" t="str">
        <f>UPPER(LEFT(C46,2)&amp;LEFT(D46,2)&amp;LEFT(E46,3)&amp;LEFT(J46)&amp;LEFT(Cod_Gen6[[#This Row],[Cantidad unitaria]],2))</f>
        <v>BAKE6X2-1</v>
      </c>
      <c r="C46" s="86" t="s">
        <v>24</v>
      </c>
      <c r="D46" s="86" t="s">
        <v>448</v>
      </c>
      <c r="E46" s="86" t="s">
        <v>450</v>
      </c>
      <c r="F46" s="86"/>
      <c r="G46" s="116" t="s">
        <v>444</v>
      </c>
      <c r="H46" s="106">
        <v>1</v>
      </c>
      <c r="I46" s="87">
        <v>4</v>
      </c>
      <c r="J46" s="84" t="s">
        <v>487</v>
      </c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</row>
    <row r="47" spans="1:28" ht="15.75" customHeight="1" x14ac:dyDescent="0.2">
      <c r="A47" s="81">
        <v>46</v>
      </c>
      <c r="B47" s="82" t="str">
        <f>UPPER(LEFT(C47,2)&amp;LEFT(D47,2)&amp;LEFT(E47,3)&amp;LEFT(J47)&amp;LEFT(Cod_Gen6[[#This Row],[Cantidad unitaria]],2))</f>
        <v>BAKE6X2-2</v>
      </c>
      <c r="C47" s="86" t="s">
        <v>24</v>
      </c>
      <c r="D47" s="86" t="s">
        <v>448</v>
      </c>
      <c r="E47" s="86" t="s">
        <v>450</v>
      </c>
      <c r="F47" s="106"/>
      <c r="G47" s="116" t="s">
        <v>444</v>
      </c>
      <c r="H47" s="122">
        <v>2</v>
      </c>
      <c r="I47" s="107"/>
      <c r="J47" s="84" t="s">
        <v>487</v>
      </c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</row>
    <row r="48" spans="1:28" ht="15.75" customHeight="1" x14ac:dyDescent="0.2">
      <c r="A48" s="81">
        <v>47</v>
      </c>
      <c r="B48" s="82" t="str">
        <f>UPPER(LEFT(C48,2)&amp;LEFT(D48,2)&amp;LEFT(E48,3)&amp;LEFT(J48)&amp;LEFT(Cod_Gen6[[#This Row],[Cantidad unitaria]],2))</f>
        <v>BAKE6X2-3</v>
      </c>
      <c r="C48" s="86" t="s">
        <v>24</v>
      </c>
      <c r="D48" s="86" t="s">
        <v>448</v>
      </c>
      <c r="E48" s="86" t="s">
        <v>450</v>
      </c>
      <c r="F48" s="106"/>
      <c r="G48" s="116" t="s">
        <v>444</v>
      </c>
      <c r="H48" s="122">
        <v>3</v>
      </c>
      <c r="I48" s="107"/>
      <c r="J48" s="84" t="s">
        <v>487</v>
      </c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</row>
    <row r="49" spans="1:28" ht="15.75" customHeight="1" x14ac:dyDescent="0.2">
      <c r="A49" s="81">
        <v>48</v>
      </c>
      <c r="B49" s="82" t="str">
        <f>UPPER(LEFT(C49,2)&amp;LEFT(D49,2)&amp;LEFT(E49,3)&amp;LEFT(J49)&amp;LEFT(Cod_Gen6[[#This Row],[Cantidad unitaria]],2))</f>
        <v>BAKE6X2-4</v>
      </c>
      <c r="C49" s="86" t="s">
        <v>24</v>
      </c>
      <c r="D49" s="86" t="s">
        <v>448</v>
      </c>
      <c r="E49" s="86" t="s">
        <v>450</v>
      </c>
      <c r="F49" s="106"/>
      <c r="G49" s="116" t="s">
        <v>444</v>
      </c>
      <c r="H49" s="122">
        <v>4</v>
      </c>
      <c r="I49" s="107"/>
      <c r="J49" s="84" t="s">
        <v>487</v>
      </c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</row>
    <row r="50" spans="1:28" ht="15.75" customHeight="1" x14ac:dyDescent="0.2">
      <c r="A50" s="81">
        <v>49</v>
      </c>
      <c r="B50" s="82" t="str">
        <f>UPPER(LEFT(C50,2)&amp;LEFT(D50,2)&amp;LEFT(E50,3)&amp;LEFT(J50)&amp;LEFT(Cod_Gen6[[#This Row],[Cantidad unitaria]],2))</f>
        <v>BIGEN/A-1</v>
      </c>
      <c r="C50" s="82" t="s">
        <v>26</v>
      </c>
      <c r="D50" s="82" t="s">
        <v>20</v>
      </c>
      <c r="E50" s="86" t="s">
        <v>462</v>
      </c>
      <c r="F50" s="82"/>
      <c r="G50" s="116" t="s">
        <v>445</v>
      </c>
      <c r="H50" s="116">
        <v>1</v>
      </c>
      <c r="I50" s="83">
        <v>6</v>
      </c>
      <c r="J50" s="84" t="s">
        <v>487</v>
      </c>
      <c r="K50" s="79"/>
      <c r="L50" s="89"/>
      <c r="M50" s="89"/>
      <c r="N50" s="89"/>
      <c r="O50" s="8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</row>
    <row r="51" spans="1:28" ht="15.75" customHeight="1" x14ac:dyDescent="0.2">
      <c r="A51" s="81">
        <v>50</v>
      </c>
      <c r="B51" s="82" t="str">
        <f>UPPER(LEFT(C51,2)&amp;LEFT(D51,2)&amp;LEFT(E51,3)&amp;LEFT(J51)&amp;LEFT(Cod_Gen6[[#This Row],[Cantidad unitaria]],2))</f>
        <v>BIGEN/A-2</v>
      </c>
      <c r="C51" s="82" t="s">
        <v>26</v>
      </c>
      <c r="D51" s="82" t="s">
        <v>20</v>
      </c>
      <c r="E51" s="86" t="s">
        <v>462</v>
      </c>
      <c r="F51" s="106"/>
      <c r="G51" s="116" t="s">
        <v>445</v>
      </c>
      <c r="H51" s="122">
        <v>2</v>
      </c>
      <c r="I51" s="107"/>
      <c r="J51" s="84" t="s">
        <v>487</v>
      </c>
      <c r="K51" s="79"/>
      <c r="L51" s="89"/>
      <c r="M51" s="89"/>
      <c r="N51" s="89"/>
      <c r="O51" s="8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</row>
    <row r="52" spans="1:28" ht="15.75" customHeight="1" x14ac:dyDescent="0.2">
      <c r="A52" s="81">
        <v>51</v>
      </c>
      <c r="B52" s="82" t="str">
        <f>UPPER(LEFT(C52,2)&amp;LEFT(D52,2)&amp;LEFT(E52,3)&amp;LEFT(J52)&amp;LEFT(Cod_Gen6[[#This Row],[Cantidad unitaria]],2))</f>
        <v>BIGEN/A-3</v>
      </c>
      <c r="C52" s="82" t="s">
        <v>26</v>
      </c>
      <c r="D52" s="82" t="s">
        <v>20</v>
      </c>
      <c r="E52" s="86" t="s">
        <v>462</v>
      </c>
      <c r="F52" s="106"/>
      <c r="G52" s="116" t="s">
        <v>445</v>
      </c>
      <c r="H52" s="122">
        <v>3</v>
      </c>
      <c r="I52" s="107"/>
      <c r="J52" s="84" t="s">
        <v>487</v>
      </c>
      <c r="K52" s="79"/>
      <c r="L52" s="89"/>
      <c r="M52" s="89"/>
      <c r="N52" s="89"/>
      <c r="O52" s="8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</row>
    <row r="53" spans="1:28" ht="15.75" customHeight="1" x14ac:dyDescent="0.2">
      <c r="A53" s="81">
        <v>52</v>
      </c>
      <c r="B53" s="82" t="str">
        <f>UPPER(LEFT(C53,2)&amp;LEFT(D53,2)&amp;LEFT(E53,3)&amp;LEFT(J53)&amp;LEFT(Cod_Gen6[[#This Row],[Cantidad unitaria]],2))</f>
        <v>BIGEN/A-4</v>
      </c>
      <c r="C53" s="82" t="s">
        <v>26</v>
      </c>
      <c r="D53" s="82" t="s">
        <v>20</v>
      </c>
      <c r="E53" s="86" t="s">
        <v>462</v>
      </c>
      <c r="F53" s="106"/>
      <c r="G53" s="116" t="s">
        <v>445</v>
      </c>
      <c r="H53" s="122">
        <v>4</v>
      </c>
      <c r="I53" s="107"/>
      <c r="J53" s="84" t="s">
        <v>487</v>
      </c>
      <c r="K53" s="79"/>
      <c r="L53" s="89"/>
      <c r="M53" s="89"/>
      <c r="N53" s="89"/>
      <c r="O53" s="8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</row>
    <row r="54" spans="1:28" ht="15.75" customHeight="1" x14ac:dyDescent="0.2">
      <c r="A54" s="81">
        <v>53</v>
      </c>
      <c r="B54" s="82" t="str">
        <f>UPPER(LEFT(C54,2)&amp;LEFT(D54,2)&amp;LEFT(E54,3)&amp;LEFT(J54)&amp;LEFT(Cod_Gen6[[#This Row],[Cantidad unitaria]],2))</f>
        <v>BIGEN/A-5</v>
      </c>
      <c r="C54" s="82" t="s">
        <v>26</v>
      </c>
      <c r="D54" s="82" t="s">
        <v>20</v>
      </c>
      <c r="E54" s="86" t="s">
        <v>462</v>
      </c>
      <c r="F54" s="106"/>
      <c r="G54" s="116" t="s">
        <v>445</v>
      </c>
      <c r="H54" s="122">
        <v>5</v>
      </c>
      <c r="I54" s="107"/>
      <c r="J54" s="84" t="s">
        <v>487</v>
      </c>
      <c r="K54" s="79"/>
      <c r="L54" s="89"/>
      <c r="M54" s="89"/>
      <c r="N54" s="89"/>
      <c r="O54" s="8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</row>
    <row r="55" spans="1:28" ht="15.75" customHeight="1" x14ac:dyDescent="0.2">
      <c r="A55" s="81">
        <v>54</v>
      </c>
      <c r="B55" s="82" t="str">
        <f>UPPER(LEFT(C55,2)&amp;LEFT(D55,2)&amp;LEFT(E55,3)&amp;LEFT(J55)&amp;LEFT(Cod_Gen6[[#This Row],[Cantidad unitaria]],2))</f>
        <v>BIGEN/A-6</v>
      </c>
      <c r="C55" s="82" t="s">
        <v>26</v>
      </c>
      <c r="D55" s="82" t="s">
        <v>20</v>
      </c>
      <c r="E55" s="86" t="s">
        <v>462</v>
      </c>
      <c r="F55" s="106"/>
      <c r="G55" s="116" t="s">
        <v>445</v>
      </c>
      <c r="H55" s="122">
        <v>6</v>
      </c>
      <c r="I55" s="107"/>
      <c r="J55" s="84" t="s">
        <v>487</v>
      </c>
      <c r="K55" s="79"/>
      <c r="L55" s="89"/>
      <c r="M55" s="89"/>
      <c r="N55" s="89"/>
      <c r="O55" s="8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</row>
    <row r="56" spans="1:28" ht="15.75" customHeight="1" x14ac:dyDescent="0.2">
      <c r="A56" s="81">
        <v>55</v>
      </c>
      <c r="B56" s="82" t="str">
        <f>UPPER(LEFT(C56,2)&amp;LEFT(D56,2)&amp;LEFT(E56,3)&amp;LEFT(J56)&amp;LEFT(Cod_Gen6[[#This Row],[Cantidad unitaria]],2))</f>
        <v>BOWIWIL-1</v>
      </c>
      <c r="C56" s="86" t="s">
        <v>468</v>
      </c>
      <c r="D56" s="82" t="s">
        <v>467</v>
      </c>
      <c r="E56" s="82" t="s">
        <v>467</v>
      </c>
      <c r="F56" s="86"/>
      <c r="G56" s="117" t="s">
        <v>486</v>
      </c>
      <c r="H56" s="117">
        <v>1</v>
      </c>
      <c r="I56" s="87">
        <v>20</v>
      </c>
      <c r="J56" s="84" t="s">
        <v>487</v>
      </c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 spans="1:28" ht="15.75" customHeight="1" x14ac:dyDescent="0.2">
      <c r="A57" s="81">
        <v>56</v>
      </c>
      <c r="B57" s="82" t="str">
        <f>UPPER(LEFT(C57,2)&amp;LEFT(D57,2)&amp;LEFT(E57,3)&amp;LEFT(J57)&amp;LEFT(Cod_Gen6[[#This Row],[Cantidad unitaria]],2))</f>
        <v>BOWIWIL-2</v>
      </c>
      <c r="C57" s="86" t="s">
        <v>468</v>
      </c>
      <c r="D57" s="82" t="s">
        <v>467</v>
      </c>
      <c r="E57" s="82" t="s">
        <v>467</v>
      </c>
      <c r="F57" s="106"/>
      <c r="G57" s="117" t="s">
        <v>486</v>
      </c>
      <c r="H57" s="122">
        <v>2</v>
      </c>
      <c r="I57" s="107"/>
      <c r="J57" s="84" t="s">
        <v>487</v>
      </c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 spans="1:28" ht="15.75" customHeight="1" x14ac:dyDescent="0.2">
      <c r="A58" s="81">
        <v>57</v>
      </c>
      <c r="B58" s="82" t="str">
        <f>UPPER(LEFT(C58,2)&amp;LEFT(D58,2)&amp;LEFT(E58,3)&amp;LEFT(J58)&amp;LEFT(Cod_Gen6[[#This Row],[Cantidad unitaria]],2))</f>
        <v>BOWIWIL-3</v>
      </c>
      <c r="C58" s="86" t="s">
        <v>468</v>
      </c>
      <c r="D58" s="82" t="s">
        <v>467</v>
      </c>
      <c r="E58" s="82" t="s">
        <v>467</v>
      </c>
      <c r="F58" s="106"/>
      <c r="G58" s="117" t="s">
        <v>486</v>
      </c>
      <c r="H58" s="122">
        <v>3</v>
      </c>
      <c r="I58" s="107"/>
      <c r="J58" s="84" t="s">
        <v>487</v>
      </c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 spans="1:28" ht="15.75" customHeight="1" x14ac:dyDescent="0.2">
      <c r="A59" s="81">
        <v>58</v>
      </c>
      <c r="B59" s="82" t="str">
        <f>UPPER(LEFT(C59,2)&amp;LEFT(D59,2)&amp;LEFT(E59,3)&amp;LEFT(J59)&amp;LEFT(Cod_Gen6[[#This Row],[Cantidad unitaria]],2))</f>
        <v>BOWIWIL-4</v>
      </c>
      <c r="C59" s="86" t="s">
        <v>468</v>
      </c>
      <c r="D59" s="82" t="s">
        <v>467</v>
      </c>
      <c r="E59" s="82" t="s">
        <v>467</v>
      </c>
      <c r="F59" s="106"/>
      <c r="G59" s="117" t="s">
        <v>486</v>
      </c>
      <c r="H59" s="117">
        <v>4</v>
      </c>
      <c r="I59" s="107"/>
      <c r="J59" s="84" t="s">
        <v>487</v>
      </c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 spans="1:28" ht="15.75" customHeight="1" x14ac:dyDescent="0.2">
      <c r="A60" s="81">
        <v>59</v>
      </c>
      <c r="B60" s="82" t="str">
        <f>UPPER(LEFT(C60,2)&amp;LEFT(D60,2)&amp;LEFT(E60,3)&amp;LEFT(J60)&amp;LEFT(Cod_Gen6[[#This Row],[Cantidad unitaria]],2))</f>
        <v>BOWIWIL-5</v>
      </c>
      <c r="C60" s="86" t="s">
        <v>468</v>
      </c>
      <c r="D60" s="82" t="s">
        <v>467</v>
      </c>
      <c r="E60" s="82" t="s">
        <v>467</v>
      </c>
      <c r="F60" s="106"/>
      <c r="G60" s="117" t="s">
        <v>486</v>
      </c>
      <c r="H60" s="122">
        <v>5</v>
      </c>
      <c r="I60" s="107"/>
      <c r="J60" s="84" t="s">
        <v>487</v>
      </c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 spans="1:28" ht="15.75" customHeight="1" x14ac:dyDescent="0.2">
      <c r="A61" s="81">
        <v>60</v>
      </c>
      <c r="B61" s="82" t="str">
        <f>UPPER(LEFT(C61,2)&amp;LEFT(D61,2)&amp;LEFT(E61,3)&amp;LEFT(J61)&amp;LEFT(Cod_Gen6[[#This Row],[Cantidad unitaria]],2))</f>
        <v>BOWIWIL-6</v>
      </c>
      <c r="C61" s="86" t="s">
        <v>468</v>
      </c>
      <c r="D61" s="82" t="s">
        <v>467</v>
      </c>
      <c r="E61" s="82" t="s">
        <v>467</v>
      </c>
      <c r="F61" s="106"/>
      <c r="G61" s="117" t="s">
        <v>486</v>
      </c>
      <c r="H61" s="122">
        <v>6</v>
      </c>
      <c r="I61" s="107"/>
      <c r="J61" s="84" t="s">
        <v>487</v>
      </c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 spans="1:28" ht="15.75" customHeight="1" x14ac:dyDescent="0.2">
      <c r="A62" s="81">
        <v>61</v>
      </c>
      <c r="B62" s="82" t="str">
        <f>UPPER(LEFT(C62,2)&amp;LEFT(D62,2)&amp;LEFT(E62,3)&amp;LEFT(J62)&amp;LEFT(Cod_Gen6[[#This Row],[Cantidad unitaria]],2))</f>
        <v>BOWIWIL-7</v>
      </c>
      <c r="C62" s="86" t="s">
        <v>468</v>
      </c>
      <c r="D62" s="82" t="s">
        <v>467</v>
      </c>
      <c r="E62" s="82" t="s">
        <v>467</v>
      </c>
      <c r="F62" s="106"/>
      <c r="G62" s="117" t="s">
        <v>486</v>
      </c>
      <c r="H62" s="117">
        <v>7</v>
      </c>
      <c r="I62" s="107"/>
      <c r="J62" s="84" t="s">
        <v>487</v>
      </c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 spans="1:28" ht="15.75" customHeight="1" x14ac:dyDescent="0.2">
      <c r="A63" s="81">
        <v>62</v>
      </c>
      <c r="B63" s="82" t="str">
        <f>UPPER(LEFT(C63,2)&amp;LEFT(D63,2)&amp;LEFT(E63,3)&amp;LEFT(J63)&amp;LEFT(Cod_Gen6[[#This Row],[Cantidad unitaria]],2))</f>
        <v>BOWIWIL-8</v>
      </c>
      <c r="C63" s="86" t="s">
        <v>468</v>
      </c>
      <c r="D63" s="82" t="s">
        <v>467</v>
      </c>
      <c r="E63" s="82" t="s">
        <v>467</v>
      </c>
      <c r="F63" s="106"/>
      <c r="G63" s="117" t="s">
        <v>486</v>
      </c>
      <c r="H63" s="122">
        <v>8</v>
      </c>
      <c r="I63" s="107"/>
      <c r="J63" s="84" t="s">
        <v>487</v>
      </c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 spans="1:28" ht="15.75" customHeight="1" x14ac:dyDescent="0.2">
      <c r="A64" s="81">
        <v>63</v>
      </c>
      <c r="B64" s="82" t="str">
        <f>UPPER(LEFT(C64,2)&amp;LEFT(D64,2)&amp;LEFT(E64,3)&amp;LEFT(J64)&amp;LEFT(Cod_Gen6[[#This Row],[Cantidad unitaria]],2))</f>
        <v>BOWIWIL-9</v>
      </c>
      <c r="C64" s="86" t="s">
        <v>468</v>
      </c>
      <c r="D64" s="82" t="s">
        <v>467</v>
      </c>
      <c r="E64" s="82" t="s">
        <v>467</v>
      </c>
      <c r="F64" s="106"/>
      <c r="G64" s="117" t="s">
        <v>486</v>
      </c>
      <c r="H64" s="122">
        <v>9</v>
      </c>
      <c r="I64" s="107"/>
      <c r="J64" s="84" t="s">
        <v>487</v>
      </c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 spans="1:28" ht="15.75" customHeight="1" x14ac:dyDescent="0.2">
      <c r="A65" s="81">
        <v>64</v>
      </c>
      <c r="B65" s="82" t="str">
        <f>UPPER(LEFT(C65,2)&amp;LEFT(D65,2)&amp;LEFT(E65,3)&amp;LEFT(J65)&amp;LEFT(Cod_Gen6[[#This Row],[Cantidad unitaria]],2))</f>
        <v>BOWIWIL-10</v>
      </c>
      <c r="C65" s="86" t="s">
        <v>468</v>
      </c>
      <c r="D65" s="82" t="s">
        <v>467</v>
      </c>
      <c r="E65" s="82" t="s">
        <v>467</v>
      </c>
      <c r="F65" s="106"/>
      <c r="G65" s="117" t="s">
        <v>486</v>
      </c>
      <c r="H65" s="117">
        <v>10</v>
      </c>
      <c r="I65" s="107"/>
      <c r="J65" s="84" t="s">
        <v>487</v>
      </c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 spans="1:28" ht="15.75" customHeight="1" x14ac:dyDescent="0.2">
      <c r="A66" s="81">
        <v>65</v>
      </c>
      <c r="B66" s="82" t="str">
        <f>UPPER(LEFT(C66,2)&amp;LEFT(D66,2)&amp;LEFT(E66,3)&amp;LEFT(J66)&amp;LEFT(Cod_Gen6[[#This Row],[Cantidad unitaria]],2))</f>
        <v>BOWIWIL-11</v>
      </c>
      <c r="C66" s="86" t="s">
        <v>468</v>
      </c>
      <c r="D66" s="82" t="s">
        <v>467</v>
      </c>
      <c r="E66" s="82" t="s">
        <v>467</v>
      </c>
      <c r="F66" s="106"/>
      <c r="G66" s="117" t="s">
        <v>486</v>
      </c>
      <c r="H66" s="122">
        <v>11</v>
      </c>
      <c r="I66" s="107"/>
      <c r="J66" s="84" t="s">
        <v>487</v>
      </c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 spans="1:28" ht="15.75" customHeight="1" x14ac:dyDescent="0.2">
      <c r="A67" s="81">
        <v>66</v>
      </c>
      <c r="B67" s="82" t="str">
        <f>UPPER(LEFT(C67,2)&amp;LEFT(D67,2)&amp;LEFT(E67,3)&amp;LEFT(J67)&amp;LEFT(Cod_Gen6[[#This Row],[Cantidad unitaria]],2))</f>
        <v>BOWIWIL-12</v>
      </c>
      <c r="C67" s="86" t="s">
        <v>468</v>
      </c>
      <c r="D67" s="82" t="s">
        <v>467</v>
      </c>
      <c r="E67" s="82" t="s">
        <v>467</v>
      </c>
      <c r="F67" s="106"/>
      <c r="G67" s="117" t="s">
        <v>486</v>
      </c>
      <c r="H67" s="122">
        <v>12</v>
      </c>
      <c r="I67" s="107"/>
      <c r="J67" s="84" t="s">
        <v>487</v>
      </c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 spans="1:28" ht="15.75" customHeight="1" x14ac:dyDescent="0.2">
      <c r="A68" s="81">
        <v>67</v>
      </c>
      <c r="B68" s="82" t="str">
        <f>UPPER(LEFT(C68,2)&amp;LEFT(D68,2)&amp;LEFT(E68,3)&amp;LEFT(J68)&amp;LEFT(Cod_Gen6[[#This Row],[Cantidad unitaria]],2))</f>
        <v>BOWIWIL-13</v>
      </c>
      <c r="C68" s="86" t="s">
        <v>468</v>
      </c>
      <c r="D68" s="82" t="s">
        <v>467</v>
      </c>
      <c r="E68" s="82" t="s">
        <v>467</v>
      </c>
      <c r="F68" s="106"/>
      <c r="G68" s="117" t="s">
        <v>486</v>
      </c>
      <c r="H68" s="117">
        <v>13</v>
      </c>
      <c r="I68" s="107"/>
      <c r="J68" s="84" t="s">
        <v>487</v>
      </c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 spans="1:28" ht="15.75" customHeight="1" x14ac:dyDescent="0.2">
      <c r="A69" s="81">
        <v>68</v>
      </c>
      <c r="B69" s="82" t="str">
        <f>UPPER(LEFT(C69,2)&amp;LEFT(D69,2)&amp;LEFT(E69,3)&amp;LEFT(J69)&amp;LEFT(Cod_Gen6[[#This Row],[Cantidad unitaria]],2))</f>
        <v>BOWIWIL-14</v>
      </c>
      <c r="C69" s="86" t="s">
        <v>468</v>
      </c>
      <c r="D69" s="82" t="s">
        <v>467</v>
      </c>
      <c r="E69" s="82" t="s">
        <v>467</v>
      </c>
      <c r="F69" s="106"/>
      <c r="G69" s="117" t="s">
        <v>486</v>
      </c>
      <c r="H69" s="122">
        <v>14</v>
      </c>
      <c r="I69" s="107"/>
      <c r="J69" s="84" t="s">
        <v>487</v>
      </c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 spans="1:28" ht="15.75" customHeight="1" x14ac:dyDescent="0.2">
      <c r="A70" s="81">
        <v>69</v>
      </c>
      <c r="B70" s="82" t="str">
        <f>UPPER(LEFT(C70,2)&amp;LEFT(D70,2)&amp;LEFT(E70,3)&amp;LEFT(J70)&amp;LEFT(Cod_Gen6[[#This Row],[Cantidad unitaria]],2))</f>
        <v>BOWIWIL-15</v>
      </c>
      <c r="C70" s="86" t="s">
        <v>468</v>
      </c>
      <c r="D70" s="82" t="s">
        <v>467</v>
      </c>
      <c r="E70" s="82" t="s">
        <v>467</v>
      </c>
      <c r="F70" s="106"/>
      <c r="G70" s="117" t="s">
        <v>486</v>
      </c>
      <c r="H70" s="122">
        <v>15</v>
      </c>
      <c r="I70" s="107"/>
      <c r="J70" s="84" t="s">
        <v>487</v>
      </c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 spans="1:28" ht="15.75" customHeight="1" x14ac:dyDescent="0.2">
      <c r="A71" s="81">
        <v>70</v>
      </c>
      <c r="B71" s="82" t="str">
        <f>UPPER(LEFT(C71,2)&amp;LEFT(D71,2)&amp;LEFT(E71,3)&amp;LEFT(J71)&amp;LEFT(Cod_Gen6[[#This Row],[Cantidad unitaria]],2))</f>
        <v>BOWIWIL-16</v>
      </c>
      <c r="C71" s="86" t="s">
        <v>468</v>
      </c>
      <c r="D71" s="82" t="s">
        <v>467</v>
      </c>
      <c r="E71" s="82" t="s">
        <v>467</v>
      </c>
      <c r="F71" s="106"/>
      <c r="G71" s="117" t="s">
        <v>486</v>
      </c>
      <c r="H71" s="117">
        <v>16</v>
      </c>
      <c r="I71" s="107"/>
      <c r="J71" s="84" t="s">
        <v>487</v>
      </c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 spans="1:28" ht="15.75" customHeight="1" x14ac:dyDescent="0.2">
      <c r="A72" s="81">
        <v>71</v>
      </c>
      <c r="B72" s="82" t="str">
        <f>UPPER(LEFT(C72,2)&amp;LEFT(D72,2)&amp;LEFT(E72,3)&amp;LEFT(J72)&amp;LEFT(Cod_Gen6[[#This Row],[Cantidad unitaria]],2))</f>
        <v>BOWIWIL-17</v>
      </c>
      <c r="C72" s="86" t="s">
        <v>468</v>
      </c>
      <c r="D72" s="82" t="s">
        <v>467</v>
      </c>
      <c r="E72" s="82" t="s">
        <v>467</v>
      </c>
      <c r="F72" s="106"/>
      <c r="G72" s="117" t="s">
        <v>486</v>
      </c>
      <c r="H72" s="122">
        <v>17</v>
      </c>
      <c r="I72" s="107"/>
      <c r="J72" s="84" t="s">
        <v>487</v>
      </c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 spans="1:28" ht="15.75" customHeight="1" x14ac:dyDescent="0.2">
      <c r="A73" s="81">
        <v>72</v>
      </c>
      <c r="B73" s="82" t="str">
        <f>UPPER(LEFT(C73,2)&amp;LEFT(D73,2)&amp;LEFT(E73,3)&amp;LEFT(J73)&amp;LEFT(Cod_Gen6[[#This Row],[Cantidad unitaria]],2))</f>
        <v>BOWIWIL-18</v>
      </c>
      <c r="C73" s="86" t="s">
        <v>468</v>
      </c>
      <c r="D73" s="82" t="s">
        <v>467</v>
      </c>
      <c r="E73" s="82" t="s">
        <v>467</v>
      </c>
      <c r="F73" s="106"/>
      <c r="G73" s="117" t="s">
        <v>486</v>
      </c>
      <c r="H73" s="122">
        <v>18</v>
      </c>
      <c r="I73" s="107"/>
      <c r="J73" s="84" t="s">
        <v>487</v>
      </c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 spans="1:28" ht="15.75" customHeight="1" x14ac:dyDescent="0.2">
      <c r="A74" s="81">
        <v>73</v>
      </c>
      <c r="B74" s="82" t="str">
        <f>UPPER(LEFT(C74,2)&amp;LEFT(D74,2)&amp;LEFT(E74,3)&amp;LEFT(J74)&amp;LEFT(Cod_Gen6[[#This Row],[Cantidad unitaria]],2))</f>
        <v>BOWIWIL-19</v>
      </c>
      <c r="C74" s="86" t="s">
        <v>468</v>
      </c>
      <c r="D74" s="82" t="s">
        <v>467</v>
      </c>
      <c r="E74" s="82" t="s">
        <v>467</v>
      </c>
      <c r="F74" s="106"/>
      <c r="G74" s="117" t="s">
        <v>486</v>
      </c>
      <c r="H74" s="117">
        <v>19</v>
      </c>
      <c r="I74" s="107"/>
      <c r="J74" s="84" t="s">
        <v>487</v>
      </c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 spans="1:28" ht="15.75" customHeight="1" x14ac:dyDescent="0.2">
      <c r="A75" s="81">
        <v>74</v>
      </c>
      <c r="B75" s="82" t="str">
        <f>UPPER(LEFT(C75,2)&amp;LEFT(D75,2)&amp;LEFT(E75,3)&amp;LEFT(J75)&amp;LEFT(Cod_Gen6[[#This Row],[Cantidad unitaria]],2))</f>
        <v>BOWIWIL-20</v>
      </c>
      <c r="C75" s="86" t="s">
        <v>468</v>
      </c>
      <c r="D75" s="82" t="s">
        <v>467</v>
      </c>
      <c r="E75" s="82" t="s">
        <v>467</v>
      </c>
      <c r="F75" s="106"/>
      <c r="G75" s="117" t="s">
        <v>486</v>
      </c>
      <c r="H75" s="122">
        <v>20</v>
      </c>
      <c r="I75" s="107"/>
      <c r="J75" s="84" t="s">
        <v>487</v>
      </c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 spans="1:28" ht="15.75" customHeight="1" x14ac:dyDescent="0.2">
      <c r="A76" s="81">
        <v>75</v>
      </c>
      <c r="B76" s="82" t="str">
        <f>UPPER(LEFT(C76,2)&amp;LEFT(D76,2)&amp;LEFT(E76,3)&amp;LEFT(J76)&amp;LEFT(Cod_Gen6[[#This Row],[Cantidad unitaria]],2))</f>
        <v>BOWIWIL-1</v>
      </c>
      <c r="C76" s="86" t="s">
        <v>469</v>
      </c>
      <c r="D76" s="82" t="s">
        <v>467</v>
      </c>
      <c r="E76" s="82" t="s">
        <v>467</v>
      </c>
      <c r="F76" s="106"/>
      <c r="G76" s="106" t="s">
        <v>486</v>
      </c>
      <c r="H76" s="106">
        <v>1</v>
      </c>
      <c r="I76" s="107">
        <v>1</v>
      </c>
      <c r="J76" s="84" t="s">
        <v>487</v>
      </c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 spans="1:28" ht="15.75" customHeight="1" x14ac:dyDescent="0.2">
      <c r="A77" s="81">
        <v>76</v>
      </c>
      <c r="B77" s="82" t="str">
        <f>UPPER(LEFT(C77,2)&amp;LEFT(D77,2)&amp;LEFT(E77,3)&amp;LEFT(J77)&amp;LEFT(Cod_Gen6[[#This Row],[Cantidad unitaria]],2))</f>
        <v>CAAO7R-1</v>
      </c>
      <c r="C77" s="82" t="s">
        <v>27</v>
      </c>
      <c r="D77" s="82" t="s">
        <v>28</v>
      </c>
      <c r="E77" s="82" t="s">
        <v>29</v>
      </c>
      <c r="F77" s="82"/>
      <c r="G77" s="121" t="s">
        <v>444</v>
      </c>
      <c r="H77" s="121">
        <v>1</v>
      </c>
      <c r="I77" s="83">
        <v>8</v>
      </c>
      <c r="J77" s="84" t="s">
        <v>487</v>
      </c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 spans="1:28" ht="15.75" customHeight="1" x14ac:dyDescent="0.2">
      <c r="A78" s="81">
        <v>77</v>
      </c>
      <c r="B78" s="82" t="str">
        <f>UPPER(LEFT(C78,2)&amp;LEFT(D78,2)&amp;LEFT(E78,3)&amp;LEFT(J78)&amp;LEFT(Cod_Gen6[[#This Row],[Cantidad unitaria]],2))</f>
        <v>CAAO7R-2</v>
      </c>
      <c r="C78" s="82" t="s">
        <v>27</v>
      </c>
      <c r="D78" s="82" t="s">
        <v>28</v>
      </c>
      <c r="E78" s="82" t="s">
        <v>29</v>
      </c>
      <c r="F78" s="106"/>
      <c r="G78" s="121" t="s">
        <v>444</v>
      </c>
      <c r="H78" s="123">
        <v>2</v>
      </c>
      <c r="I78" s="107"/>
      <c r="J78" s="84" t="s">
        <v>487</v>
      </c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 spans="1:28" ht="15.75" customHeight="1" x14ac:dyDescent="0.2">
      <c r="A79" s="81">
        <v>78</v>
      </c>
      <c r="B79" s="82" t="str">
        <f>UPPER(LEFT(C79,2)&amp;LEFT(D79,2)&amp;LEFT(E79,3)&amp;LEFT(J79)&amp;LEFT(Cod_Gen6[[#This Row],[Cantidad unitaria]],2))</f>
        <v>CAAO7R-3</v>
      </c>
      <c r="C79" s="82" t="s">
        <v>27</v>
      </c>
      <c r="D79" s="82" t="s">
        <v>28</v>
      </c>
      <c r="E79" s="82" t="s">
        <v>29</v>
      </c>
      <c r="F79" s="106"/>
      <c r="G79" s="121" t="s">
        <v>444</v>
      </c>
      <c r="H79" s="123">
        <v>3</v>
      </c>
      <c r="I79" s="107"/>
      <c r="J79" s="84" t="s">
        <v>487</v>
      </c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 spans="1:28" ht="15.75" customHeight="1" x14ac:dyDescent="0.2">
      <c r="A80" s="81">
        <v>79</v>
      </c>
      <c r="B80" s="82" t="str">
        <f>UPPER(LEFT(C80,2)&amp;LEFT(D80,2)&amp;LEFT(E80,3)&amp;LEFT(J80)&amp;LEFT(Cod_Gen6[[#This Row],[Cantidad unitaria]],2))</f>
        <v>CAAO7R-4</v>
      </c>
      <c r="C80" s="82" t="s">
        <v>27</v>
      </c>
      <c r="D80" s="82" t="s">
        <v>28</v>
      </c>
      <c r="E80" s="82" t="s">
        <v>29</v>
      </c>
      <c r="F80" s="106"/>
      <c r="G80" s="121" t="s">
        <v>444</v>
      </c>
      <c r="H80" s="121">
        <v>4</v>
      </c>
      <c r="I80" s="107"/>
      <c r="J80" s="84" t="s">
        <v>487</v>
      </c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 spans="1:28" ht="15.75" customHeight="1" x14ac:dyDescent="0.2">
      <c r="A81" s="81">
        <v>80</v>
      </c>
      <c r="B81" s="82" t="str">
        <f>UPPER(LEFT(C81,2)&amp;LEFT(D81,2)&amp;LEFT(E81,3)&amp;LEFT(J81)&amp;LEFT(Cod_Gen6[[#This Row],[Cantidad unitaria]],2))</f>
        <v>CAAO7R-5</v>
      </c>
      <c r="C81" s="82" t="s">
        <v>27</v>
      </c>
      <c r="D81" s="82" t="s">
        <v>28</v>
      </c>
      <c r="E81" s="82" t="s">
        <v>29</v>
      </c>
      <c r="F81" s="106"/>
      <c r="G81" s="121" t="s">
        <v>444</v>
      </c>
      <c r="H81" s="123">
        <v>5</v>
      </c>
      <c r="I81" s="107"/>
      <c r="J81" s="84" t="s">
        <v>487</v>
      </c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 spans="1:28" ht="15.75" customHeight="1" x14ac:dyDescent="0.2">
      <c r="A82" s="81">
        <v>81</v>
      </c>
      <c r="B82" s="82" t="str">
        <f>UPPER(LEFT(C82,2)&amp;LEFT(D82,2)&amp;LEFT(E82,3)&amp;LEFT(J82)&amp;LEFT(Cod_Gen6[[#This Row],[Cantidad unitaria]],2))</f>
        <v>CAAO7R-6</v>
      </c>
      <c r="C82" s="82" t="s">
        <v>27</v>
      </c>
      <c r="D82" s="82" t="s">
        <v>28</v>
      </c>
      <c r="E82" s="82" t="s">
        <v>29</v>
      </c>
      <c r="F82" s="106"/>
      <c r="G82" s="121" t="s">
        <v>444</v>
      </c>
      <c r="H82" s="123">
        <v>6</v>
      </c>
      <c r="I82" s="107"/>
      <c r="J82" s="84" t="s">
        <v>487</v>
      </c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 spans="1:28" ht="15.75" customHeight="1" x14ac:dyDescent="0.2">
      <c r="A83" s="81">
        <v>82</v>
      </c>
      <c r="B83" s="82" t="str">
        <f>UPPER(LEFT(C83,2)&amp;LEFT(D83,2)&amp;LEFT(E83,3)&amp;LEFT(J83)&amp;LEFT(Cod_Gen6[[#This Row],[Cantidad unitaria]],2))</f>
        <v>CAAO7R-7</v>
      </c>
      <c r="C83" s="82" t="s">
        <v>27</v>
      </c>
      <c r="D83" s="82" t="s">
        <v>28</v>
      </c>
      <c r="E83" s="82" t="s">
        <v>29</v>
      </c>
      <c r="F83" s="106"/>
      <c r="G83" s="121" t="s">
        <v>444</v>
      </c>
      <c r="H83" s="121">
        <v>7</v>
      </c>
      <c r="I83" s="107"/>
      <c r="J83" s="84" t="s">
        <v>487</v>
      </c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 spans="1:28" ht="15.75" customHeight="1" x14ac:dyDescent="0.2">
      <c r="A84" s="81">
        <v>83</v>
      </c>
      <c r="B84" s="82" t="str">
        <f>UPPER(LEFT(C84,2)&amp;LEFT(D84,2)&amp;LEFT(E84,3)&amp;LEFT(J84)&amp;LEFT(Cod_Gen6[[#This Row],[Cantidad unitaria]],2))</f>
        <v>CAAO7R-8</v>
      </c>
      <c r="C84" s="82" t="s">
        <v>27</v>
      </c>
      <c r="D84" s="82" t="s">
        <v>28</v>
      </c>
      <c r="E84" s="82" t="s">
        <v>29</v>
      </c>
      <c r="F84" s="106"/>
      <c r="G84" s="121" t="s">
        <v>444</v>
      </c>
      <c r="H84" s="123">
        <v>8</v>
      </c>
      <c r="I84" s="107"/>
      <c r="J84" s="84" t="s">
        <v>487</v>
      </c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 spans="1:28" ht="15.75" customHeight="1" x14ac:dyDescent="0.2">
      <c r="A85" s="81">
        <v>84</v>
      </c>
      <c r="B85" s="82" t="str">
        <f>UPPER(LEFT(C85,2)&amp;LEFT(D85,2)&amp;LEFT(E85,3)&amp;LEFT(J85)&amp;LEFT(Cod_Gen6[[#This Row],[Cantidad unitaria]],2))</f>
        <v>CAMO9R-1</v>
      </c>
      <c r="C85" s="82" t="s">
        <v>27</v>
      </c>
      <c r="D85" s="106" t="s">
        <v>451</v>
      </c>
      <c r="E85" s="106" t="s">
        <v>453</v>
      </c>
      <c r="F85" s="106"/>
      <c r="G85" s="121" t="s">
        <v>444</v>
      </c>
      <c r="H85" s="108">
        <v>1</v>
      </c>
      <c r="I85" s="107">
        <v>10</v>
      </c>
      <c r="J85" s="84" t="s">
        <v>487</v>
      </c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 spans="1:28" ht="15.75" customHeight="1" x14ac:dyDescent="0.2">
      <c r="A86" s="81">
        <v>85</v>
      </c>
      <c r="B86" s="82" t="str">
        <f>UPPER(LEFT(C86,2)&amp;LEFT(D86,2)&amp;LEFT(E86,3)&amp;LEFT(J86)&amp;LEFT(Cod_Gen6[[#This Row],[Cantidad unitaria]],2))</f>
        <v>CAMO9R-2</v>
      </c>
      <c r="C86" s="82" t="s">
        <v>27</v>
      </c>
      <c r="D86" s="106" t="s">
        <v>451</v>
      </c>
      <c r="E86" s="106" t="s">
        <v>453</v>
      </c>
      <c r="F86" s="106"/>
      <c r="G86" s="121" t="s">
        <v>444</v>
      </c>
      <c r="H86" s="123">
        <v>2</v>
      </c>
      <c r="I86" s="107"/>
      <c r="J86" s="84" t="s">
        <v>487</v>
      </c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 spans="1:28" ht="15.75" customHeight="1" x14ac:dyDescent="0.2">
      <c r="A87" s="81">
        <v>86</v>
      </c>
      <c r="B87" s="82" t="str">
        <f>UPPER(LEFT(C87,2)&amp;LEFT(D87,2)&amp;LEFT(E87,3)&amp;LEFT(J87)&amp;LEFT(Cod_Gen6[[#This Row],[Cantidad unitaria]],2))</f>
        <v>CAMO9R-3</v>
      </c>
      <c r="C87" s="82" t="s">
        <v>27</v>
      </c>
      <c r="D87" s="106" t="s">
        <v>451</v>
      </c>
      <c r="E87" s="106" t="s">
        <v>453</v>
      </c>
      <c r="F87" s="106"/>
      <c r="G87" s="121" t="s">
        <v>444</v>
      </c>
      <c r="H87" s="123">
        <v>3</v>
      </c>
      <c r="I87" s="107"/>
      <c r="J87" s="84" t="s">
        <v>487</v>
      </c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 spans="1:28" ht="15.75" customHeight="1" x14ac:dyDescent="0.2">
      <c r="A88" s="81">
        <v>87</v>
      </c>
      <c r="B88" s="82" t="str">
        <f>UPPER(LEFT(C88,2)&amp;LEFT(D88,2)&amp;LEFT(E88,3)&amp;LEFT(J88)&amp;LEFT(Cod_Gen6[[#This Row],[Cantidad unitaria]],2))</f>
        <v>CAMO9R-4</v>
      </c>
      <c r="C88" s="82" t="s">
        <v>27</v>
      </c>
      <c r="D88" s="106" t="s">
        <v>451</v>
      </c>
      <c r="E88" s="106" t="s">
        <v>453</v>
      </c>
      <c r="F88" s="106"/>
      <c r="G88" s="121" t="s">
        <v>444</v>
      </c>
      <c r="H88" s="108">
        <v>4</v>
      </c>
      <c r="I88" s="107"/>
      <c r="J88" s="84" t="s">
        <v>487</v>
      </c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 spans="1:28" ht="15.75" customHeight="1" x14ac:dyDescent="0.2">
      <c r="A89" s="81">
        <v>88</v>
      </c>
      <c r="B89" s="82" t="str">
        <f>UPPER(LEFT(C89,2)&amp;LEFT(D89,2)&amp;LEFT(E89,3)&amp;LEFT(J89)&amp;LEFT(Cod_Gen6[[#This Row],[Cantidad unitaria]],2))</f>
        <v>CAMO9R-5</v>
      </c>
      <c r="C89" s="82" t="s">
        <v>27</v>
      </c>
      <c r="D89" s="106" t="s">
        <v>451</v>
      </c>
      <c r="E89" s="106" t="s">
        <v>453</v>
      </c>
      <c r="F89" s="106"/>
      <c r="G89" s="121" t="s">
        <v>444</v>
      </c>
      <c r="H89" s="123">
        <v>5</v>
      </c>
      <c r="I89" s="107"/>
      <c r="J89" s="84" t="s">
        <v>487</v>
      </c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 spans="1:28" ht="15.75" customHeight="1" x14ac:dyDescent="0.2">
      <c r="A90" s="81">
        <v>89</v>
      </c>
      <c r="B90" s="82" t="str">
        <f>UPPER(LEFT(C90,2)&amp;LEFT(D90,2)&amp;LEFT(E90,3)&amp;LEFT(J90)&amp;LEFT(Cod_Gen6[[#This Row],[Cantidad unitaria]],2))</f>
        <v>CAMO9R-6</v>
      </c>
      <c r="C90" s="82" t="s">
        <v>27</v>
      </c>
      <c r="D90" s="106" t="s">
        <v>451</v>
      </c>
      <c r="E90" s="106" t="s">
        <v>453</v>
      </c>
      <c r="F90" s="106"/>
      <c r="G90" s="121" t="s">
        <v>444</v>
      </c>
      <c r="H90" s="123">
        <v>6</v>
      </c>
      <c r="I90" s="107"/>
      <c r="J90" s="84" t="s">
        <v>487</v>
      </c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 spans="1:28" ht="15.75" customHeight="1" x14ac:dyDescent="0.2">
      <c r="A91" s="81">
        <v>90</v>
      </c>
      <c r="B91" s="82" t="str">
        <f>UPPER(LEFT(C91,2)&amp;LEFT(D91,2)&amp;LEFT(E91,3)&amp;LEFT(J91)&amp;LEFT(Cod_Gen6[[#This Row],[Cantidad unitaria]],2))</f>
        <v>CAMO9R-7</v>
      </c>
      <c r="C91" s="82" t="s">
        <v>27</v>
      </c>
      <c r="D91" s="106" t="s">
        <v>451</v>
      </c>
      <c r="E91" s="106" t="s">
        <v>453</v>
      </c>
      <c r="F91" s="106"/>
      <c r="G91" s="121" t="s">
        <v>444</v>
      </c>
      <c r="H91" s="108">
        <v>7</v>
      </c>
      <c r="I91" s="107"/>
      <c r="J91" s="84" t="s">
        <v>487</v>
      </c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 spans="1:28" ht="15.75" customHeight="1" x14ac:dyDescent="0.2">
      <c r="A92" s="81">
        <v>91</v>
      </c>
      <c r="B92" s="82" t="str">
        <f>UPPER(LEFT(C92,2)&amp;LEFT(D92,2)&amp;LEFT(E92,3)&amp;LEFT(J92)&amp;LEFT(Cod_Gen6[[#This Row],[Cantidad unitaria]],2))</f>
        <v>CAMO9R-8</v>
      </c>
      <c r="C92" s="82" t="s">
        <v>27</v>
      </c>
      <c r="D92" s="106" t="s">
        <v>451</v>
      </c>
      <c r="E92" s="106" t="s">
        <v>453</v>
      </c>
      <c r="F92" s="106"/>
      <c r="G92" s="121" t="s">
        <v>444</v>
      </c>
      <c r="H92" s="123">
        <v>8</v>
      </c>
      <c r="I92" s="107"/>
      <c r="J92" s="84" t="s">
        <v>487</v>
      </c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 spans="1:28" ht="15.75" customHeight="1" x14ac:dyDescent="0.2">
      <c r="A93" s="81">
        <v>92</v>
      </c>
      <c r="B93" s="82" t="str">
        <f>UPPER(LEFT(C93,2)&amp;LEFT(D93,2)&amp;LEFT(E93,3)&amp;LEFT(J93)&amp;LEFT(Cod_Gen6[[#This Row],[Cantidad unitaria]],2))</f>
        <v>CAMO9R-9</v>
      </c>
      <c r="C93" s="82" t="s">
        <v>27</v>
      </c>
      <c r="D93" s="106" t="s">
        <v>451</v>
      </c>
      <c r="E93" s="106" t="s">
        <v>453</v>
      </c>
      <c r="F93" s="106"/>
      <c r="G93" s="121" t="s">
        <v>444</v>
      </c>
      <c r="H93" s="123">
        <v>9</v>
      </c>
      <c r="I93" s="107"/>
      <c r="J93" s="84" t="s">
        <v>487</v>
      </c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 spans="1:28" ht="15.75" customHeight="1" x14ac:dyDescent="0.2">
      <c r="A94" s="81">
        <v>93</v>
      </c>
      <c r="B94" s="82" t="str">
        <f>UPPER(LEFT(C94,2)&amp;LEFT(D94,2)&amp;LEFT(E94,3)&amp;LEFT(J94)&amp;LEFT(Cod_Gen6[[#This Row],[Cantidad unitaria]],2))</f>
        <v>CAMO9R-10</v>
      </c>
      <c r="C94" s="82" t="s">
        <v>27</v>
      </c>
      <c r="D94" s="106" t="s">
        <v>451</v>
      </c>
      <c r="E94" s="106" t="s">
        <v>453</v>
      </c>
      <c r="F94" s="106"/>
      <c r="G94" s="121" t="s">
        <v>444</v>
      </c>
      <c r="H94" s="108">
        <v>10</v>
      </c>
      <c r="I94" s="107"/>
      <c r="J94" s="84" t="s">
        <v>487</v>
      </c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 spans="1:28" ht="15.75" customHeight="1" x14ac:dyDescent="0.2">
      <c r="A95" s="81">
        <v>94</v>
      </c>
      <c r="B95" s="82" t="str">
        <f>UPPER(LEFT(C95,2)&amp;LEFT(D95,2)&amp;LEFT(E95,3)&amp;LEFT(J95)&amp;LEFT(Cod_Gen6[[#This Row],[Cantidad unitaria]],2))</f>
        <v>SEMOMLB-1</v>
      </c>
      <c r="C95" s="106" t="s">
        <v>459</v>
      </c>
      <c r="D95" s="106" t="s">
        <v>451</v>
      </c>
      <c r="E95" s="77" t="s">
        <v>488</v>
      </c>
      <c r="F95" s="106"/>
      <c r="G95" s="121" t="s">
        <v>444</v>
      </c>
      <c r="H95" s="108">
        <v>1</v>
      </c>
      <c r="I95" s="107">
        <v>2</v>
      </c>
      <c r="J95" s="84" t="s">
        <v>487</v>
      </c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 spans="1:28" ht="15.75" customHeight="1" x14ac:dyDescent="0.2">
      <c r="A96" s="81">
        <v>95</v>
      </c>
      <c r="B96" s="82" t="str">
        <f>UPPER(LEFT(C96,2)&amp;LEFT(D96,2)&amp;LEFT(E96,3)&amp;LEFT(J96)&amp;LEFT(Cod_Gen6[[#This Row],[Cantidad unitaria]],2))</f>
        <v>SEMOMLB-2</v>
      </c>
      <c r="C96" s="106" t="s">
        <v>459</v>
      </c>
      <c r="D96" s="106" t="s">
        <v>451</v>
      </c>
      <c r="E96" s="77" t="s">
        <v>488</v>
      </c>
      <c r="F96" s="106"/>
      <c r="G96" s="121" t="s">
        <v>444</v>
      </c>
      <c r="H96" s="123">
        <v>2</v>
      </c>
      <c r="I96" s="107"/>
      <c r="J96" s="84" t="s">
        <v>487</v>
      </c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 spans="1:28" ht="15.75" customHeight="1" x14ac:dyDescent="0.2">
      <c r="A97" s="81">
        <v>96</v>
      </c>
      <c r="B97" s="82" t="str">
        <f>UPPER(LEFT(C97,2)&amp;LEFT(D97,2)&amp;LEFT(E97,3)&amp;LEFT(J97)&amp;LEFT(Cod_Gen6[[#This Row],[Cantidad unitaria]],2))</f>
        <v>SIMOMLX-1</v>
      </c>
      <c r="C97" s="106" t="s">
        <v>460</v>
      </c>
      <c r="D97" s="106" t="s">
        <v>451</v>
      </c>
      <c r="E97" s="77" t="s">
        <v>489</v>
      </c>
      <c r="F97" s="106"/>
      <c r="G97" s="121" t="s">
        <v>444</v>
      </c>
      <c r="H97" s="108">
        <v>1</v>
      </c>
      <c r="I97" s="107">
        <v>2</v>
      </c>
      <c r="J97" s="84" t="s">
        <v>487</v>
      </c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 spans="1:28" ht="15.75" customHeight="1" x14ac:dyDescent="0.2">
      <c r="A98" s="81">
        <v>97</v>
      </c>
      <c r="B98" s="82" t="str">
        <f>UPPER(LEFT(C98,2)&amp;LEFT(D98,2)&amp;LEFT(E98,3)&amp;LEFT(J98)&amp;LEFT(Cod_Gen6[[#This Row],[Cantidad unitaria]],2))</f>
        <v>SIMOMLX-2</v>
      </c>
      <c r="C98" s="106" t="s">
        <v>460</v>
      </c>
      <c r="D98" s="106" t="s">
        <v>451</v>
      </c>
      <c r="E98" s="77" t="s">
        <v>489</v>
      </c>
      <c r="F98" s="106"/>
      <c r="G98" s="121" t="s">
        <v>444</v>
      </c>
      <c r="H98" s="123">
        <v>2</v>
      </c>
      <c r="I98" s="107"/>
      <c r="J98" s="84" t="s">
        <v>487</v>
      </c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 spans="1:28" ht="15.75" customHeight="1" x14ac:dyDescent="0.2">
      <c r="A99" s="81">
        <v>98</v>
      </c>
      <c r="B99" s="82" t="str">
        <f>UPPER(LEFT(C99,2)&amp;LEFT(D99,2)&amp;LEFT(E99,3)&amp;LEFT(J99)&amp;LEFT(Cod_Gen6[[#This Row],[Cantidad unitaria]],2))</f>
        <v>CABASIN-1</v>
      </c>
      <c r="C99" s="86" t="s">
        <v>30</v>
      </c>
      <c r="D99" s="102" t="s">
        <v>461</v>
      </c>
      <c r="E99" s="86" t="s">
        <v>21</v>
      </c>
      <c r="F99" s="86"/>
      <c r="G99" s="117" t="s">
        <v>31</v>
      </c>
      <c r="H99" s="117">
        <v>1</v>
      </c>
      <c r="I99" s="87">
        <v>1</v>
      </c>
      <c r="J99" s="84" t="s">
        <v>487</v>
      </c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 spans="1:28" ht="15.75" customHeight="1" x14ac:dyDescent="0.2">
      <c r="A100" s="81">
        <v>99</v>
      </c>
      <c r="B100" s="82" t="str">
        <f>UPPER(LEFT(C100,2)&amp;LEFT(D100,2)&amp;LEFT(E100,3)&amp;LEFT(J100)&amp;LEFT(Cod_Gen6[[#This Row],[Cantidad unitaria]],2))</f>
        <v>CABABAU-1</v>
      </c>
      <c r="C100" s="82" t="s">
        <v>32</v>
      </c>
      <c r="D100" s="102" t="s">
        <v>461</v>
      </c>
      <c r="E100" s="82" t="s">
        <v>461</v>
      </c>
      <c r="F100" s="82"/>
      <c r="G100" s="116" t="s">
        <v>446</v>
      </c>
      <c r="H100" s="116">
        <v>1</v>
      </c>
      <c r="I100" s="83">
        <v>1</v>
      </c>
      <c r="J100" s="84" t="s">
        <v>487</v>
      </c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 spans="1:28" ht="15.75" customHeight="1" x14ac:dyDescent="0.2">
      <c r="A101" s="81">
        <v>100</v>
      </c>
      <c r="B101" s="82" t="str">
        <f>UPPER(LEFT(C101,2)&amp;LEFT(D101,2)&amp;LEFT(E101,3)&amp;LEFT(J101)&amp;LEFT(Cod_Gen6[[#This Row],[Cantidad unitaria]],2))</f>
        <v>CABABAU-1</v>
      </c>
      <c r="C101" s="86" t="s">
        <v>33</v>
      </c>
      <c r="D101" s="102" t="s">
        <v>461</v>
      </c>
      <c r="E101" s="82" t="s">
        <v>461</v>
      </c>
      <c r="F101" s="86"/>
      <c r="G101" s="117" t="s">
        <v>445</v>
      </c>
      <c r="H101" s="116">
        <v>1</v>
      </c>
      <c r="I101" s="87">
        <v>1</v>
      </c>
      <c r="J101" s="84" t="s">
        <v>487</v>
      </c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 spans="1:28" ht="15.75" customHeight="1" x14ac:dyDescent="0.2">
      <c r="A102" s="81">
        <v>101</v>
      </c>
      <c r="B102" s="82" t="str">
        <f>UPPER(LEFT(C102,2)&amp;LEFT(D102,2)&amp;LEFT(E102,3)&amp;LEFT(J102)&amp;LEFT(Cod_Gen6[[#This Row],[Cantidad unitaria]],2))</f>
        <v>CABABAU-1</v>
      </c>
      <c r="C102" s="82" t="s">
        <v>34</v>
      </c>
      <c r="D102" s="102" t="s">
        <v>461</v>
      </c>
      <c r="E102" s="82" t="s">
        <v>461</v>
      </c>
      <c r="F102" s="82"/>
      <c r="G102" s="117" t="s">
        <v>31</v>
      </c>
      <c r="H102" s="116">
        <v>1</v>
      </c>
      <c r="I102" s="83">
        <v>1</v>
      </c>
      <c r="J102" s="84" t="s">
        <v>487</v>
      </c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 spans="1:28" ht="15.75" customHeight="1" x14ac:dyDescent="0.2">
      <c r="A103" s="81">
        <v>102</v>
      </c>
      <c r="B103" s="82" t="str">
        <f>UPPER(LEFT(C103,2)&amp;LEFT(D103,2)&amp;LEFT(E103,3)&amp;LEFT(J103)&amp;LEFT(Cod_Gen6[[#This Row],[Cantidad unitaria]],2))</f>
        <v>CAELSIN-1</v>
      </c>
      <c r="C103" s="86" t="s">
        <v>35</v>
      </c>
      <c r="D103" s="86" t="s">
        <v>36</v>
      </c>
      <c r="E103" s="86" t="s">
        <v>21</v>
      </c>
      <c r="F103" s="86"/>
      <c r="G103" s="117" t="s">
        <v>485</v>
      </c>
      <c r="H103" s="116">
        <v>1</v>
      </c>
      <c r="I103" s="87">
        <v>1</v>
      </c>
      <c r="J103" s="84" t="s">
        <v>487</v>
      </c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 spans="1:28" ht="15.75" customHeight="1" x14ac:dyDescent="0.2">
      <c r="A104" s="81">
        <v>103</v>
      </c>
      <c r="B104" s="82" t="str">
        <f>UPPER(LEFT(C104,2)&amp;LEFT(D104,2)&amp;LEFT(E104,3)&amp;LEFT(J104)&amp;LEFT(Cod_Gen6[[#This Row],[Cantidad unitaria]],2))</f>
        <v>CAWEWEN-1</v>
      </c>
      <c r="C104" s="82" t="s">
        <v>37</v>
      </c>
      <c r="D104" s="82" t="s">
        <v>463</v>
      </c>
      <c r="E104" s="82" t="s">
        <v>463</v>
      </c>
      <c r="F104" s="82"/>
      <c r="G104" s="116" t="s">
        <v>445</v>
      </c>
      <c r="H104" s="116">
        <v>1</v>
      </c>
      <c r="I104" s="83">
        <v>1</v>
      </c>
      <c r="J104" s="84" t="s">
        <v>487</v>
      </c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90" t="s">
        <v>38</v>
      </c>
    </row>
    <row r="105" spans="1:28" ht="15.75" customHeight="1" x14ac:dyDescent="0.2">
      <c r="A105" s="81">
        <v>104</v>
      </c>
      <c r="B105" s="82" t="str">
        <f>UPPER(LEFT(C105,2)&amp;LEFT(D105,2)&amp;LEFT(E105,3)&amp;LEFT(J105)&amp;LEFT(Cod_Gen6[[#This Row],[Cantidad unitaria]],2))</f>
        <v>CAWEWEN-1</v>
      </c>
      <c r="C105" s="86" t="s">
        <v>39</v>
      </c>
      <c r="D105" s="86" t="s">
        <v>463</v>
      </c>
      <c r="E105" s="82" t="s">
        <v>463</v>
      </c>
      <c r="F105" s="86"/>
      <c r="G105" s="117" t="s">
        <v>445</v>
      </c>
      <c r="H105" s="116">
        <v>1</v>
      </c>
      <c r="I105" s="87">
        <v>1</v>
      </c>
      <c r="J105" s="84" t="s">
        <v>487</v>
      </c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 spans="1:28" ht="15.75" customHeight="1" x14ac:dyDescent="0.2">
      <c r="A106" s="81">
        <v>105</v>
      </c>
      <c r="B106" s="82" t="str">
        <f>UPPER(LEFT(C106,2)&amp;LEFT(D106,2)&amp;LEFT(E106,3)&amp;LEFT(J106)&amp;LEFT(Cod_Gen6[[#This Row],[Cantidad unitaria]],2))</f>
        <v>CAHASIN-1</v>
      </c>
      <c r="C106" s="82" t="s">
        <v>40</v>
      </c>
      <c r="D106" s="82" t="s">
        <v>41</v>
      </c>
      <c r="E106" s="82" t="s">
        <v>21</v>
      </c>
      <c r="F106" s="82"/>
      <c r="G106" s="121" t="s">
        <v>444</v>
      </c>
      <c r="H106" s="116">
        <v>1</v>
      </c>
      <c r="I106" s="83">
        <v>1</v>
      </c>
      <c r="J106" s="84" t="s">
        <v>487</v>
      </c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 spans="1:28" ht="15.75" customHeight="1" x14ac:dyDescent="0.2">
      <c r="A107" s="81">
        <v>106</v>
      </c>
      <c r="B107" s="82" t="str">
        <f>UPPER(LEFT(C107,2)&amp;LEFT(D107,2)&amp;LEFT(E107,3)&amp;LEFT(J107)&amp;LEFT(Cod_Gen6[[#This Row],[Cantidad unitaria]],2))</f>
        <v>CAGEN/A-1</v>
      </c>
      <c r="C107" s="86" t="s">
        <v>42</v>
      </c>
      <c r="D107" s="82" t="s">
        <v>20</v>
      </c>
      <c r="E107" s="86" t="s">
        <v>462</v>
      </c>
      <c r="F107" s="86"/>
      <c r="G107" s="121" t="s">
        <v>444</v>
      </c>
      <c r="H107" s="116">
        <v>1</v>
      </c>
      <c r="I107" s="87">
        <v>1</v>
      </c>
      <c r="J107" s="84" t="s">
        <v>487</v>
      </c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 spans="1:28" ht="15.75" customHeight="1" x14ac:dyDescent="0.2">
      <c r="A108" s="81">
        <v>107</v>
      </c>
      <c r="B108" s="82" t="str">
        <f>UPPER(LEFT(C108,2)&amp;LEFT(D108,2)&amp;LEFT(E108,3)&amp;LEFT(J108)&amp;LEFT(Cod_Gen6[[#This Row],[Cantidad unitaria]],2))</f>
        <v>CAPEPEL-1</v>
      </c>
      <c r="C108" s="82" t="s">
        <v>43</v>
      </c>
      <c r="D108" s="82" t="s">
        <v>464</v>
      </c>
      <c r="E108" s="82" t="s">
        <v>464</v>
      </c>
      <c r="F108" s="82"/>
      <c r="G108" s="117" t="s">
        <v>485</v>
      </c>
      <c r="H108" s="116">
        <v>1</v>
      </c>
      <c r="I108" s="83">
        <v>1</v>
      </c>
      <c r="J108" s="84" t="s">
        <v>487</v>
      </c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 spans="1:28" ht="15.75" customHeight="1" x14ac:dyDescent="0.2">
      <c r="A109" s="81">
        <v>108</v>
      </c>
      <c r="B109" s="82" t="str">
        <f>UPPER(LEFT(C109,2)&amp;LEFT(D109,2)&amp;LEFT(E109,3)&amp;LEFT(J109)&amp;LEFT(Cod_Gen6[[#This Row],[Cantidad unitaria]],2))</f>
        <v>CAROMJ5-1</v>
      </c>
      <c r="C109" s="86" t="s">
        <v>44</v>
      </c>
      <c r="D109" s="86" t="s">
        <v>57</v>
      </c>
      <c r="E109" s="82" t="s">
        <v>533</v>
      </c>
      <c r="F109" s="86"/>
      <c r="G109" s="117" t="s">
        <v>486</v>
      </c>
      <c r="H109" s="117">
        <v>1</v>
      </c>
      <c r="I109" s="87">
        <v>20</v>
      </c>
      <c r="J109" s="84" t="s">
        <v>487</v>
      </c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 spans="1:28" ht="15.75" customHeight="1" x14ac:dyDescent="0.2">
      <c r="A110" s="81">
        <v>109</v>
      </c>
      <c r="B110" s="82" t="str">
        <f>UPPER(LEFT(C110,2)&amp;LEFT(D110,2)&amp;LEFT(E110,3)&amp;LEFT(J110)&amp;LEFT(Cod_Gen6[[#This Row],[Cantidad unitaria]],2))</f>
        <v>CAROMJ5-2</v>
      </c>
      <c r="C110" s="86" t="s">
        <v>44</v>
      </c>
      <c r="D110" s="86" t="s">
        <v>57</v>
      </c>
      <c r="E110" s="82" t="s">
        <v>533</v>
      </c>
      <c r="F110" s="86"/>
      <c r="G110" s="117" t="s">
        <v>486</v>
      </c>
      <c r="H110" s="122">
        <v>2</v>
      </c>
      <c r="I110" s="107"/>
      <c r="J110" s="84" t="s">
        <v>487</v>
      </c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 spans="1:28" ht="15.75" customHeight="1" x14ac:dyDescent="0.2">
      <c r="A111" s="81">
        <v>110</v>
      </c>
      <c r="B111" s="82" t="str">
        <f>UPPER(LEFT(C111,2)&amp;LEFT(D111,2)&amp;LEFT(E111,3)&amp;LEFT(J111)&amp;LEFT(Cod_Gen6[[#This Row],[Cantidad unitaria]],2))</f>
        <v>CAROMJ5-3</v>
      </c>
      <c r="C111" s="86" t="s">
        <v>44</v>
      </c>
      <c r="D111" s="86" t="s">
        <v>57</v>
      </c>
      <c r="E111" s="82" t="s">
        <v>533</v>
      </c>
      <c r="F111" s="86"/>
      <c r="G111" s="117" t="s">
        <v>486</v>
      </c>
      <c r="H111" s="122">
        <v>3</v>
      </c>
      <c r="I111" s="107"/>
      <c r="J111" s="84" t="s">
        <v>487</v>
      </c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 spans="1:28" ht="15.75" customHeight="1" x14ac:dyDescent="0.2">
      <c r="A112" s="81">
        <v>111</v>
      </c>
      <c r="B112" s="82" t="str">
        <f>UPPER(LEFT(C112,2)&amp;LEFT(D112,2)&amp;LEFT(E112,3)&amp;LEFT(J112)&amp;LEFT(Cod_Gen6[[#This Row],[Cantidad unitaria]],2))</f>
        <v>CAROMJ5-4</v>
      </c>
      <c r="C112" s="86" t="s">
        <v>44</v>
      </c>
      <c r="D112" s="86" t="s">
        <v>57</v>
      </c>
      <c r="E112" s="82" t="s">
        <v>533</v>
      </c>
      <c r="F112" s="86"/>
      <c r="G112" s="117" t="s">
        <v>486</v>
      </c>
      <c r="H112" s="117">
        <v>4</v>
      </c>
      <c r="I112" s="107"/>
      <c r="J112" s="84" t="s">
        <v>487</v>
      </c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 spans="1:28" ht="15.75" customHeight="1" x14ac:dyDescent="0.2">
      <c r="A113" s="81">
        <v>112</v>
      </c>
      <c r="B113" s="82" t="str">
        <f>UPPER(LEFT(C113,2)&amp;LEFT(D113,2)&amp;LEFT(E113,3)&amp;LEFT(J113)&amp;LEFT(Cod_Gen6[[#This Row],[Cantidad unitaria]],2))</f>
        <v>CAROMJ5-5</v>
      </c>
      <c r="C113" s="86" t="s">
        <v>44</v>
      </c>
      <c r="D113" s="86" t="s">
        <v>57</v>
      </c>
      <c r="E113" s="82" t="s">
        <v>533</v>
      </c>
      <c r="F113" s="86"/>
      <c r="G113" s="117" t="s">
        <v>486</v>
      </c>
      <c r="H113" s="122">
        <v>5</v>
      </c>
      <c r="I113" s="107"/>
      <c r="J113" s="84" t="s">
        <v>487</v>
      </c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 spans="1:28" ht="15.75" customHeight="1" x14ac:dyDescent="0.2">
      <c r="A114" s="81">
        <v>113</v>
      </c>
      <c r="B114" s="82" t="str">
        <f>UPPER(LEFT(C114,2)&amp;LEFT(D114,2)&amp;LEFT(E114,3)&amp;LEFT(J114)&amp;LEFT(Cod_Gen6[[#This Row],[Cantidad unitaria]],2))</f>
        <v>CAROMJ5-6</v>
      </c>
      <c r="C114" s="86" t="s">
        <v>44</v>
      </c>
      <c r="D114" s="86" t="s">
        <v>57</v>
      </c>
      <c r="E114" s="82" t="s">
        <v>533</v>
      </c>
      <c r="F114" s="86"/>
      <c r="G114" s="117" t="s">
        <v>486</v>
      </c>
      <c r="H114" s="122">
        <v>6</v>
      </c>
      <c r="I114" s="107"/>
      <c r="J114" s="84" t="s">
        <v>487</v>
      </c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 spans="1:28" ht="15.75" customHeight="1" x14ac:dyDescent="0.2">
      <c r="A115" s="81">
        <v>114</v>
      </c>
      <c r="B115" s="82" t="str">
        <f>UPPER(LEFT(C115,2)&amp;LEFT(D115,2)&amp;LEFT(E115,3)&amp;LEFT(J115)&amp;LEFT(Cod_Gen6[[#This Row],[Cantidad unitaria]],2))</f>
        <v>CAROMJ5-7</v>
      </c>
      <c r="C115" s="86" t="s">
        <v>44</v>
      </c>
      <c r="D115" s="86" t="s">
        <v>57</v>
      </c>
      <c r="E115" s="82" t="s">
        <v>533</v>
      </c>
      <c r="F115" s="86"/>
      <c r="G115" s="117" t="s">
        <v>486</v>
      </c>
      <c r="H115" s="117">
        <v>7</v>
      </c>
      <c r="I115" s="107"/>
      <c r="J115" s="84" t="s">
        <v>487</v>
      </c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 spans="1:28" ht="15.75" customHeight="1" x14ac:dyDescent="0.2">
      <c r="A116" s="81">
        <v>115</v>
      </c>
      <c r="B116" s="82" t="str">
        <f>UPPER(LEFT(C116,2)&amp;LEFT(D116,2)&amp;LEFT(E116,3)&amp;LEFT(J116)&amp;LEFT(Cod_Gen6[[#This Row],[Cantidad unitaria]],2))</f>
        <v>CAROMJ5-8</v>
      </c>
      <c r="C116" s="86" t="s">
        <v>44</v>
      </c>
      <c r="D116" s="86" t="s">
        <v>57</v>
      </c>
      <c r="E116" s="82" t="s">
        <v>533</v>
      </c>
      <c r="F116" s="86"/>
      <c r="G116" s="117" t="s">
        <v>486</v>
      </c>
      <c r="H116" s="122">
        <v>8</v>
      </c>
      <c r="I116" s="107"/>
      <c r="J116" s="84" t="s">
        <v>487</v>
      </c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 spans="1:28" ht="15.75" customHeight="1" x14ac:dyDescent="0.2">
      <c r="A117" s="81">
        <v>116</v>
      </c>
      <c r="B117" s="82" t="str">
        <f>UPPER(LEFT(C117,2)&amp;LEFT(D117,2)&amp;LEFT(E117,3)&amp;LEFT(J117)&amp;LEFT(Cod_Gen6[[#This Row],[Cantidad unitaria]],2))</f>
        <v>CAROMJ5-9</v>
      </c>
      <c r="C117" s="86" t="s">
        <v>44</v>
      </c>
      <c r="D117" s="86" t="s">
        <v>57</v>
      </c>
      <c r="E117" s="82" t="s">
        <v>533</v>
      </c>
      <c r="F117" s="86"/>
      <c r="G117" s="117" t="s">
        <v>486</v>
      </c>
      <c r="H117" s="122">
        <v>9</v>
      </c>
      <c r="I117" s="107"/>
      <c r="J117" s="84" t="s">
        <v>487</v>
      </c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 spans="1:28" ht="15.75" customHeight="1" x14ac:dyDescent="0.2">
      <c r="A118" s="81">
        <v>117</v>
      </c>
      <c r="B118" s="82" t="str">
        <f>UPPER(LEFT(C118,2)&amp;LEFT(D118,2)&amp;LEFT(E118,3)&amp;LEFT(J118)&amp;LEFT(Cod_Gen6[[#This Row],[Cantidad unitaria]],2))</f>
        <v>CAROMJ5-10</v>
      </c>
      <c r="C118" s="86" t="s">
        <v>44</v>
      </c>
      <c r="D118" s="86" t="s">
        <v>57</v>
      </c>
      <c r="E118" s="82" t="s">
        <v>533</v>
      </c>
      <c r="F118" s="86"/>
      <c r="G118" s="117" t="s">
        <v>486</v>
      </c>
      <c r="H118" s="117">
        <v>10</v>
      </c>
      <c r="I118" s="107"/>
      <c r="J118" s="84" t="s">
        <v>487</v>
      </c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 spans="1:28" ht="15.75" customHeight="1" x14ac:dyDescent="0.2">
      <c r="A119" s="81">
        <v>118</v>
      </c>
      <c r="B119" s="82" t="str">
        <f>UPPER(LEFT(C119,2)&amp;LEFT(D119,2)&amp;LEFT(E119,3)&amp;LEFT(J119)&amp;LEFT(Cod_Gen6[[#This Row],[Cantidad unitaria]],2))</f>
        <v>CAROMJ5-11</v>
      </c>
      <c r="C119" s="86" t="s">
        <v>44</v>
      </c>
      <c r="D119" s="86" t="s">
        <v>57</v>
      </c>
      <c r="E119" s="82" t="s">
        <v>533</v>
      </c>
      <c r="F119" s="86"/>
      <c r="G119" s="117" t="s">
        <v>486</v>
      </c>
      <c r="H119" s="122">
        <v>11</v>
      </c>
      <c r="I119" s="107"/>
      <c r="J119" s="84" t="s">
        <v>487</v>
      </c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 spans="1:28" ht="15.75" customHeight="1" x14ac:dyDescent="0.2">
      <c r="A120" s="81">
        <v>119</v>
      </c>
      <c r="B120" s="82" t="str">
        <f>UPPER(LEFT(C120,2)&amp;LEFT(D120,2)&amp;LEFT(E120,3)&amp;LEFT(J120)&amp;LEFT(Cod_Gen6[[#This Row],[Cantidad unitaria]],2))</f>
        <v>CAROMJ5-12</v>
      </c>
      <c r="C120" s="86" t="s">
        <v>44</v>
      </c>
      <c r="D120" s="86" t="s">
        <v>57</v>
      </c>
      <c r="E120" s="82" t="s">
        <v>533</v>
      </c>
      <c r="F120" s="86"/>
      <c r="G120" s="117" t="s">
        <v>486</v>
      </c>
      <c r="H120" s="122">
        <v>12</v>
      </c>
      <c r="I120" s="107"/>
      <c r="J120" s="84" t="s">
        <v>487</v>
      </c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 spans="1:28" ht="15.75" customHeight="1" x14ac:dyDescent="0.2">
      <c r="A121" s="81">
        <v>120</v>
      </c>
      <c r="B121" s="82" t="str">
        <f>UPPER(LEFT(C121,2)&amp;LEFT(D121,2)&amp;LEFT(E121,3)&amp;LEFT(J121)&amp;LEFT(Cod_Gen6[[#This Row],[Cantidad unitaria]],2))</f>
        <v>CAROMJ5-13</v>
      </c>
      <c r="C121" s="86" t="s">
        <v>44</v>
      </c>
      <c r="D121" s="86" t="s">
        <v>57</v>
      </c>
      <c r="E121" s="82" t="s">
        <v>533</v>
      </c>
      <c r="F121" s="86"/>
      <c r="G121" s="117" t="s">
        <v>486</v>
      </c>
      <c r="H121" s="117">
        <v>13</v>
      </c>
      <c r="I121" s="107"/>
      <c r="J121" s="84" t="s">
        <v>487</v>
      </c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 spans="1:28" ht="15.75" customHeight="1" x14ac:dyDescent="0.2">
      <c r="A122" s="81">
        <v>121</v>
      </c>
      <c r="B122" s="82" t="str">
        <f>UPPER(LEFT(C122,2)&amp;LEFT(D122,2)&amp;LEFT(E122,3)&amp;LEFT(J122)&amp;LEFT(Cod_Gen6[[#This Row],[Cantidad unitaria]],2))</f>
        <v>CAROMJ5-14</v>
      </c>
      <c r="C122" s="86" t="s">
        <v>44</v>
      </c>
      <c r="D122" s="86" t="s">
        <v>57</v>
      </c>
      <c r="E122" s="82" t="s">
        <v>533</v>
      </c>
      <c r="F122" s="86"/>
      <c r="G122" s="117" t="s">
        <v>486</v>
      </c>
      <c r="H122" s="122">
        <v>14</v>
      </c>
      <c r="I122" s="107"/>
      <c r="J122" s="84" t="s">
        <v>487</v>
      </c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 spans="1:28" ht="15.75" customHeight="1" x14ac:dyDescent="0.2">
      <c r="A123" s="81">
        <v>122</v>
      </c>
      <c r="B123" s="82" t="str">
        <f>UPPER(LEFT(C123,2)&amp;LEFT(D123,2)&amp;LEFT(E123,3)&amp;LEFT(J123)&amp;LEFT(Cod_Gen6[[#This Row],[Cantidad unitaria]],2))</f>
        <v>CAROMJ5-15</v>
      </c>
      <c r="C123" s="86" t="s">
        <v>44</v>
      </c>
      <c r="D123" s="86" t="s">
        <v>57</v>
      </c>
      <c r="E123" s="82" t="s">
        <v>533</v>
      </c>
      <c r="F123" s="86"/>
      <c r="G123" s="117" t="s">
        <v>486</v>
      </c>
      <c r="H123" s="122">
        <v>15</v>
      </c>
      <c r="I123" s="107"/>
      <c r="J123" s="84" t="s">
        <v>487</v>
      </c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 spans="1:28" ht="15.75" customHeight="1" x14ac:dyDescent="0.2">
      <c r="A124" s="81">
        <v>123</v>
      </c>
      <c r="B124" s="82" t="str">
        <f>UPPER(LEFT(C124,2)&amp;LEFT(D124,2)&amp;LEFT(E124,3)&amp;LEFT(J124)&amp;LEFT(Cod_Gen6[[#This Row],[Cantidad unitaria]],2))</f>
        <v>CAROMJ5-16</v>
      </c>
      <c r="C124" s="86" t="s">
        <v>44</v>
      </c>
      <c r="D124" s="86" t="s">
        <v>57</v>
      </c>
      <c r="E124" s="82" t="s">
        <v>533</v>
      </c>
      <c r="F124" s="86"/>
      <c r="G124" s="117" t="s">
        <v>486</v>
      </c>
      <c r="H124" s="117">
        <v>16</v>
      </c>
      <c r="I124" s="107"/>
      <c r="J124" s="84" t="s">
        <v>487</v>
      </c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 spans="1:28" ht="15.75" customHeight="1" x14ac:dyDescent="0.2">
      <c r="A125" s="81">
        <v>124</v>
      </c>
      <c r="B125" s="82" t="str">
        <f>UPPER(LEFT(C125,2)&amp;LEFT(D125,2)&amp;LEFT(E125,3)&amp;LEFT(J125)&amp;LEFT(Cod_Gen6[[#This Row],[Cantidad unitaria]],2))</f>
        <v>CAROMJ5-17</v>
      </c>
      <c r="C125" s="86" t="s">
        <v>44</v>
      </c>
      <c r="D125" s="86" t="s">
        <v>57</v>
      </c>
      <c r="E125" s="82" t="s">
        <v>533</v>
      </c>
      <c r="F125" s="86"/>
      <c r="G125" s="117" t="s">
        <v>486</v>
      </c>
      <c r="H125" s="122">
        <v>17</v>
      </c>
      <c r="I125" s="107"/>
      <c r="J125" s="84" t="s">
        <v>487</v>
      </c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 spans="1:28" ht="15.75" customHeight="1" x14ac:dyDescent="0.2">
      <c r="A126" s="81">
        <v>125</v>
      </c>
      <c r="B126" s="82" t="str">
        <f>UPPER(LEFT(C126,2)&amp;LEFT(D126,2)&amp;LEFT(E126,3)&amp;LEFT(J126)&amp;LEFT(Cod_Gen6[[#This Row],[Cantidad unitaria]],2))</f>
        <v>CAROMJ5-18</v>
      </c>
      <c r="C126" s="86" t="s">
        <v>44</v>
      </c>
      <c r="D126" s="86" t="s">
        <v>57</v>
      </c>
      <c r="E126" s="82" t="s">
        <v>533</v>
      </c>
      <c r="F126" s="86"/>
      <c r="G126" s="117" t="s">
        <v>486</v>
      </c>
      <c r="H126" s="122">
        <v>18</v>
      </c>
      <c r="I126" s="107"/>
      <c r="J126" s="84" t="s">
        <v>487</v>
      </c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 spans="1:28" ht="15.75" customHeight="1" x14ac:dyDescent="0.2">
      <c r="A127" s="81">
        <v>126</v>
      </c>
      <c r="B127" s="82" t="str">
        <f>UPPER(LEFT(C127,2)&amp;LEFT(D127,2)&amp;LEFT(E127,3)&amp;LEFT(J127)&amp;LEFT(Cod_Gen6[[#This Row],[Cantidad unitaria]],2))</f>
        <v>CAROMJ5-19</v>
      </c>
      <c r="C127" s="86" t="s">
        <v>44</v>
      </c>
      <c r="D127" s="86" t="s">
        <v>57</v>
      </c>
      <c r="E127" s="82" t="s">
        <v>533</v>
      </c>
      <c r="F127" s="86"/>
      <c r="G127" s="117" t="s">
        <v>486</v>
      </c>
      <c r="H127" s="117">
        <v>19</v>
      </c>
      <c r="I127" s="107"/>
      <c r="J127" s="84" t="s">
        <v>487</v>
      </c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 spans="1:28" ht="15.75" customHeight="1" x14ac:dyDescent="0.2">
      <c r="A128" s="81">
        <v>127</v>
      </c>
      <c r="B128" s="82" t="str">
        <f>UPPER(LEFT(C128,2)&amp;LEFT(D128,2)&amp;LEFT(E128,3)&amp;LEFT(J128)&amp;LEFT(Cod_Gen6[[#This Row],[Cantidad unitaria]],2))</f>
        <v>CAROMJ5-20</v>
      </c>
      <c r="C128" s="86" t="s">
        <v>44</v>
      </c>
      <c r="D128" s="86" t="s">
        <v>57</v>
      </c>
      <c r="E128" s="82" t="s">
        <v>533</v>
      </c>
      <c r="F128" s="86"/>
      <c r="G128" s="117" t="s">
        <v>486</v>
      </c>
      <c r="H128" s="122">
        <v>20</v>
      </c>
      <c r="I128" s="107"/>
      <c r="J128" s="84" t="s">
        <v>487</v>
      </c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 spans="1:28" ht="15.75" customHeight="1" x14ac:dyDescent="0.2">
      <c r="A129" s="81">
        <v>128</v>
      </c>
      <c r="B129" s="82" t="str">
        <f>UPPER(LEFT(C129,2)&amp;LEFT(D129,2)&amp;LEFT(E129,3)&amp;LEFT(J129)&amp;LEFT(Cod_Gen6[[#This Row],[Cantidad unitaria]],2))</f>
        <v>CAROMJ5-21</v>
      </c>
      <c r="C129" s="86" t="s">
        <v>44</v>
      </c>
      <c r="D129" s="86" t="s">
        <v>57</v>
      </c>
      <c r="E129" s="82" t="s">
        <v>533</v>
      </c>
      <c r="F129" s="86"/>
      <c r="G129" s="117" t="s">
        <v>486</v>
      </c>
      <c r="H129" s="122">
        <v>21</v>
      </c>
      <c r="I129" s="107"/>
      <c r="J129" s="84" t="s">
        <v>487</v>
      </c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 spans="1:28" ht="15.75" customHeight="1" x14ac:dyDescent="0.2">
      <c r="A130" s="81">
        <v>129</v>
      </c>
      <c r="B130" s="82" t="str">
        <f>UPPER(LEFT(C130,2)&amp;LEFT(D130,2)&amp;LEFT(E130,3)&amp;LEFT(J130)&amp;LEFT(Cod_Gen6[[#This Row],[Cantidad unitaria]],2))</f>
        <v>CAPISIL-1</v>
      </c>
      <c r="C130" s="82" t="s">
        <v>45</v>
      </c>
      <c r="D130" s="82" t="s">
        <v>46</v>
      </c>
      <c r="E130" s="82" t="s">
        <v>465</v>
      </c>
      <c r="F130" s="82"/>
      <c r="G130" s="116" t="s">
        <v>445</v>
      </c>
      <c r="H130" s="116">
        <v>1</v>
      </c>
      <c r="I130" s="83">
        <v>1</v>
      </c>
      <c r="J130" s="84" t="s">
        <v>487</v>
      </c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 spans="1:28" ht="15.75" customHeight="1" x14ac:dyDescent="0.2">
      <c r="A131" s="81">
        <v>130</v>
      </c>
      <c r="B131" s="82" t="str">
        <f>UPPER(LEFT(C131,2)&amp;LEFT(D131,2)&amp;LEFT(E131,3)&amp;LEFT(J131)&amp;LEFT(Cod_Gen6[[#This Row],[Cantidad unitaria]],2))</f>
        <v>CAWEWEN-1</v>
      </c>
      <c r="C131" s="86" t="s">
        <v>47</v>
      </c>
      <c r="D131" s="82" t="s">
        <v>463</v>
      </c>
      <c r="E131" s="82" t="s">
        <v>463</v>
      </c>
      <c r="F131" s="86"/>
      <c r="G131" s="117" t="s">
        <v>446</v>
      </c>
      <c r="H131" s="116">
        <v>1</v>
      </c>
      <c r="I131" s="87">
        <v>1</v>
      </c>
      <c r="J131" s="84" t="s">
        <v>487</v>
      </c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 spans="1:28" ht="15.75" customHeight="1" x14ac:dyDescent="0.2">
      <c r="A132" s="81">
        <v>131</v>
      </c>
      <c r="B132" s="82" t="str">
        <f>UPPER(LEFT(C132,2)&amp;LEFT(D132,2)&amp;LEFT(E132,3)&amp;LEFT(J132)&amp;LEFT(Cod_Gen6[[#This Row],[Cantidad unitaria]],2))</f>
        <v>CAPEPEL-1</v>
      </c>
      <c r="C132" s="82" t="s">
        <v>48</v>
      </c>
      <c r="D132" s="82" t="s">
        <v>464</v>
      </c>
      <c r="E132" s="82" t="s">
        <v>464</v>
      </c>
      <c r="F132" s="82"/>
      <c r="G132" s="116" t="s">
        <v>444</v>
      </c>
      <c r="H132" s="116">
        <v>1</v>
      </c>
      <c r="I132" s="83">
        <v>1</v>
      </c>
      <c r="J132" s="84" t="s">
        <v>487</v>
      </c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 spans="1:28" ht="15.75" customHeight="1" x14ac:dyDescent="0.2">
      <c r="A133" s="81">
        <v>132</v>
      </c>
      <c r="B133" s="82" t="str">
        <f>UPPER(LEFT(C133,2)&amp;LEFT(D133,2)&amp;LEFT(E133,3)&amp;LEFT(J133)&amp;LEFT(Cod_Gen6[[#This Row],[Cantidad unitaria]],2))</f>
        <v>CAWEWEN-1</v>
      </c>
      <c r="C133" s="86" t="s">
        <v>49</v>
      </c>
      <c r="D133" s="86" t="s">
        <v>463</v>
      </c>
      <c r="E133" s="86" t="s">
        <v>463</v>
      </c>
      <c r="F133" s="86"/>
      <c r="G133" s="117" t="s">
        <v>485</v>
      </c>
      <c r="H133" s="116">
        <v>1</v>
      </c>
      <c r="I133" s="87">
        <v>1</v>
      </c>
      <c r="J133" s="84" t="s">
        <v>487</v>
      </c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 spans="1:28" ht="15.75" customHeight="1" x14ac:dyDescent="0.2">
      <c r="A134" s="81">
        <v>133</v>
      </c>
      <c r="B134" s="82" t="str">
        <f>UPPER(LEFT(C134,2)&amp;LEFT(D134,2)&amp;LEFT(E134,3)&amp;LEFT(J134)&amp;LEFT(Cod_Gen6[[#This Row],[Cantidad unitaria]],2))</f>
        <v>CAPEPEL-1</v>
      </c>
      <c r="C134" s="82" t="s">
        <v>470</v>
      </c>
      <c r="D134" s="82" t="s">
        <v>464</v>
      </c>
      <c r="E134" s="82" t="s">
        <v>464</v>
      </c>
      <c r="F134" s="82"/>
      <c r="G134" s="116" t="s">
        <v>444</v>
      </c>
      <c r="H134" s="116">
        <v>1</v>
      </c>
      <c r="I134" s="83">
        <v>1</v>
      </c>
      <c r="J134" s="84" t="s">
        <v>487</v>
      </c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 spans="1:28" ht="15.75" customHeight="1" x14ac:dyDescent="0.2">
      <c r="A135" s="81">
        <v>134</v>
      </c>
      <c r="B135" s="82" t="str">
        <f>UPPER(LEFT(C135,2)&amp;LEFT(D135,2)&amp;LEFT(E135,3)&amp;LEFT(J135)&amp;LEFT(Cod_Gen6[[#This Row],[Cantidad unitaria]],2))</f>
        <v>MTMAMTO-1</v>
      </c>
      <c r="C135" s="106" t="s">
        <v>51</v>
      </c>
      <c r="D135" s="106" t="s">
        <v>50</v>
      </c>
      <c r="E135" s="106" t="s">
        <v>51</v>
      </c>
      <c r="F135" s="106"/>
      <c r="G135" s="106" t="s">
        <v>444</v>
      </c>
      <c r="H135" s="116">
        <v>1</v>
      </c>
      <c r="I135" s="107">
        <v>1</v>
      </c>
      <c r="J135" s="84" t="s">
        <v>487</v>
      </c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 spans="1:28" ht="15.75" customHeight="1" x14ac:dyDescent="0.2">
      <c r="A136" s="81">
        <v>135</v>
      </c>
      <c r="B136" s="82" t="str">
        <f>UPPER(LEFT(C136,2)&amp;LEFT(D136,2)&amp;LEFT(E136,3)&amp;LEFT(J136)&amp;LEFT(Cod_Gen6[[#This Row],[Cantidad unitaria]],2))</f>
        <v>CAMAMAC-1</v>
      </c>
      <c r="C136" s="86" t="s">
        <v>52</v>
      </c>
      <c r="D136" s="86" t="s">
        <v>50</v>
      </c>
      <c r="E136" s="86" t="s">
        <v>53</v>
      </c>
      <c r="F136" s="86"/>
      <c r="G136" s="117" t="s">
        <v>444</v>
      </c>
      <c r="H136" s="117">
        <v>1</v>
      </c>
      <c r="I136" s="87">
        <v>4</v>
      </c>
      <c r="J136" s="84" t="s">
        <v>487</v>
      </c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 spans="1:28" ht="15.75" customHeight="1" x14ac:dyDescent="0.2">
      <c r="A137" s="81">
        <v>136</v>
      </c>
      <c r="B137" s="82" t="str">
        <f>UPPER(LEFT(C137,2)&amp;LEFT(D137,2)&amp;LEFT(E137,3)&amp;LEFT(J137)&amp;LEFT(Cod_Gen6[[#This Row],[Cantidad unitaria]],2))</f>
        <v>CAMAMAC-2</v>
      </c>
      <c r="C137" s="86" t="s">
        <v>52</v>
      </c>
      <c r="D137" s="86" t="s">
        <v>50</v>
      </c>
      <c r="E137" s="86" t="s">
        <v>53</v>
      </c>
      <c r="F137" s="86"/>
      <c r="G137" s="117" t="s">
        <v>444</v>
      </c>
      <c r="H137" s="122">
        <v>2</v>
      </c>
      <c r="I137" s="107"/>
      <c r="J137" s="84" t="s">
        <v>487</v>
      </c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 spans="1:28" ht="15.75" customHeight="1" x14ac:dyDescent="0.2">
      <c r="A138" s="81">
        <v>137</v>
      </c>
      <c r="B138" s="82" t="str">
        <f>UPPER(LEFT(C138,2)&amp;LEFT(D138,2)&amp;LEFT(E138,3)&amp;LEFT(J138)&amp;LEFT(Cod_Gen6[[#This Row],[Cantidad unitaria]],2))</f>
        <v>CAMAMAC-3</v>
      </c>
      <c r="C138" s="86" t="s">
        <v>52</v>
      </c>
      <c r="D138" s="86" t="s">
        <v>50</v>
      </c>
      <c r="E138" s="86" t="s">
        <v>53</v>
      </c>
      <c r="F138" s="86"/>
      <c r="G138" s="117" t="s">
        <v>444</v>
      </c>
      <c r="H138" s="122">
        <v>3</v>
      </c>
      <c r="I138" s="107"/>
      <c r="J138" s="84" t="s">
        <v>487</v>
      </c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 spans="1:28" ht="15.75" customHeight="1" x14ac:dyDescent="0.2">
      <c r="A139" s="81">
        <v>138</v>
      </c>
      <c r="B139" s="82" t="str">
        <f>UPPER(LEFT(C139,2)&amp;LEFT(D139,2)&amp;LEFT(E139,3)&amp;LEFT(J139)&amp;LEFT(Cod_Gen6[[#This Row],[Cantidad unitaria]],2))</f>
        <v>CAMAMAC-4</v>
      </c>
      <c r="C139" s="86" t="s">
        <v>52</v>
      </c>
      <c r="D139" s="86" t="s">
        <v>50</v>
      </c>
      <c r="E139" s="86" t="s">
        <v>53</v>
      </c>
      <c r="F139" s="86"/>
      <c r="G139" s="117" t="s">
        <v>444</v>
      </c>
      <c r="H139" s="122">
        <v>4</v>
      </c>
      <c r="I139" s="107"/>
      <c r="J139" s="84" t="s">
        <v>487</v>
      </c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 spans="1:28" ht="15.75" customHeight="1" x14ac:dyDescent="0.2">
      <c r="A140" s="81">
        <v>139</v>
      </c>
      <c r="B140" s="82" t="str">
        <f>UPPER(LEFT(C140,2)&amp;LEFT(D140,2)&amp;LEFT(E140,3)&amp;LEFT(J140)&amp;LEFT(Cod_Gen6[[#This Row],[Cantidad unitaria]],2))</f>
        <v>CAROMJ5-1</v>
      </c>
      <c r="C140" s="82" t="s">
        <v>54</v>
      </c>
      <c r="D140" s="86" t="s">
        <v>57</v>
      </c>
      <c r="E140" s="82" t="s">
        <v>533</v>
      </c>
      <c r="F140" s="82"/>
      <c r="G140" s="116" t="s">
        <v>445</v>
      </c>
      <c r="H140" s="116">
        <v>1</v>
      </c>
      <c r="I140" s="83">
        <v>1</v>
      </c>
      <c r="J140" s="84" t="s">
        <v>487</v>
      </c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 spans="1:28" ht="15.75" customHeight="1" x14ac:dyDescent="0.2">
      <c r="A141" s="81">
        <v>140</v>
      </c>
      <c r="B141" s="82" t="str">
        <f>UPPER(LEFT(C141,2)&amp;LEFT(D141,2)&amp;LEFT(E141,3)&amp;LEFT(J141)&amp;LEFT(Cod_Gen6[[#This Row],[Cantidad unitaria]],2))</f>
        <v>CAROROB-1</v>
      </c>
      <c r="C141" s="86" t="s">
        <v>56</v>
      </c>
      <c r="D141" s="86" t="s">
        <v>57</v>
      </c>
      <c r="E141" s="86" t="s">
        <v>57</v>
      </c>
      <c r="F141" s="86"/>
      <c r="G141" s="117" t="s">
        <v>444</v>
      </c>
      <c r="H141" s="117">
        <v>1</v>
      </c>
      <c r="I141" s="87">
        <v>2</v>
      </c>
      <c r="J141" s="84" t="s">
        <v>487</v>
      </c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 spans="1:28" ht="15.75" customHeight="1" x14ac:dyDescent="0.2">
      <c r="A142" s="81">
        <v>141</v>
      </c>
      <c r="B142" s="82" t="str">
        <f>UPPER(LEFT(C142,2)&amp;LEFT(D142,2)&amp;LEFT(E142,3)&amp;LEFT(J142)&amp;LEFT(Cod_Gen6[[#This Row],[Cantidad unitaria]],2))</f>
        <v>CAROROB-2</v>
      </c>
      <c r="C142" s="86" t="s">
        <v>56</v>
      </c>
      <c r="D142" s="86" t="s">
        <v>57</v>
      </c>
      <c r="E142" s="86" t="s">
        <v>57</v>
      </c>
      <c r="F142" s="86"/>
      <c r="G142" s="117" t="s">
        <v>444</v>
      </c>
      <c r="H142" s="122">
        <v>2</v>
      </c>
      <c r="I142" s="107"/>
      <c r="J142" s="84" t="s">
        <v>487</v>
      </c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 spans="1:28" ht="15.75" customHeight="1" x14ac:dyDescent="0.2">
      <c r="A143" s="81">
        <v>142</v>
      </c>
      <c r="B143" s="82" t="str">
        <f>UPPER(LEFT(C143,2)&amp;LEFT(D143,2)&amp;LEFT(E143,3)&amp;LEFT(J143)&amp;LEFT(Cod_Gen6[[#This Row],[Cantidad unitaria]],2))</f>
        <v>CASA90W-1</v>
      </c>
      <c r="C143" s="82" t="s">
        <v>58</v>
      </c>
      <c r="D143" s="82" t="s">
        <v>23</v>
      </c>
      <c r="E143" s="82" t="s">
        <v>59</v>
      </c>
      <c r="F143" s="82"/>
      <c r="G143" s="116" t="s">
        <v>444</v>
      </c>
      <c r="H143" s="116">
        <v>1</v>
      </c>
      <c r="I143" s="83">
        <v>6</v>
      </c>
      <c r="J143" s="84" t="s">
        <v>487</v>
      </c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 spans="1:28" ht="15.75" customHeight="1" x14ac:dyDescent="0.2">
      <c r="A144" s="81">
        <v>143</v>
      </c>
      <c r="B144" s="82" t="str">
        <f>UPPER(LEFT(C144,2)&amp;LEFT(D144,2)&amp;LEFT(E144,3)&amp;LEFT(J144)&amp;LEFT(Cod_Gen6[[#This Row],[Cantidad unitaria]],2))</f>
        <v>CASA90W-2</v>
      </c>
      <c r="C144" s="82" t="s">
        <v>58</v>
      </c>
      <c r="D144" s="82" t="s">
        <v>23</v>
      </c>
      <c r="E144" s="82" t="s">
        <v>59</v>
      </c>
      <c r="F144" s="82"/>
      <c r="G144" s="116" t="s">
        <v>444</v>
      </c>
      <c r="H144" s="122">
        <v>2</v>
      </c>
      <c r="I144" s="107"/>
      <c r="J144" s="84" t="s">
        <v>487</v>
      </c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 spans="1:28" ht="15.75" customHeight="1" x14ac:dyDescent="0.2">
      <c r="A145" s="81">
        <v>144</v>
      </c>
      <c r="B145" s="82" t="str">
        <f>UPPER(LEFT(C145,2)&amp;LEFT(D145,2)&amp;LEFT(E145,3)&amp;LEFT(J145)&amp;LEFT(Cod_Gen6[[#This Row],[Cantidad unitaria]],2))</f>
        <v>CASA90W-3</v>
      </c>
      <c r="C145" s="82" t="s">
        <v>58</v>
      </c>
      <c r="D145" s="82" t="s">
        <v>23</v>
      </c>
      <c r="E145" s="82" t="s">
        <v>59</v>
      </c>
      <c r="F145" s="82"/>
      <c r="G145" s="116" t="s">
        <v>444</v>
      </c>
      <c r="H145" s="122">
        <v>3</v>
      </c>
      <c r="I145" s="107"/>
      <c r="J145" s="84" t="s">
        <v>487</v>
      </c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 spans="1:28" ht="15.75" customHeight="1" x14ac:dyDescent="0.2">
      <c r="A146" s="81">
        <v>145</v>
      </c>
      <c r="B146" s="82" t="str">
        <f>UPPER(LEFT(C146,2)&amp;LEFT(D146,2)&amp;LEFT(E146,3)&amp;LEFT(J146)&amp;LEFT(Cod_Gen6[[#This Row],[Cantidad unitaria]],2))</f>
        <v>CASA90W-4</v>
      </c>
      <c r="C146" s="82" t="s">
        <v>58</v>
      </c>
      <c r="D146" s="82" t="s">
        <v>23</v>
      </c>
      <c r="E146" s="82" t="s">
        <v>59</v>
      </c>
      <c r="F146" s="82"/>
      <c r="G146" s="116" t="s">
        <v>444</v>
      </c>
      <c r="H146" s="122">
        <v>4</v>
      </c>
      <c r="I146" s="107"/>
      <c r="J146" s="84" t="s">
        <v>487</v>
      </c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 spans="1:28" ht="15.75" customHeight="1" x14ac:dyDescent="0.2">
      <c r="A147" s="81">
        <v>146</v>
      </c>
      <c r="B147" s="82" t="str">
        <f>UPPER(LEFT(C147,2)&amp;LEFT(D147,2)&amp;LEFT(E147,3)&amp;LEFT(J147)&amp;LEFT(Cod_Gen6[[#This Row],[Cantidad unitaria]],2))</f>
        <v>CASA90W-5</v>
      </c>
      <c r="C147" s="82" t="s">
        <v>58</v>
      </c>
      <c r="D147" s="82" t="s">
        <v>23</v>
      </c>
      <c r="E147" s="82" t="s">
        <v>59</v>
      </c>
      <c r="F147" s="82"/>
      <c r="G147" s="116" t="s">
        <v>444</v>
      </c>
      <c r="H147" s="122">
        <v>5</v>
      </c>
      <c r="I147" s="107"/>
      <c r="J147" s="84" t="s">
        <v>487</v>
      </c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 spans="1:28" ht="15.75" customHeight="1" x14ac:dyDescent="0.2">
      <c r="A148" s="81">
        <v>147</v>
      </c>
      <c r="B148" s="82" t="str">
        <f>UPPER(LEFT(C148,2)&amp;LEFT(D148,2)&amp;LEFT(E148,3)&amp;LEFT(J148)&amp;LEFT(Cod_Gen6[[#This Row],[Cantidad unitaria]],2))</f>
        <v>CASA90W-6</v>
      </c>
      <c r="C148" s="82" t="s">
        <v>58</v>
      </c>
      <c r="D148" s="82" t="s">
        <v>23</v>
      </c>
      <c r="E148" s="82" t="s">
        <v>59</v>
      </c>
      <c r="F148" s="82"/>
      <c r="G148" s="116" t="s">
        <v>444</v>
      </c>
      <c r="H148" s="122">
        <v>6</v>
      </c>
      <c r="I148" s="107"/>
      <c r="J148" s="84" t="s">
        <v>487</v>
      </c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 spans="1:28" ht="15.75" customHeight="1" x14ac:dyDescent="0.2">
      <c r="A149" s="81">
        <v>148</v>
      </c>
      <c r="B149" s="82" t="str">
        <f>UPPER(LEFT(C149,2)&amp;LEFT(D149,2)&amp;LEFT(E149,3)&amp;LEFT(J149)&amp;LEFT(Cod_Gen6[[#This Row],[Cantidad unitaria]],2))</f>
        <v>CADMSIN-1</v>
      </c>
      <c r="C149" s="86" t="s">
        <v>60</v>
      </c>
      <c r="D149" s="86" t="s">
        <v>61</v>
      </c>
      <c r="E149" s="86" t="s">
        <v>21</v>
      </c>
      <c r="F149" s="86"/>
      <c r="G149" s="117" t="s">
        <v>444</v>
      </c>
      <c r="H149" s="117">
        <v>1</v>
      </c>
      <c r="I149" s="87">
        <v>1</v>
      </c>
      <c r="J149" s="84" t="s">
        <v>487</v>
      </c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 spans="1:28" ht="15.75" customHeight="1" x14ac:dyDescent="0.2">
      <c r="A150" s="81">
        <v>149</v>
      </c>
      <c r="B150" s="82" t="str">
        <f>UPPER(LEFT(C150,2)&amp;LEFT(D150,2)&amp;LEFT(E150,3)&amp;LEFT(J150)&amp;LEFT(Cod_Gen6[[#This Row],[Cantidad unitaria]],2))</f>
        <v>COLACLU-1</v>
      </c>
      <c r="C150" s="106" t="s">
        <v>472</v>
      </c>
      <c r="D150" s="106" t="s">
        <v>473</v>
      </c>
      <c r="E150" s="106" t="s">
        <v>474</v>
      </c>
      <c r="F150" s="106"/>
      <c r="G150" s="106" t="s">
        <v>444</v>
      </c>
      <c r="H150" s="106">
        <v>1</v>
      </c>
      <c r="I150" s="107">
        <v>1</v>
      </c>
      <c r="J150" s="84" t="s">
        <v>487</v>
      </c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 spans="1:28" ht="15.75" customHeight="1" x14ac:dyDescent="0.2">
      <c r="A151" s="81">
        <v>150</v>
      </c>
      <c r="B151" s="82" t="str">
        <f>UPPER(LEFT(C151,2)&amp;LEFT(D151,2)&amp;LEFT(E151,3)&amp;LEFT(J151)&amp;LEFT(Cod_Gen6[[#This Row],[Cantidad unitaria]],2))</f>
        <v>CEGA2MM-1</v>
      </c>
      <c r="C151" s="82" t="s">
        <v>62</v>
      </c>
      <c r="D151" s="82" t="s">
        <v>17</v>
      </c>
      <c r="E151" s="82" t="s">
        <v>63</v>
      </c>
      <c r="F151" s="82"/>
      <c r="G151" s="116" t="s">
        <v>445</v>
      </c>
      <c r="H151" s="116">
        <v>1</v>
      </c>
      <c r="I151" s="83">
        <v>2</v>
      </c>
      <c r="J151" s="84" t="s">
        <v>487</v>
      </c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 spans="1:28" ht="15.75" customHeight="1" x14ac:dyDescent="0.2">
      <c r="A152" s="81">
        <v>151</v>
      </c>
      <c r="B152" s="82" t="str">
        <f>UPPER(LEFT(C152,2)&amp;LEFT(D152,2)&amp;LEFT(E152,3)&amp;LEFT(J152)&amp;LEFT(Cod_Gen6[[#This Row],[Cantidad unitaria]],2))</f>
        <v>CEGA2MM-2</v>
      </c>
      <c r="C152" s="82" t="s">
        <v>62</v>
      </c>
      <c r="D152" s="82" t="s">
        <v>17</v>
      </c>
      <c r="E152" s="82" t="s">
        <v>63</v>
      </c>
      <c r="F152" s="82"/>
      <c r="G152" s="116" t="s">
        <v>445</v>
      </c>
      <c r="H152" s="122">
        <v>2</v>
      </c>
      <c r="I152" s="107"/>
      <c r="J152" s="84" t="s">
        <v>487</v>
      </c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 spans="1:28" ht="15.75" customHeight="1" x14ac:dyDescent="0.2">
      <c r="A153" s="81">
        <v>152</v>
      </c>
      <c r="B153" s="82" t="str">
        <f>UPPER(LEFT(C153,2)&amp;LEFT(D153,2)&amp;LEFT(E153,3)&amp;LEFT(J153)&amp;LEFT(Cod_Gen6[[#This Row],[Cantidad unitaria]],2))</f>
        <v>CHLI600-1</v>
      </c>
      <c r="C153" s="86" t="s">
        <v>64</v>
      </c>
      <c r="D153" s="86" t="s">
        <v>65</v>
      </c>
      <c r="E153" s="86" t="s">
        <v>66</v>
      </c>
      <c r="F153" s="86"/>
      <c r="G153" s="117" t="s">
        <v>486</v>
      </c>
      <c r="H153" s="117">
        <v>1</v>
      </c>
      <c r="I153" s="87">
        <v>2</v>
      </c>
      <c r="J153" s="84" t="s">
        <v>487</v>
      </c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 spans="1:28" ht="15.75" customHeight="1" x14ac:dyDescent="0.2">
      <c r="A154" s="81">
        <v>153</v>
      </c>
      <c r="B154" s="82" t="str">
        <f>UPPER(LEFT(C154,2)&amp;LEFT(D154,2)&amp;LEFT(E154,3)&amp;LEFT(J154)&amp;LEFT(Cod_Gen6[[#This Row],[Cantidad unitaria]],2))</f>
        <v>CHLI600-2</v>
      </c>
      <c r="C154" s="86" t="s">
        <v>64</v>
      </c>
      <c r="D154" s="86" t="s">
        <v>65</v>
      </c>
      <c r="E154" s="86" t="s">
        <v>66</v>
      </c>
      <c r="F154" s="86"/>
      <c r="G154" s="117" t="s">
        <v>486</v>
      </c>
      <c r="H154" s="122">
        <v>2</v>
      </c>
      <c r="I154" s="107"/>
      <c r="J154" s="84" t="s">
        <v>487</v>
      </c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 spans="1:28" ht="15.75" customHeight="1" x14ac:dyDescent="0.2">
      <c r="A155" s="81">
        <v>154</v>
      </c>
      <c r="B155" s="82" t="str">
        <f>UPPER(LEFT(C155,2)&amp;LEFT(D155,2)&amp;LEFT(E155,3)&amp;LEFT(J155)&amp;LEFT(Cod_Gen6[[#This Row],[Cantidad unitaria]],2))</f>
        <v>CHMO750-1</v>
      </c>
      <c r="C155" s="86" t="s">
        <v>64</v>
      </c>
      <c r="D155" s="106" t="s">
        <v>451</v>
      </c>
      <c r="E155" s="106" t="s">
        <v>452</v>
      </c>
      <c r="F155" s="106"/>
      <c r="G155" s="106" t="s">
        <v>486</v>
      </c>
      <c r="H155" s="106">
        <v>1</v>
      </c>
      <c r="I155" s="107">
        <v>2</v>
      </c>
      <c r="J155" s="84" t="s">
        <v>487</v>
      </c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 spans="1:28" ht="15.75" customHeight="1" x14ac:dyDescent="0.2">
      <c r="A156" s="81">
        <v>155</v>
      </c>
      <c r="B156" s="82" t="str">
        <f>UPPER(LEFT(C156,2)&amp;LEFT(D156,2)&amp;LEFT(E156,3)&amp;LEFT(J156)&amp;LEFT(Cod_Gen6[[#This Row],[Cantidad unitaria]],2))</f>
        <v>CHMO750-2</v>
      </c>
      <c r="C156" s="86" t="s">
        <v>64</v>
      </c>
      <c r="D156" s="106" t="s">
        <v>451</v>
      </c>
      <c r="E156" s="106" t="s">
        <v>452</v>
      </c>
      <c r="F156" s="106"/>
      <c r="G156" s="106" t="s">
        <v>486</v>
      </c>
      <c r="H156" s="122">
        <v>2</v>
      </c>
      <c r="I156" s="107"/>
      <c r="J156" s="84" t="s">
        <v>487</v>
      </c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 spans="1:28" ht="15.75" customHeight="1" x14ac:dyDescent="0.2">
      <c r="A157" s="81">
        <v>156</v>
      </c>
      <c r="B157" s="82" t="str">
        <f>UPPER(LEFT(C157,2)&amp;LEFT(D157,2)&amp;LEFT(E157,3)&amp;LEFT(J157)&amp;LEFT(Cod_Gen6[[#This Row],[Cantidad unitaria]],2))</f>
        <v>COMOMLC-1</v>
      </c>
      <c r="C157" s="106" t="s">
        <v>458</v>
      </c>
      <c r="D157" s="106" t="s">
        <v>451</v>
      </c>
      <c r="E157" s="106" t="s">
        <v>491</v>
      </c>
      <c r="F157" s="106"/>
      <c r="G157" s="106" t="s">
        <v>486</v>
      </c>
      <c r="H157" s="106">
        <v>1</v>
      </c>
      <c r="I157" s="107">
        <v>2</v>
      </c>
      <c r="J157" s="84" t="s">
        <v>487</v>
      </c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 spans="1:28" ht="15.75" customHeight="1" x14ac:dyDescent="0.2">
      <c r="A158" s="81">
        <v>157</v>
      </c>
      <c r="B158" s="82" t="str">
        <f>UPPER(LEFT(C158,2)&amp;LEFT(D158,2)&amp;LEFT(E158,3)&amp;LEFT(J158)&amp;LEFT(Cod_Gen6[[#This Row],[Cantidad unitaria]],2))</f>
        <v>COMOMLC-2</v>
      </c>
      <c r="C158" s="106" t="s">
        <v>458</v>
      </c>
      <c r="D158" s="106" t="s">
        <v>451</v>
      </c>
      <c r="E158" s="106" t="s">
        <v>491</v>
      </c>
      <c r="F158" s="106"/>
      <c r="G158" s="106" t="s">
        <v>486</v>
      </c>
      <c r="H158" s="122">
        <v>2</v>
      </c>
      <c r="I158" s="107"/>
      <c r="J158" s="84" t="s">
        <v>487</v>
      </c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 spans="1:28" ht="15.75" customHeight="1" x14ac:dyDescent="0.2">
      <c r="A159" s="81">
        <v>158</v>
      </c>
      <c r="B159" s="82" t="str">
        <f>UPPER(LEFT(C159,2)&amp;LEFT(D159,2)&amp;LEFT(E159,3)&amp;LEFT(J159)&amp;LEFT(Cod_Gen6[[#This Row],[Cantidad unitaria]],2))</f>
        <v>COAO3X2-1</v>
      </c>
      <c r="C159" s="82" t="s">
        <v>67</v>
      </c>
      <c r="D159" s="82" t="s">
        <v>28</v>
      </c>
      <c r="E159" s="82" t="s">
        <v>68</v>
      </c>
      <c r="F159" s="82"/>
      <c r="G159" s="116" t="s">
        <v>486</v>
      </c>
      <c r="H159" s="116">
        <v>1</v>
      </c>
      <c r="I159" s="83">
        <v>1</v>
      </c>
      <c r="J159" s="84" t="s">
        <v>487</v>
      </c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 spans="1:28" ht="15.75" customHeight="1" x14ac:dyDescent="0.2">
      <c r="A160" s="81">
        <v>159</v>
      </c>
      <c r="B160" s="82" t="str">
        <f>UPPER(LEFT(C160,2)&amp;LEFT(D160,2)&amp;LEFT(E160,3)&amp;LEFT(J160)&amp;LEFT(Cod_Gen6[[#This Row],[Cantidad unitaria]],2))</f>
        <v>COASSIN-1</v>
      </c>
      <c r="C160" s="86" t="s">
        <v>69</v>
      </c>
      <c r="D160" s="86" t="s">
        <v>70</v>
      </c>
      <c r="E160" s="86" t="s">
        <v>21</v>
      </c>
      <c r="F160" s="86"/>
      <c r="G160" s="117" t="s">
        <v>447</v>
      </c>
      <c r="H160" s="117">
        <v>1</v>
      </c>
      <c r="I160" s="87">
        <v>1</v>
      </c>
      <c r="J160" s="84" t="s">
        <v>487</v>
      </c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 spans="1:28" ht="15.75" customHeight="1" x14ac:dyDescent="0.2">
      <c r="A161" s="81">
        <v>160</v>
      </c>
      <c r="B161" s="82" t="str">
        <f>UPPER(LEFT(C161,2)&amp;LEFT(D161,2)&amp;LEFT(E161,3)&amp;LEFT(J161)&amp;LEFT(Cod_Gen6[[#This Row],[Cantidad unitaria]],2))</f>
        <v>COBIBDL-1</v>
      </c>
      <c r="C161" s="82" t="s">
        <v>71</v>
      </c>
      <c r="D161" s="82" t="s">
        <v>72</v>
      </c>
      <c r="E161" s="82" t="s">
        <v>492</v>
      </c>
      <c r="F161" s="82"/>
      <c r="G161" s="116" t="s">
        <v>444</v>
      </c>
      <c r="H161" s="116">
        <v>1</v>
      </c>
      <c r="I161" s="83">
        <v>16</v>
      </c>
      <c r="J161" s="84" t="s">
        <v>487</v>
      </c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 spans="1:28" ht="15.75" customHeight="1" x14ac:dyDescent="0.2">
      <c r="A162" s="81">
        <v>161</v>
      </c>
      <c r="B162" s="82" t="str">
        <f>UPPER(LEFT(C162,2)&amp;LEFT(D162,2)&amp;LEFT(E162,3)&amp;LEFT(J162)&amp;LEFT(Cod_Gen6[[#This Row],[Cantidad unitaria]],2))</f>
        <v>COBIBDL-2</v>
      </c>
      <c r="C162" s="82" t="s">
        <v>71</v>
      </c>
      <c r="D162" s="82" t="s">
        <v>72</v>
      </c>
      <c r="E162" s="82" t="s">
        <v>492</v>
      </c>
      <c r="F162" s="82"/>
      <c r="G162" s="116" t="s">
        <v>444</v>
      </c>
      <c r="H162" s="122">
        <v>2</v>
      </c>
      <c r="I162" s="107"/>
      <c r="J162" s="84" t="s">
        <v>487</v>
      </c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 spans="1:28" ht="15.75" customHeight="1" x14ac:dyDescent="0.2">
      <c r="A163" s="81">
        <v>162</v>
      </c>
      <c r="B163" s="82" t="str">
        <f>UPPER(LEFT(C163,2)&amp;LEFT(D163,2)&amp;LEFT(E163,3)&amp;LEFT(J163)&amp;LEFT(Cod_Gen6[[#This Row],[Cantidad unitaria]],2))</f>
        <v>COBIBDL-3</v>
      </c>
      <c r="C163" s="82" t="s">
        <v>71</v>
      </c>
      <c r="D163" s="82" t="s">
        <v>72</v>
      </c>
      <c r="E163" s="82" t="s">
        <v>492</v>
      </c>
      <c r="F163" s="82"/>
      <c r="G163" s="116" t="s">
        <v>444</v>
      </c>
      <c r="H163" s="122">
        <v>3</v>
      </c>
      <c r="I163" s="107"/>
      <c r="J163" s="84" t="s">
        <v>487</v>
      </c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 spans="1:28" ht="15.75" customHeight="1" x14ac:dyDescent="0.2">
      <c r="A164" s="81">
        <v>163</v>
      </c>
      <c r="B164" s="82" t="str">
        <f>UPPER(LEFT(C164,2)&amp;LEFT(D164,2)&amp;LEFT(E164,3)&amp;LEFT(J164)&amp;LEFT(Cod_Gen6[[#This Row],[Cantidad unitaria]],2))</f>
        <v>COBIBDL-4</v>
      </c>
      <c r="C164" s="82" t="s">
        <v>71</v>
      </c>
      <c r="D164" s="82" t="s">
        <v>72</v>
      </c>
      <c r="E164" s="82" t="s">
        <v>492</v>
      </c>
      <c r="F164" s="82"/>
      <c r="G164" s="116" t="s">
        <v>444</v>
      </c>
      <c r="H164" s="116">
        <v>4</v>
      </c>
      <c r="I164" s="107"/>
      <c r="J164" s="84" t="s">
        <v>487</v>
      </c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 spans="1:28" ht="15.75" customHeight="1" x14ac:dyDescent="0.2">
      <c r="A165" s="81">
        <v>164</v>
      </c>
      <c r="B165" s="82" t="str">
        <f>UPPER(LEFT(C165,2)&amp;LEFT(D165,2)&amp;LEFT(E165,3)&amp;LEFT(J165)&amp;LEFT(Cod_Gen6[[#This Row],[Cantidad unitaria]],2))</f>
        <v>COBIBDL-5</v>
      </c>
      <c r="C165" s="82" t="s">
        <v>71</v>
      </c>
      <c r="D165" s="82" t="s">
        <v>72</v>
      </c>
      <c r="E165" s="82" t="s">
        <v>492</v>
      </c>
      <c r="F165" s="82"/>
      <c r="G165" s="116" t="s">
        <v>444</v>
      </c>
      <c r="H165" s="122">
        <v>5</v>
      </c>
      <c r="I165" s="107"/>
      <c r="J165" s="84" t="s">
        <v>487</v>
      </c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 spans="1:28" ht="15.75" customHeight="1" x14ac:dyDescent="0.2">
      <c r="A166" s="81">
        <v>165</v>
      </c>
      <c r="B166" s="82" t="str">
        <f>UPPER(LEFT(C166,2)&amp;LEFT(D166,2)&amp;LEFT(E166,3)&amp;LEFT(J166)&amp;LEFT(Cod_Gen6[[#This Row],[Cantidad unitaria]],2))</f>
        <v>COBIBDL-6</v>
      </c>
      <c r="C166" s="82" t="s">
        <v>71</v>
      </c>
      <c r="D166" s="82" t="s">
        <v>72</v>
      </c>
      <c r="E166" s="82" t="s">
        <v>492</v>
      </c>
      <c r="F166" s="82"/>
      <c r="G166" s="116" t="s">
        <v>444</v>
      </c>
      <c r="H166" s="122">
        <v>6</v>
      </c>
      <c r="I166" s="107"/>
      <c r="J166" s="84" t="s">
        <v>487</v>
      </c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 spans="1:28" ht="15.75" customHeight="1" x14ac:dyDescent="0.2">
      <c r="A167" s="81">
        <v>166</v>
      </c>
      <c r="B167" s="82" t="str">
        <f>UPPER(LEFT(C167,2)&amp;LEFT(D167,2)&amp;LEFT(E167,3)&amp;LEFT(J167)&amp;LEFT(Cod_Gen6[[#This Row],[Cantidad unitaria]],2))</f>
        <v>COBIBDL-7</v>
      </c>
      <c r="C167" s="82" t="s">
        <v>71</v>
      </c>
      <c r="D167" s="82" t="s">
        <v>72</v>
      </c>
      <c r="E167" s="82" t="s">
        <v>492</v>
      </c>
      <c r="F167" s="82"/>
      <c r="G167" s="116" t="s">
        <v>444</v>
      </c>
      <c r="H167" s="116">
        <v>7</v>
      </c>
      <c r="I167" s="107"/>
      <c r="J167" s="84" t="s">
        <v>487</v>
      </c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 spans="1:28" ht="15.75" customHeight="1" x14ac:dyDescent="0.2">
      <c r="A168" s="81">
        <v>167</v>
      </c>
      <c r="B168" s="82" t="str">
        <f>UPPER(LEFT(C168,2)&amp;LEFT(D168,2)&amp;LEFT(E168,3)&amp;LEFT(J168)&amp;LEFT(Cod_Gen6[[#This Row],[Cantidad unitaria]],2))</f>
        <v>COBIBDL-8</v>
      </c>
      <c r="C168" s="82" t="s">
        <v>71</v>
      </c>
      <c r="D168" s="82" t="s">
        <v>72</v>
      </c>
      <c r="E168" s="82" t="s">
        <v>492</v>
      </c>
      <c r="F168" s="82"/>
      <c r="G168" s="116" t="s">
        <v>444</v>
      </c>
      <c r="H168" s="122">
        <v>8</v>
      </c>
      <c r="I168" s="107"/>
      <c r="J168" s="84" t="s">
        <v>487</v>
      </c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 spans="1:28" ht="15.75" customHeight="1" x14ac:dyDescent="0.2">
      <c r="A169" s="81">
        <v>168</v>
      </c>
      <c r="B169" s="82" t="str">
        <f>UPPER(LEFT(C169,2)&amp;LEFT(D169,2)&amp;LEFT(E169,3)&amp;LEFT(J169)&amp;LEFT(Cod_Gen6[[#This Row],[Cantidad unitaria]],2))</f>
        <v>COBIBDL-9</v>
      </c>
      <c r="C169" s="82" t="s">
        <v>71</v>
      </c>
      <c r="D169" s="82" t="s">
        <v>72</v>
      </c>
      <c r="E169" s="82" t="s">
        <v>492</v>
      </c>
      <c r="F169" s="82"/>
      <c r="G169" s="116" t="s">
        <v>444</v>
      </c>
      <c r="H169" s="122">
        <v>9</v>
      </c>
      <c r="I169" s="107"/>
      <c r="J169" s="84" t="s">
        <v>487</v>
      </c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 spans="1:28" ht="15.75" customHeight="1" x14ac:dyDescent="0.2">
      <c r="A170" s="81">
        <v>169</v>
      </c>
      <c r="B170" s="82" t="str">
        <f>UPPER(LEFT(C170,2)&amp;LEFT(D170,2)&amp;LEFT(E170,3)&amp;LEFT(J170)&amp;LEFT(Cod_Gen6[[#This Row],[Cantidad unitaria]],2))</f>
        <v>COBIBDL-10</v>
      </c>
      <c r="C170" s="82" t="s">
        <v>71</v>
      </c>
      <c r="D170" s="82" t="s">
        <v>72</v>
      </c>
      <c r="E170" s="82" t="s">
        <v>492</v>
      </c>
      <c r="F170" s="82"/>
      <c r="G170" s="116" t="s">
        <v>444</v>
      </c>
      <c r="H170" s="116">
        <v>10</v>
      </c>
      <c r="I170" s="107"/>
      <c r="J170" s="84" t="s">
        <v>487</v>
      </c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 spans="1:28" ht="15.75" customHeight="1" x14ac:dyDescent="0.2">
      <c r="A171" s="81">
        <v>170</v>
      </c>
      <c r="B171" s="82" t="str">
        <f>UPPER(LEFT(C171,2)&amp;LEFT(D171,2)&amp;LEFT(E171,3)&amp;LEFT(J171)&amp;LEFT(Cod_Gen6[[#This Row],[Cantidad unitaria]],2))</f>
        <v>COBIBDL-11</v>
      </c>
      <c r="C171" s="82" t="s">
        <v>71</v>
      </c>
      <c r="D171" s="82" t="s">
        <v>72</v>
      </c>
      <c r="E171" s="82" t="s">
        <v>492</v>
      </c>
      <c r="F171" s="82"/>
      <c r="G171" s="116" t="s">
        <v>444</v>
      </c>
      <c r="H171" s="122">
        <v>11</v>
      </c>
      <c r="I171" s="107"/>
      <c r="J171" s="84" t="s">
        <v>487</v>
      </c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 spans="1:28" ht="15.75" customHeight="1" x14ac:dyDescent="0.2">
      <c r="A172" s="81">
        <v>171</v>
      </c>
      <c r="B172" s="82" t="str">
        <f>UPPER(LEFT(C172,2)&amp;LEFT(D172,2)&amp;LEFT(E172,3)&amp;LEFT(J172)&amp;LEFT(Cod_Gen6[[#This Row],[Cantidad unitaria]],2))</f>
        <v>COBIBDL-12</v>
      </c>
      <c r="C172" s="82" t="s">
        <v>71</v>
      </c>
      <c r="D172" s="82" t="s">
        <v>72</v>
      </c>
      <c r="E172" s="82" t="s">
        <v>492</v>
      </c>
      <c r="F172" s="82"/>
      <c r="G172" s="116" t="s">
        <v>444</v>
      </c>
      <c r="H172" s="122">
        <v>12</v>
      </c>
      <c r="I172" s="107"/>
      <c r="J172" s="84" t="s">
        <v>487</v>
      </c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 spans="1:28" ht="15.75" customHeight="1" x14ac:dyDescent="0.2">
      <c r="A173" s="81">
        <v>172</v>
      </c>
      <c r="B173" s="82" t="str">
        <f>UPPER(LEFT(C173,2)&amp;LEFT(D173,2)&amp;LEFT(E173,3)&amp;LEFT(J173)&amp;LEFT(Cod_Gen6[[#This Row],[Cantidad unitaria]],2))</f>
        <v>COBIBDL-13</v>
      </c>
      <c r="C173" s="82" t="s">
        <v>71</v>
      </c>
      <c r="D173" s="82" t="s">
        <v>72</v>
      </c>
      <c r="E173" s="82" t="s">
        <v>492</v>
      </c>
      <c r="F173" s="82"/>
      <c r="G173" s="116" t="s">
        <v>444</v>
      </c>
      <c r="H173" s="116">
        <v>13</v>
      </c>
      <c r="I173" s="107"/>
      <c r="J173" s="84" t="s">
        <v>487</v>
      </c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 spans="1:28" ht="15.75" customHeight="1" x14ac:dyDescent="0.2">
      <c r="A174" s="81">
        <v>173</v>
      </c>
      <c r="B174" s="82" t="str">
        <f>UPPER(LEFT(C174,2)&amp;LEFT(D174,2)&amp;LEFT(E174,3)&amp;LEFT(J174)&amp;LEFT(Cod_Gen6[[#This Row],[Cantidad unitaria]],2))</f>
        <v>COBIBDL-14</v>
      </c>
      <c r="C174" s="82" t="s">
        <v>71</v>
      </c>
      <c r="D174" s="82" t="s">
        <v>72</v>
      </c>
      <c r="E174" s="82" t="s">
        <v>492</v>
      </c>
      <c r="F174" s="82"/>
      <c r="G174" s="116" t="s">
        <v>444</v>
      </c>
      <c r="H174" s="122">
        <v>14</v>
      </c>
      <c r="I174" s="107"/>
      <c r="J174" s="84" t="s">
        <v>487</v>
      </c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 spans="1:28" ht="15.75" customHeight="1" x14ac:dyDescent="0.2">
      <c r="A175" s="81">
        <v>174</v>
      </c>
      <c r="B175" s="82" t="str">
        <f>UPPER(LEFT(C175,2)&amp;LEFT(D175,2)&amp;LEFT(E175,3)&amp;LEFT(J175)&amp;LEFT(Cod_Gen6[[#This Row],[Cantidad unitaria]],2))</f>
        <v>COBIBDL-15</v>
      </c>
      <c r="C175" s="82" t="s">
        <v>71</v>
      </c>
      <c r="D175" s="82" t="s">
        <v>72</v>
      </c>
      <c r="E175" s="82" t="s">
        <v>492</v>
      </c>
      <c r="F175" s="82"/>
      <c r="G175" s="116" t="s">
        <v>444</v>
      </c>
      <c r="H175" s="122">
        <v>15</v>
      </c>
      <c r="I175" s="107"/>
      <c r="J175" s="84" t="s">
        <v>487</v>
      </c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 spans="1:28" ht="15.75" customHeight="1" x14ac:dyDescent="0.2">
      <c r="A176" s="81">
        <v>175</v>
      </c>
      <c r="B176" s="82" t="str">
        <f>UPPER(LEFT(C176,2)&amp;LEFT(D176,2)&amp;LEFT(E176,3)&amp;LEFT(J176)&amp;LEFT(Cod_Gen6[[#This Row],[Cantidad unitaria]],2))</f>
        <v>COBIBDL-16</v>
      </c>
      <c r="C176" s="82" t="s">
        <v>71</v>
      </c>
      <c r="D176" s="82" t="s">
        <v>72</v>
      </c>
      <c r="E176" s="82" t="s">
        <v>492</v>
      </c>
      <c r="F176" s="82"/>
      <c r="G176" s="116" t="s">
        <v>444</v>
      </c>
      <c r="H176" s="116">
        <v>16</v>
      </c>
      <c r="I176" s="107"/>
      <c r="J176" s="84" t="s">
        <v>487</v>
      </c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 spans="1:28" ht="15.75" customHeight="1" x14ac:dyDescent="0.2">
      <c r="A177" s="81">
        <v>176</v>
      </c>
      <c r="B177" s="82" t="str">
        <f>UPPER(LEFT(C177,2)&amp;LEFT(D177,2)&amp;LEFT(E177,3)&amp;LEFT(J177)&amp;LEFT(Cod_Gen6[[#This Row],[Cantidad unitaria]],2))</f>
        <v>COHPX36-1</v>
      </c>
      <c r="C177" s="86" t="s">
        <v>69</v>
      </c>
      <c r="D177" s="86" t="s">
        <v>73</v>
      </c>
      <c r="E177" s="86" t="s">
        <v>471</v>
      </c>
      <c r="F177" s="86"/>
      <c r="G177" s="117" t="s">
        <v>447</v>
      </c>
      <c r="H177" s="117">
        <v>1</v>
      </c>
      <c r="I177" s="87">
        <v>1</v>
      </c>
      <c r="J177" s="84" t="s">
        <v>487</v>
      </c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 spans="1:28" ht="15.75" customHeight="1" x14ac:dyDescent="0.2">
      <c r="A178" s="81">
        <v>177</v>
      </c>
      <c r="B178" s="82" t="str">
        <f>UPPER(LEFT(C178,2)&amp;LEFT(D178,2)&amp;LEFT(E178,3)&amp;LEFT(J178)&amp;LEFT(Cod_Gen6[[#This Row],[Cantidad unitaria]],2))</f>
        <v>COSVEFX-1</v>
      </c>
      <c r="C178" s="82" t="s">
        <v>74</v>
      </c>
      <c r="D178" s="82" t="s">
        <v>75</v>
      </c>
      <c r="E178" s="82" t="s">
        <v>476</v>
      </c>
      <c r="F178" s="82"/>
      <c r="G178" s="116" t="s">
        <v>486</v>
      </c>
      <c r="H178" s="116">
        <v>1</v>
      </c>
      <c r="I178" s="83">
        <v>2</v>
      </c>
      <c r="J178" s="84" t="s">
        <v>487</v>
      </c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 spans="1:28" ht="15.75" customHeight="1" x14ac:dyDescent="0.2">
      <c r="A179" s="81">
        <v>178</v>
      </c>
      <c r="B179" s="82" t="str">
        <f>UPPER(LEFT(C179,2)&amp;LEFT(D179,2)&amp;LEFT(E179,3)&amp;LEFT(J179)&amp;LEFT(Cod_Gen6[[#This Row],[Cantidad unitaria]],2))</f>
        <v>COSVEFX-2</v>
      </c>
      <c r="C179" s="82" t="s">
        <v>74</v>
      </c>
      <c r="D179" s="82" t="s">
        <v>75</v>
      </c>
      <c r="E179" s="82" t="s">
        <v>476</v>
      </c>
      <c r="F179" s="82"/>
      <c r="G179" s="116" t="s">
        <v>486</v>
      </c>
      <c r="H179" s="122">
        <v>2</v>
      </c>
      <c r="I179" s="107"/>
      <c r="J179" s="84" t="s">
        <v>487</v>
      </c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 spans="1:28" ht="15.75" customHeight="1" x14ac:dyDescent="0.2">
      <c r="A180" s="81">
        <v>179</v>
      </c>
      <c r="B180" s="82" t="str">
        <f>UPPER(LEFT(C180,2)&amp;LEFT(D180,2)&amp;LEFT(E180,3)&amp;LEFT(J180)&amp;LEFT(Cod_Gen6[[#This Row],[Cantidad unitaria]],2))</f>
        <v>ESHA930-1</v>
      </c>
      <c r="C180" s="86" t="s">
        <v>76</v>
      </c>
      <c r="D180" s="86" t="s">
        <v>77</v>
      </c>
      <c r="E180" s="86" t="s">
        <v>478</v>
      </c>
      <c r="F180" s="86"/>
      <c r="G180" s="116" t="s">
        <v>445</v>
      </c>
      <c r="H180" s="106">
        <v>1</v>
      </c>
      <c r="I180" s="87">
        <v>1</v>
      </c>
      <c r="J180" s="84" t="s">
        <v>487</v>
      </c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 spans="1:28" ht="15.75" customHeight="1" x14ac:dyDescent="0.2">
      <c r="A181" s="81">
        <v>180</v>
      </c>
      <c r="B181" s="82" t="str">
        <f>UPPER(LEFT(C181,2)&amp;LEFT(D181,2)&amp;LEFT(E181,3)&amp;LEFT(J181)&amp;LEFT(Cod_Gen6[[#This Row],[Cantidad unitaria]],2))</f>
        <v>ESSOSIN-1</v>
      </c>
      <c r="C181" s="82" t="s">
        <v>78</v>
      </c>
      <c r="D181" s="82" t="s">
        <v>79</v>
      </c>
      <c r="E181" s="82" t="s">
        <v>21</v>
      </c>
      <c r="F181" s="82"/>
      <c r="G181" s="116" t="s">
        <v>445</v>
      </c>
      <c r="H181" s="116">
        <v>1</v>
      </c>
      <c r="I181" s="83">
        <v>1</v>
      </c>
      <c r="J181" s="84" t="s">
        <v>487</v>
      </c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 spans="1:28" ht="15.75" customHeight="1" x14ac:dyDescent="0.2">
      <c r="A182" s="81">
        <v>181</v>
      </c>
      <c r="B182" s="82" t="str">
        <f>UPPER(LEFT(C182,2)&amp;LEFT(D182,2)&amp;LEFT(E182,3)&amp;LEFT(J182)&amp;LEFT(Cod_Gen6[[#This Row],[Cantidad unitaria]],2))</f>
        <v>EXGE10 -1</v>
      </c>
      <c r="C182" s="86" t="s">
        <v>80</v>
      </c>
      <c r="D182" s="86" t="s">
        <v>20</v>
      </c>
      <c r="E182" s="86" t="s">
        <v>81</v>
      </c>
      <c r="F182" s="86"/>
      <c r="G182" s="117" t="s">
        <v>485</v>
      </c>
      <c r="H182" s="117">
        <v>1</v>
      </c>
      <c r="I182" s="87">
        <v>10</v>
      </c>
      <c r="J182" s="84" t="s">
        <v>487</v>
      </c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 spans="1:28" ht="15.75" customHeight="1" x14ac:dyDescent="0.2">
      <c r="A183" s="81">
        <v>182</v>
      </c>
      <c r="B183" s="82" t="str">
        <f>UPPER(LEFT(C183,2)&amp;LEFT(D183,2)&amp;LEFT(E183,3)&amp;LEFT(J183)&amp;LEFT(Cod_Gen6[[#This Row],[Cantidad unitaria]],2))</f>
        <v>EXGE10 -2</v>
      </c>
      <c r="C183" s="86" t="s">
        <v>80</v>
      </c>
      <c r="D183" s="86" t="s">
        <v>20</v>
      </c>
      <c r="E183" s="86" t="s">
        <v>81</v>
      </c>
      <c r="F183" s="86"/>
      <c r="G183" s="117" t="s">
        <v>485</v>
      </c>
      <c r="H183" s="122">
        <v>2</v>
      </c>
      <c r="I183" s="107"/>
      <c r="J183" s="84" t="s">
        <v>487</v>
      </c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 spans="1:28" ht="15.75" customHeight="1" x14ac:dyDescent="0.2">
      <c r="A184" s="81">
        <v>183</v>
      </c>
      <c r="B184" s="82" t="str">
        <f>UPPER(LEFT(C184,2)&amp;LEFT(D184,2)&amp;LEFT(E184,3)&amp;LEFT(J184)&amp;LEFT(Cod_Gen6[[#This Row],[Cantidad unitaria]],2))</f>
        <v>EXGE10 -3</v>
      </c>
      <c r="C184" s="86" t="s">
        <v>80</v>
      </c>
      <c r="D184" s="86" t="s">
        <v>20</v>
      </c>
      <c r="E184" s="86" t="s">
        <v>81</v>
      </c>
      <c r="F184" s="86"/>
      <c r="G184" s="117" t="s">
        <v>485</v>
      </c>
      <c r="H184" s="122">
        <v>3</v>
      </c>
      <c r="I184" s="107"/>
      <c r="J184" s="84" t="s">
        <v>487</v>
      </c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 spans="1:28" ht="15.75" customHeight="1" x14ac:dyDescent="0.2">
      <c r="A185" s="81">
        <v>184</v>
      </c>
      <c r="B185" s="82" t="str">
        <f>UPPER(LEFT(C185,2)&amp;LEFT(D185,2)&amp;LEFT(E185,3)&amp;LEFT(J185)&amp;LEFT(Cod_Gen6[[#This Row],[Cantidad unitaria]],2))</f>
        <v>EXGE10 -4</v>
      </c>
      <c r="C185" s="86" t="s">
        <v>80</v>
      </c>
      <c r="D185" s="86" t="s">
        <v>20</v>
      </c>
      <c r="E185" s="86" t="s">
        <v>81</v>
      </c>
      <c r="F185" s="86"/>
      <c r="G185" s="117" t="s">
        <v>485</v>
      </c>
      <c r="H185" s="122">
        <v>4</v>
      </c>
      <c r="I185" s="107"/>
      <c r="J185" s="84" t="s">
        <v>487</v>
      </c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 spans="1:28" ht="15.75" customHeight="1" x14ac:dyDescent="0.2">
      <c r="A186" s="81">
        <v>185</v>
      </c>
      <c r="B186" s="82" t="str">
        <f>UPPER(LEFT(C186,2)&amp;LEFT(D186,2)&amp;LEFT(E186,3)&amp;LEFT(J186)&amp;LEFT(Cod_Gen6[[#This Row],[Cantidad unitaria]],2))</f>
        <v>EXGE10 -5</v>
      </c>
      <c r="C186" s="86" t="s">
        <v>80</v>
      </c>
      <c r="D186" s="86" t="s">
        <v>20</v>
      </c>
      <c r="E186" s="86" t="s">
        <v>81</v>
      </c>
      <c r="F186" s="86"/>
      <c r="G186" s="117" t="s">
        <v>485</v>
      </c>
      <c r="H186" s="122">
        <v>5</v>
      </c>
      <c r="I186" s="107"/>
      <c r="J186" s="84" t="s">
        <v>487</v>
      </c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 spans="1:28" ht="15.75" customHeight="1" x14ac:dyDescent="0.2">
      <c r="A187" s="81">
        <v>186</v>
      </c>
      <c r="B187" s="82" t="str">
        <f>UPPER(LEFT(C187,2)&amp;LEFT(D187,2)&amp;LEFT(E187,3)&amp;LEFT(J187)&amp;LEFT(Cod_Gen6[[#This Row],[Cantidad unitaria]],2))</f>
        <v>EXGE10 -6</v>
      </c>
      <c r="C187" s="86" t="s">
        <v>80</v>
      </c>
      <c r="D187" s="86" t="s">
        <v>20</v>
      </c>
      <c r="E187" s="86" t="s">
        <v>81</v>
      </c>
      <c r="F187" s="86"/>
      <c r="G187" s="117" t="s">
        <v>485</v>
      </c>
      <c r="H187" s="122">
        <v>6</v>
      </c>
      <c r="I187" s="107"/>
      <c r="J187" s="84" t="s">
        <v>487</v>
      </c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 spans="1:28" ht="15.75" customHeight="1" x14ac:dyDescent="0.2">
      <c r="A188" s="81">
        <v>187</v>
      </c>
      <c r="B188" s="82" t="str">
        <f>UPPER(LEFT(C188,2)&amp;LEFT(D188,2)&amp;LEFT(E188,3)&amp;LEFT(J188)&amp;LEFT(Cod_Gen6[[#This Row],[Cantidad unitaria]],2))</f>
        <v>EXGE10 -7</v>
      </c>
      <c r="C188" s="86" t="s">
        <v>80</v>
      </c>
      <c r="D188" s="86" t="s">
        <v>20</v>
      </c>
      <c r="E188" s="86" t="s">
        <v>81</v>
      </c>
      <c r="F188" s="86"/>
      <c r="G188" s="117" t="s">
        <v>485</v>
      </c>
      <c r="H188" s="122">
        <v>7</v>
      </c>
      <c r="I188" s="107"/>
      <c r="J188" s="84" t="s">
        <v>487</v>
      </c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 spans="1:28" ht="15.75" customHeight="1" x14ac:dyDescent="0.2">
      <c r="A189" s="81">
        <v>188</v>
      </c>
      <c r="B189" s="82" t="str">
        <f>UPPER(LEFT(C189,2)&amp;LEFT(D189,2)&amp;LEFT(E189,3)&amp;LEFT(J189)&amp;LEFT(Cod_Gen6[[#This Row],[Cantidad unitaria]],2))</f>
        <v>EXGE10 -8</v>
      </c>
      <c r="C189" s="86" t="s">
        <v>80</v>
      </c>
      <c r="D189" s="86" t="s">
        <v>20</v>
      </c>
      <c r="E189" s="86" t="s">
        <v>81</v>
      </c>
      <c r="F189" s="86"/>
      <c r="G189" s="117" t="s">
        <v>485</v>
      </c>
      <c r="H189" s="122">
        <v>8</v>
      </c>
      <c r="I189" s="107"/>
      <c r="J189" s="84" t="s">
        <v>487</v>
      </c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 spans="1:28" ht="15.75" customHeight="1" x14ac:dyDescent="0.2">
      <c r="A190" s="81">
        <v>189</v>
      </c>
      <c r="B190" s="82" t="str">
        <f>UPPER(LEFT(C190,2)&amp;LEFT(D190,2)&amp;LEFT(E190,3)&amp;LEFT(J190)&amp;LEFT(Cod_Gen6[[#This Row],[Cantidad unitaria]],2))</f>
        <v>EXGE10 -9</v>
      </c>
      <c r="C190" s="86" t="s">
        <v>80</v>
      </c>
      <c r="D190" s="86" t="s">
        <v>20</v>
      </c>
      <c r="E190" s="86" t="s">
        <v>81</v>
      </c>
      <c r="F190" s="86"/>
      <c r="G190" s="117" t="s">
        <v>485</v>
      </c>
      <c r="H190" s="122">
        <v>9</v>
      </c>
      <c r="I190" s="107"/>
      <c r="J190" s="84" t="s">
        <v>487</v>
      </c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 spans="1:28" ht="15.75" customHeight="1" x14ac:dyDescent="0.2">
      <c r="A191" s="81">
        <v>190</v>
      </c>
      <c r="B191" s="82" t="str">
        <f>UPPER(LEFT(C191,2)&amp;LEFT(D191,2)&amp;LEFT(E191,3)&amp;LEFT(J191)&amp;LEFT(Cod_Gen6[[#This Row],[Cantidad unitaria]],2))</f>
        <v>EXGE10 -10</v>
      </c>
      <c r="C191" s="86" t="s">
        <v>80</v>
      </c>
      <c r="D191" s="86" t="s">
        <v>20</v>
      </c>
      <c r="E191" s="86" t="s">
        <v>81</v>
      </c>
      <c r="F191" s="86"/>
      <c r="G191" s="117" t="s">
        <v>485</v>
      </c>
      <c r="H191" s="122">
        <v>10</v>
      </c>
      <c r="I191" s="107"/>
      <c r="J191" s="84" t="s">
        <v>487</v>
      </c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 spans="1:28" ht="15.75" customHeight="1" x14ac:dyDescent="0.2">
      <c r="A192" s="81">
        <v>191</v>
      </c>
      <c r="B192" s="82" t="str">
        <f>UPPER(LEFT(C192,2)&amp;LEFT(D192,2)&amp;LEFT(E192,3)&amp;LEFT(J192)&amp;LEFT(Cod_Gen6[[#This Row],[Cantidad unitaria]],2))</f>
        <v>FIGEN/A-1</v>
      </c>
      <c r="C192" s="82" t="s">
        <v>82</v>
      </c>
      <c r="D192" s="82" t="s">
        <v>20</v>
      </c>
      <c r="E192" s="82" t="s">
        <v>462</v>
      </c>
      <c r="F192" s="82"/>
      <c r="G192" s="116" t="s">
        <v>445</v>
      </c>
      <c r="H192" s="116">
        <v>1</v>
      </c>
      <c r="I192" s="83">
        <v>4</v>
      </c>
      <c r="J192" s="84" t="s">
        <v>487</v>
      </c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 spans="1:28" ht="15.75" customHeight="1" x14ac:dyDescent="0.2">
      <c r="A193" s="81">
        <v>192</v>
      </c>
      <c r="B193" s="82" t="str">
        <f>UPPER(LEFT(C193,2)&amp;LEFT(D193,2)&amp;LEFT(E193,3)&amp;LEFT(J193)&amp;LEFT(Cod_Gen6[[#This Row],[Cantidad unitaria]],2))</f>
        <v>FIGEN/A-2</v>
      </c>
      <c r="C193" s="82" t="s">
        <v>82</v>
      </c>
      <c r="D193" s="82" t="s">
        <v>20</v>
      </c>
      <c r="E193" s="82" t="s">
        <v>462</v>
      </c>
      <c r="F193" s="106"/>
      <c r="G193" s="116" t="s">
        <v>445</v>
      </c>
      <c r="H193" s="122">
        <v>2</v>
      </c>
      <c r="I193" s="107"/>
      <c r="J193" s="84" t="s">
        <v>487</v>
      </c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 spans="1:28" ht="15.75" customHeight="1" x14ac:dyDescent="0.2">
      <c r="A194" s="81">
        <v>193</v>
      </c>
      <c r="B194" s="82" t="str">
        <f>UPPER(LEFT(C194,2)&amp;LEFT(D194,2)&amp;LEFT(E194,3)&amp;LEFT(J194)&amp;LEFT(Cod_Gen6[[#This Row],[Cantidad unitaria]],2))</f>
        <v>FIGEN/A-3</v>
      </c>
      <c r="C194" s="82" t="s">
        <v>82</v>
      </c>
      <c r="D194" s="82" t="s">
        <v>20</v>
      </c>
      <c r="E194" s="82" t="s">
        <v>462</v>
      </c>
      <c r="F194" s="106"/>
      <c r="G194" s="116" t="s">
        <v>445</v>
      </c>
      <c r="H194" s="122">
        <v>3</v>
      </c>
      <c r="I194" s="107"/>
      <c r="J194" s="84" t="s">
        <v>487</v>
      </c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 spans="1:28" ht="15.75" customHeight="1" x14ac:dyDescent="0.2">
      <c r="A195" s="81">
        <v>194</v>
      </c>
      <c r="B195" s="82" t="str">
        <f>UPPER(LEFT(C195,2)&amp;LEFT(D195,2)&amp;LEFT(E195,3)&amp;LEFT(J195)&amp;LEFT(Cod_Gen6[[#This Row],[Cantidad unitaria]],2))</f>
        <v>FIGEN/A-4</v>
      </c>
      <c r="C195" s="82" t="s">
        <v>82</v>
      </c>
      <c r="D195" s="82" t="s">
        <v>20</v>
      </c>
      <c r="E195" s="82" t="s">
        <v>462</v>
      </c>
      <c r="F195" s="106"/>
      <c r="G195" s="116" t="s">
        <v>445</v>
      </c>
      <c r="H195" s="122">
        <v>4</v>
      </c>
      <c r="I195" s="107"/>
      <c r="J195" s="84" t="s">
        <v>487</v>
      </c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 spans="1:28" ht="15.75" customHeight="1" x14ac:dyDescent="0.2">
      <c r="A196" s="81">
        <v>195</v>
      </c>
      <c r="B196" s="82" t="str">
        <f>UPPER(LEFT(C196,2)&amp;LEFT(D196,2)&amp;LEFT(E196,3)&amp;LEFT(J196)&amp;LEFT(Cod_Gen6[[#This Row],[Cantidad unitaria]],2))</f>
        <v>ESHA931-1</v>
      </c>
      <c r="C196" s="86" t="s">
        <v>287</v>
      </c>
      <c r="D196" s="86" t="s">
        <v>77</v>
      </c>
      <c r="E196" s="86" t="s">
        <v>477</v>
      </c>
      <c r="F196" s="86"/>
      <c r="G196" s="116" t="s">
        <v>445</v>
      </c>
      <c r="H196" s="106">
        <v>1</v>
      </c>
      <c r="I196" s="87">
        <v>1</v>
      </c>
      <c r="J196" s="84" t="s">
        <v>487</v>
      </c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 spans="1:28" ht="15.75" customHeight="1" x14ac:dyDescent="0.2">
      <c r="A197" s="81">
        <v>196</v>
      </c>
      <c r="B197" s="82" t="str">
        <f>UPPER(LEFT(C197,2)&amp;LEFT(D197,2)&amp;LEFT(E197,3)&amp;LEFT(J197)&amp;LEFT(Cod_Gen6[[#This Row],[Cantidad unitaria]],2))</f>
        <v>IMHIPL5-1</v>
      </c>
      <c r="C197" s="82" t="s">
        <v>83</v>
      </c>
      <c r="D197" s="82" t="s">
        <v>84</v>
      </c>
      <c r="E197" s="82" t="s">
        <v>85</v>
      </c>
      <c r="F197" s="82"/>
      <c r="G197" s="116" t="s">
        <v>447</v>
      </c>
      <c r="H197" s="116">
        <v>1</v>
      </c>
      <c r="I197" s="83">
        <v>1</v>
      </c>
      <c r="J197" s="84" t="s">
        <v>487</v>
      </c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 spans="1:28" ht="15.75" customHeight="1" x14ac:dyDescent="0.2">
      <c r="A198" s="81">
        <v>197</v>
      </c>
      <c r="B198" s="82" t="str">
        <f>UPPER(LEFT(C198,2)&amp;LEFT(D198,2)&amp;LEFT(E198,3)&amp;LEFT(J198)&amp;LEFT(Cod_Gen6[[#This Row],[Cantidad unitaria]],2))</f>
        <v>MAGA100-1</v>
      </c>
      <c r="C198" s="86" t="s">
        <v>86</v>
      </c>
      <c r="D198" s="86" t="s">
        <v>17</v>
      </c>
      <c r="E198" s="86" t="s">
        <v>479</v>
      </c>
      <c r="F198" s="86"/>
      <c r="G198" s="116" t="s">
        <v>445</v>
      </c>
      <c r="H198" s="106">
        <v>1</v>
      </c>
      <c r="I198" s="87">
        <v>4</v>
      </c>
      <c r="J198" s="84" t="s">
        <v>487</v>
      </c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 spans="1:28" ht="15.75" customHeight="1" x14ac:dyDescent="0.2">
      <c r="A199" s="81">
        <v>198</v>
      </c>
      <c r="B199" s="82" t="str">
        <f>UPPER(LEFT(C199,2)&amp;LEFT(D199,2)&amp;LEFT(E199,3)&amp;LEFT(J199)&amp;LEFT(Cod_Gen6[[#This Row],[Cantidad unitaria]],2))</f>
        <v>MAGA100-2</v>
      </c>
      <c r="C199" s="86" t="s">
        <v>86</v>
      </c>
      <c r="D199" s="86" t="s">
        <v>17</v>
      </c>
      <c r="E199" s="86" t="s">
        <v>479</v>
      </c>
      <c r="F199" s="86"/>
      <c r="G199" s="116" t="s">
        <v>445</v>
      </c>
      <c r="H199" s="122">
        <v>2</v>
      </c>
      <c r="I199" s="87"/>
      <c r="J199" s="84" t="s">
        <v>487</v>
      </c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 spans="1:28" ht="15.75" customHeight="1" x14ac:dyDescent="0.2">
      <c r="A200" s="81">
        <v>199</v>
      </c>
      <c r="B200" s="82" t="str">
        <f>UPPER(LEFT(C200,2)&amp;LEFT(D200,2)&amp;LEFT(E200,3)&amp;LEFT(J200)&amp;LEFT(Cod_Gen6[[#This Row],[Cantidad unitaria]],2))</f>
        <v>MAGA100-3</v>
      </c>
      <c r="C200" s="86" t="s">
        <v>86</v>
      </c>
      <c r="D200" s="86" t="s">
        <v>17</v>
      </c>
      <c r="E200" s="86" t="s">
        <v>479</v>
      </c>
      <c r="F200" s="86"/>
      <c r="G200" s="116" t="s">
        <v>445</v>
      </c>
      <c r="H200" s="122">
        <v>3</v>
      </c>
      <c r="I200" s="87"/>
      <c r="J200" s="84" t="s">
        <v>487</v>
      </c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 spans="1:28" ht="15.75" customHeight="1" x14ac:dyDescent="0.2">
      <c r="A201" s="81">
        <v>200</v>
      </c>
      <c r="B201" s="82" t="str">
        <f>UPPER(LEFT(C201,2)&amp;LEFT(D201,2)&amp;LEFT(E201,3)&amp;LEFT(J201)&amp;LEFT(Cod_Gen6[[#This Row],[Cantidad unitaria]],2))</f>
        <v>MAGA100-4</v>
      </c>
      <c r="C201" s="86" t="s">
        <v>86</v>
      </c>
      <c r="D201" s="86" t="s">
        <v>17</v>
      </c>
      <c r="E201" s="86" t="s">
        <v>479</v>
      </c>
      <c r="F201" s="86"/>
      <c r="G201" s="116" t="s">
        <v>445</v>
      </c>
      <c r="H201" s="122">
        <v>4</v>
      </c>
      <c r="I201" s="87"/>
      <c r="J201" s="84" t="s">
        <v>487</v>
      </c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 spans="1:28" ht="15.75" customHeight="1" x14ac:dyDescent="0.2">
      <c r="A202" s="81">
        <v>201</v>
      </c>
      <c r="B202" s="82" t="str">
        <f>UPPER(LEFT(C202,2)&amp;LEFT(D202,2)&amp;LEFT(E202,3)&amp;LEFT(J202)&amp;LEFT(Cod_Gen6[[#This Row],[Cantidad unitaria]],2))</f>
        <v>MAPUHF9-1</v>
      </c>
      <c r="C202" s="86" t="s">
        <v>87</v>
      </c>
      <c r="D202" s="86" t="s">
        <v>88</v>
      </c>
      <c r="E202" s="86" t="s">
        <v>534</v>
      </c>
      <c r="F202" s="86"/>
      <c r="G202" s="117" t="s">
        <v>486</v>
      </c>
      <c r="H202" s="117">
        <v>1</v>
      </c>
      <c r="I202" s="87">
        <v>1</v>
      </c>
      <c r="J202" s="84" t="s">
        <v>487</v>
      </c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 spans="1:28" ht="15.75" customHeight="1" x14ac:dyDescent="0.2">
      <c r="A203" s="81">
        <v>202</v>
      </c>
      <c r="B203" s="82" t="str">
        <f>UPPER(LEFT(C203,2)&amp;LEFT(D203,2)&amp;LEFT(E203,3)&amp;LEFT(J203)&amp;LEFT(Cod_Gen6[[#This Row],[Cantidad unitaria]],2))</f>
        <v>MAMO150-1</v>
      </c>
      <c r="C203" s="86" t="s">
        <v>87</v>
      </c>
      <c r="D203" s="106" t="s">
        <v>451</v>
      </c>
      <c r="E203" s="106">
        <v>1500</v>
      </c>
      <c r="F203" s="106"/>
      <c r="G203" s="106" t="s">
        <v>486</v>
      </c>
      <c r="H203" s="106">
        <v>1</v>
      </c>
      <c r="I203" s="107">
        <v>1</v>
      </c>
      <c r="J203" s="84" t="s">
        <v>487</v>
      </c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 spans="1:28" ht="15.75" customHeight="1" x14ac:dyDescent="0.2">
      <c r="A204" s="81">
        <v>203</v>
      </c>
      <c r="B204" s="82" t="str">
        <f>UPPER(LEFT(C204,2)&amp;LEFT(D204,2)&amp;LEFT(E204,3)&amp;LEFT(J204)&amp;LEFT(Cod_Gen6[[#This Row],[Cantidad unitaria]],2))</f>
        <v>MEK-K68-1</v>
      </c>
      <c r="C204" s="82" t="s">
        <v>89</v>
      </c>
      <c r="D204" s="82" t="s">
        <v>90</v>
      </c>
      <c r="E204" s="82" t="s">
        <v>91</v>
      </c>
      <c r="F204" s="82"/>
      <c r="G204" s="117" t="s">
        <v>31</v>
      </c>
      <c r="H204" s="106">
        <v>1</v>
      </c>
      <c r="I204" s="83">
        <v>1</v>
      </c>
      <c r="J204" s="84" t="s">
        <v>487</v>
      </c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 spans="1:28" ht="15.75" customHeight="1" x14ac:dyDescent="0.2">
      <c r="A205" s="81">
        <v>204</v>
      </c>
      <c r="B205" s="82" t="str">
        <f>UPPER(LEFT(C205,2)&amp;LEFT(D205,2)&amp;LEFT(E205,3)&amp;LEFT(J205)&amp;LEFT(Cod_Gen6[[#This Row],[Cantidad unitaria]],2))</f>
        <v>MESOEPM-1</v>
      </c>
      <c r="C205" s="86" t="s">
        <v>89</v>
      </c>
      <c r="D205" s="86" t="s">
        <v>92</v>
      </c>
      <c r="E205" s="86" t="s">
        <v>93</v>
      </c>
      <c r="F205" s="86"/>
      <c r="G205" s="117" t="s">
        <v>31</v>
      </c>
      <c r="H205" s="117">
        <v>1</v>
      </c>
      <c r="I205" s="87">
        <v>2</v>
      </c>
      <c r="J205" s="84" t="s">
        <v>487</v>
      </c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 spans="1:28" ht="15.75" customHeight="1" x14ac:dyDescent="0.2">
      <c r="A206" s="81">
        <v>205</v>
      </c>
      <c r="B206" s="82" t="str">
        <f>UPPER(LEFT(C206,2)&amp;LEFT(D206,2)&amp;LEFT(E206,3)&amp;LEFT(J206)&amp;LEFT(Cod_Gen6[[#This Row],[Cantidad unitaria]],2))</f>
        <v>MESOEPM-2</v>
      </c>
      <c r="C206" s="86" t="s">
        <v>89</v>
      </c>
      <c r="D206" s="86" t="s">
        <v>92</v>
      </c>
      <c r="E206" s="86" t="s">
        <v>93</v>
      </c>
      <c r="F206" s="86"/>
      <c r="G206" s="117" t="s">
        <v>31</v>
      </c>
      <c r="H206" s="122">
        <v>2</v>
      </c>
      <c r="I206" s="107"/>
      <c r="J206" s="84" t="s">
        <v>487</v>
      </c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 spans="1:28" ht="15.75" customHeight="1" x14ac:dyDescent="0.2">
      <c r="A207" s="81">
        <v>206</v>
      </c>
      <c r="B207" s="82" t="str">
        <f>UPPER(LEFT(C207,2)&amp;LEFT(D207,2)&amp;LEFT(E207,3)&amp;LEFT(J207)&amp;LEFT(Cod_Gen6[[#This Row],[Cantidad unitaria]],2))</f>
        <v>MESOSIG-1</v>
      </c>
      <c r="C207" s="82" t="s">
        <v>89</v>
      </c>
      <c r="D207" s="82" t="s">
        <v>92</v>
      </c>
      <c r="E207" s="82" t="s">
        <v>94</v>
      </c>
      <c r="F207" s="82"/>
      <c r="G207" s="117" t="s">
        <v>31</v>
      </c>
      <c r="H207" s="106">
        <v>1</v>
      </c>
      <c r="I207" s="83">
        <v>1</v>
      </c>
      <c r="J207" s="84" t="s">
        <v>487</v>
      </c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 spans="1:28" ht="15.75" customHeight="1" x14ac:dyDescent="0.2">
      <c r="A208" s="81">
        <v>207</v>
      </c>
      <c r="B208" s="82" t="str">
        <f>UPPER(LEFT(C208,2)&amp;LEFT(D208,2)&amp;LEFT(E208,3)&amp;LEFT(J208)&amp;LEFT(Cod_Gen6[[#This Row],[Cantidad unitaria]],2))</f>
        <v>MESOUI2-1</v>
      </c>
      <c r="C208" s="86" t="s">
        <v>89</v>
      </c>
      <c r="D208" s="86" t="s">
        <v>92</v>
      </c>
      <c r="E208" s="86" t="s">
        <v>95</v>
      </c>
      <c r="F208" s="86"/>
      <c r="G208" s="117" t="s">
        <v>31</v>
      </c>
      <c r="H208" s="117">
        <v>1</v>
      </c>
      <c r="I208" s="87">
        <v>1</v>
      </c>
      <c r="J208" s="84" t="s">
        <v>487</v>
      </c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 spans="1:28" ht="15" x14ac:dyDescent="0.2">
      <c r="A209" s="81">
        <v>208</v>
      </c>
      <c r="B209" s="82" t="str">
        <f>UPPER(LEFT(C209,2)&amp;LEFT(D209,2)&amp;LEFT(E209,3)&amp;LEFT(J209)&amp;LEFT(Cod_Gen6[[#This Row],[Cantidad unitaria]],2))</f>
        <v>MIBESIN-1</v>
      </c>
      <c r="C209" s="82" t="s">
        <v>96</v>
      </c>
      <c r="D209" s="82" t="s">
        <v>97</v>
      </c>
      <c r="E209" s="82" t="s">
        <v>21</v>
      </c>
      <c r="F209" s="82"/>
      <c r="G209" s="117" t="s">
        <v>31</v>
      </c>
      <c r="H209" s="106">
        <v>1</v>
      </c>
      <c r="I209" s="83">
        <v>2</v>
      </c>
      <c r="J209" s="84" t="s">
        <v>487</v>
      </c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 spans="1:28" ht="15" x14ac:dyDescent="0.2">
      <c r="A210" s="81">
        <v>209</v>
      </c>
      <c r="B210" s="82" t="str">
        <f>UPPER(LEFT(C210,2)&amp;LEFT(D210,2)&amp;LEFT(E210,3)&amp;LEFT(J210)&amp;LEFT(Cod_Gen6[[#This Row],[Cantidad unitaria]],2))</f>
        <v>MIBESIN-2</v>
      </c>
      <c r="C210" s="82" t="s">
        <v>96</v>
      </c>
      <c r="D210" s="82" t="s">
        <v>97</v>
      </c>
      <c r="E210" s="82" t="s">
        <v>21</v>
      </c>
      <c r="F210" s="106"/>
      <c r="G210" s="117" t="s">
        <v>31</v>
      </c>
      <c r="H210" s="122">
        <v>2</v>
      </c>
      <c r="I210" s="107"/>
      <c r="J210" s="84" t="s">
        <v>487</v>
      </c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 spans="1:28" ht="15" x14ac:dyDescent="0.2">
      <c r="A211" s="81">
        <v>210</v>
      </c>
      <c r="B211" s="82" t="str">
        <f>UPPER(LEFT(C211,2)&amp;LEFT(D211,2)&amp;LEFT(E211,3)&amp;LEFT(J211)&amp;LEFT(Cod_Gen6[[#This Row],[Cantidad unitaria]],2))</f>
        <v>MINAHT1-1</v>
      </c>
      <c r="C211" s="86" t="s">
        <v>98</v>
      </c>
      <c r="D211" s="86" t="s">
        <v>99</v>
      </c>
      <c r="E211" s="86" t="s">
        <v>535</v>
      </c>
      <c r="F211" s="86"/>
      <c r="G211" s="117" t="s">
        <v>31</v>
      </c>
      <c r="H211" s="117">
        <v>1</v>
      </c>
      <c r="I211" s="87">
        <v>1</v>
      </c>
      <c r="J211" s="84" t="s">
        <v>487</v>
      </c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 spans="1:28" ht="15" x14ac:dyDescent="0.2">
      <c r="A212" s="81">
        <v>211</v>
      </c>
      <c r="B212" s="82" t="str">
        <f>UPPER(LEFT(C212,2)&amp;LEFT(D212,2)&amp;LEFT(E212,3)&amp;LEFT(J212)&amp;LEFT(Cod_Gen6[[#This Row],[Cantidad unitaria]],2))</f>
        <v>MISHSM5-1</v>
      </c>
      <c r="C212" s="82" t="s">
        <v>96</v>
      </c>
      <c r="D212" s="82" t="s">
        <v>100</v>
      </c>
      <c r="E212" s="82" t="s">
        <v>101</v>
      </c>
      <c r="F212" s="82"/>
      <c r="G212" s="117" t="s">
        <v>31</v>
      </c>
      <c r="H212" s="106">
        <v>1</v>
      </c>
      <c r="I212" s="83">
        <v>1</v>
      </c>
      <c r="J212" s="84" t="s">
        <v>487</v>
      </c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 spans="1:28" ht="15" x14ac:dyDescent="0.2">
      <c r="A213" s="81">
        <v>212</v>
      </c>
      <c r="B213" s="82" t="str">
        <f>UPPER(LEFT(C213,2)&amp;LEFT(D213,2)&amp;LEFT(E213,3)&amp;LEFT(J213)&amp;LEFT(Cod_Gen6[[#This Row],[Cantidad unitaria]],2))</f>
        <v>INSHSM5-1</v>
      </c>
      <c r="C213" s="86" t="s">
        <v>102</v>
      </c>
      <c r="D213" s="86" t="s">
        <v>100</v>
      </c>
      <c r="E213" s="86" t="s">
        <v>101</v>
      </c>
      <c r="F213" s="86"/>
      <c r="G213" s="117" t="s">
        <v>31</v>
      </c>
      <c r="H213" s="117">
        <v>1</v>
      </c>
      <c r="I213" s="87">
        <v>1</v>
      </c>
      <c r="J213" s="84" t="s">
        <v>487</v>
      </c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 spans="1:28" ht="15" x14ac:dyDescent="0.2">
      <c r="A214" s="81">
        <v>213</v>
      </c>
      <c r="B214" s="82" t="str">
        <f>UPPER(LEFT(C214,2)&amp;LEFT(D214,2)&amp;LEFT(E214,3)&amp;LEFT(J214)&amp;LEFT(Cod_Gen6[[#This Row],[Cantidad unitaria]],2))</f>
        <v>MISKUHF-1</v>
      </c>
      <c r="C214" s="82" t="s">
        <v>96</v>
      </c>
      <c r="D214" s="82" t="s">
        <v>103</v>
      </c>
      <c r="E214" s="82" t="s">
        <v>104</v>
      </c>
      <c r="F214" s="82"/>
      <c r="G214" s="117" t="s">
        <v>31</v>
      </c>
      <c r="H214" s="106">
        <v>1</v>
      </c>
      <c r="I214" s="83">
        <v>2</v>
      </c>
      <c r="J214" s="84" t="s">
        <v>487</v>
      </c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 spans="1:28" ht="15" x14ac:dyDescent="0.2">
      <c r="A215" s="81">
        <v>214</v>
      </c>
      <c r="B215" s="82" t="str">
        <f>UPPER(LEFT(C215,2)&amp;LEFT(D215,2)&amp;LEFT(E215,3)&amp;LEFT(J215)&amp;LEFT(Cod_Gen6[[#This Row],[Cantidad unitaria]],2))</f>
        <v>MISKUHF-2</v>
      </c>
      <c r="C215" s="82" t="s">
        <v>96</v>
      </c>
      <c r="D215" s="82" t="s">
        <v>103</v>
      </c>
      <c r="E215" s="82" t="s">
        <v>104</v>
      </c>
      <c r="F215" s="106"/>
      <c r="G215" s="117" t="s">
        <v>31</v>
      </c>
      <c r="H215" s="122">
        <v>2</v>
      </c>
      <c r="I215" s="107"/>
      <c r="J215" s="84" t="s">
        <v>487</v>
      </c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 spans="1:28" ht="15" x14ac:dyDescent="0.2">
      <c r="A216" s="81">
        <v>215</v>
      </c>
      <c r="B216" s="82" t="str">
        <f>UPPER(LEFT(C216,2)&amp;LEFT(D216,2)&amp;LEFT(E216,3)&amp;LEFT(J216)&amp;LEFT(Cod_Gen6[[#This Row],[Cantidad unitaria]],2))</f>
        <v>PA4LN/A-1</v>
      </c>
      <c r="C216" s="86" t="s">
        <v>105</v>
      </c>
      <c r="D216" s="86" t="s">
        <v>106</v>
      </c>
      <c r="E216" s="86" t="s">
        <v>462</v>
      </c>
      <c r="F216" s="86"/>
      <c r="G216" s="117" t="s">
        <v>485</v>
      </c>
      <c r="H216" s="117">
        <v>1</v>
      </c>
      <c r="I216" s="87">
        <v>2</v>
      </c>
      <c r="J216" s="84" t="s">
        <v>487</v>
      </c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 spans="1:28" ht="15" x14ac:dyDescent="0.2">
      <c r="A217" s="81">
        <v>216</v>
      </c>
      <c r="B217" s="82" t="str">
        <f>UPPER(LEFT(C217,2)&amp;LEFT(D217,2)&amp;LEFT(E217,3)&amp;LEFT(J217)&amp;LEFT(Cod_Gen6[[#This Row],[Cantidad unitaria]],2))</f>
        <v>PA4LN/A-2</v>
      </c>
      <c r="C217" s="86" t="s">
        <v>105</v>
      </c>
      <c r="D217" s="86" t="s">
        <v>106</v>
      </c>
      <c r="E217" s="86" t="s">
        <v>462</v>
      </c>
      <c r="F217" s="106"/>
      <c r="G217" s="117" t="s">
        <v>485</v>
      </c>
      <c r="H217" s="122">
        <v>2</v>
      </c>
      <c r="I217" s="107"/>
      <c r="J217" s="84" t="s">
        <v>487</v>
      </c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 spans="1:28" ht="15" x14ac:dyDescent="0.2">
      <c r="A218" s="81">
        <v>217</v>
      </c>
      <c r="B218" s="82" t="str">
        <f>UPPER(LEFT(C218,2)&amp;LEFT(D218,2)&amp;LEFT(E218,3)&amp;LEFT(J218)&amp;LEFT(Cod_Gen6[[#This Row],[Cantidad unitaria]],2))</f>
        <v>PAAO7X1-1</v>
      </c>
      <c r="C218" s="82" t="s">
        <v>107</v>
      </c>
      <c r="D218" s="82" t="s">
        <v>28</v>
      </c>
      <c r="E218" s="82" t="s">
        <v>108</v>
      </c>
      <c r="F218" s="82"/>
      <c r="G218" s="116" t="s">
        <v>444</v>
      </c>
      <c r="H218" s="116">
        <v>1</v>
      </c>
      <c r="I218" s="83">
        <v>24</v>
      </c>
      <c r="J218" s="84" t="s">
        <v>487</v>
      </c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 spans="1:28" ht="15" x14ac:dyDescent="0.2">
      <c r="A219" s="81">
        <v>218</v>
      </c>
      <c r="B219" s="82" t="str">
        <f>UPPER(LEFT(C219,2)&amp;LEFT(D219,2)&amp;LEFT(E219,3)&amp;LEFT(J219)&amp;LEFT(Cod_Gen6[[#This Row],[Cantidad unitaria]],2))</f>
        <v>PAAO7X1-2</v>
      </c>
      <c r="C219" s="82" t="s">
        <v>107</v>
      </c>
      <c r="D219" s="82" t="s">
        <v>28</v>
      </c>
      <c r="E219" s="82" t="s">
        <v>108</v>
      </c>
      <c r="F219" s="106"/>
      <c r="G219" s="116" t="s">
        <v>444</v>
      </c>
      <c r="H219" s="122">
        <v>2</v>
      </c>
      <c r="I219" s="107"/>
      <c r="J219" s="84" t="s">
        <v>487</v>
      </c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 spans="1:28" ht="15" x14ac:dyDescent="0.2">
      <c r="A220" s="81">
        <v>219</v>
      </c>
      <c r="B220" s="82" t="str">
        <f>UPPER(LEFT(C220,2)&amp;LEFT(D220,2)&amp;LEFT(E220,3)&amp;LEFT(J220)&amp;LEFT(Cod_Gen6[[#This Row],[Cantidad unitaria]],2))</f>
        <v>PAAO7X1-3</v>
      </c>
      <c r="C220" s="82" t="s">
        <v>107</v>
      </c>
      <c r="D220" s="82" t="s">
        <v>28</v>
      </c>
      <c r="E220" s="82" t="s">
        <v>108</v>
      </c>
      <c r="F220" s="106"/>
      <c r="G220" s="116" t="s">
        <v>444</v>
      </c>
      <c r="H220" s="122">
        <v>3</v>
      </c>
      <c r="I220" s="107"/>
      <c r="J220" s="84" t="s">
        <v>487</v>
      </c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 spans="1:28" ht="15" x14ac:dyDescent="0.2">
      <c r="A221" s="81">
        <v>220</v>
      </c>
      <c r="B221" s="82" t="str">
        <f>UPPER(LEFT(C221,2)&amp;LEFT(D221,2)&amp;LEFT(E221,3)&amp;LEFT(J221)&amp;LEFT(Cod_Gen6[[#This Row],[Cantidad unitaria]],2))</f>
        <v>PAAO7X1-4</v>
      </c>
      <c r="C221" s="82" t="s">
        <v>107</v>
      </c>
      <c r="D221" s="82" t="s">
        <v>28</v>
      </c>
      <c r="E221" s="82" t="s">
        <v>108</v>
      </c>
      <c r="F221" s="106"/>
      <c r="G221" s="116" t="s">
        <v>444</v>
      </c>
      <c r="H221" s="116">
        <v>4</v>
      </c>
      <c r="I221" s="107"/>
      <c r="J221" s="84" t="s">
        <v>487</v>
      </c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 spans="1:28" ht="15" x14ac:dyDescent="0.2">
      <c r="A222" s="81">
        <v>221</v>
      </c>
      <c r="B222" s="82" t="str">
        <f>UPPER(LEFT(C222,2)&amp;LEFT(D222,2)&amp;LEFT(E222,3)&amp;LEFT(J222)&amp;LEFT(Cod_Gen6[[#This Row],[Cantidad unitaria]],2))</f>
        <v>PAAO7X1-5</v>
      </c>
      <c r="C222" s="82" t="s">
        <v>107</v>
      </c>
      <c r="D222" s="82" t="s">
        <v>28</v>
      </c>
      <c r="E222" s="82" t="s">
        <v>108</v>
      </c>
      <c r="F222" s="106"/>
      <c r="G222" s="116" t="s">
        <v>444</v>
      </c>
      <c r="H222" s="122">
        <v>5</v>
      </c>
      <c r="I222" s="107"/>
      <c r="J222" s="84" t="s">
        <v>487</v>
      </c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 spans="1:28" ht="15" x14ac:dyDescent="0.2">
      <c r="A223" s="81">
        <v>222</v>
      </c>
      <c r="B223" s="82" t="str">
        <f>UPPER(LEFT(C223,2)&amp;LEFT(D223,2)&amp;LEFT(E223,3)&amp;LEFT(J223)&amp;LEFT(Cod_Gen6[[#This Row],[Cantidad unitaria]],2))</f>
        <v>PAAO7X1-6</v>
      </c>
      <c r="C223" s="82" t="s">
        <v>107</v>
      </c>
      <c r="D223" s="82" t="s">
        <v>28</v>
      </c>
      <c r="E223" s="82" t="s">
        <v>108</v>
      </c>
      <c r="F223" s="106"/>
      <c r="G223" s="116" t="s">
        <v>444</v>
      </c>
      <c r="H223" s="122">
        <v>6</v>
      </c>
      <c r="I223" s="107"/>
      <c r="J223" s="84" t="s">
        <v>487</v>
      </c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 spans="1:28" ht="15" x14ac:dyDescent="0.2">
      <c r="A224" s="81">
        <v>223</v>
      </c>
      <c r="B224" s="82" t="str">
        <f>UPPER(LEFT(C224,2)&amp;LEFT(D224,2)&amp;LEFT(E224,3)&amp;LEFT(J224)&amp;LEFT(Cod_Gen6[[#This Row],[Cantidad unitaria]],2))</f>
        <v>PAAO7X1-7</v>
      </c>
      <c r="C224" s="82" t="s">
        <v>107</v>
      </c>
      <c r="D224" s="82" t="s">
        <v>28</v>
      </c>
      <c r="E224" s="82" t="s">
        <v>108</v>
      </c>
      <c r="F224" s="106"/>
      <c r="G224" s="116" t="s">
        <v>444</v>
      </c>
      <c r="H224" s="116">
        <v>7</v>
      </c>
      <c r="I224" s="107"/>
      <c r="J224" s="84" t="s">
        <v>487</v>
      </c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 spans="1:28" ht="15" x14ac:dyDescent="0.2">
      <c r="A225" s="81">
        <v>224</v>
      </c>
      <c r="B225" s="82" t="str">
        <f>UPPER(LEFT(C225,2)&amp;LEFT(D225,2)&amp;LEFT(E225,3)&amp;LEFT(J225)&amp;LEFT(Cod_Gen6[[#This Row],[Cantidad unitaria]],2))</f>
        <v>PAAO7X1-8</v>
      </c>
      <c r="C225" s="82" t="s">
        <v>107</v>
      </c>
      <c r="D225" s="82" t="s">
        <v>28</v>
      </c>
      <c r="E225" s="82" t="s">
        <v>108</v>
      </c>
      <c r="F225" s="106"/>
      <c r="G225" s="116" t="s">
        <v>444</v>
      </c>
      <c r="H225" s="122">
        <v>8</v>
      </c>
      <c r="I225" s="107"/>
      <c r="J225" s="84" t="s">
        <v>487</v>
      </c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 spans="1:28" ht="15" x14ac:dyDescent="0.2">
      <c r="A226" s="81">
        <v>225</v>
      </c>
      <c r="B226" s="82" t="str">
        <f>UPPER(LEFT(C226,2)&amp;LEFT(D226,2)&amp;LEFT(E226,3)&amp;LEFT(J226)&amp;LEFT(Cod_Gen6[[#This Row],[Cantidad unitaria]],2))</f>
        <v>PAAO7X1-9</v>
      </c>
      <c r="C226" s="82" t="s">
        <v>107</v>
      </c>
      <c r="D226" s="82" t="s">
        <v>28</v>
      </c>
      <c r="E226" s="82" t="s">
        <v>108</v>
      </c>
      <c r="F226" s="106"/>
      <c r="G226" s="116" t="s">
        <v>444</v>
      </c>
      <c r="H226" s="122">
        <v>9</v>
      </c>
      <c r="I226" s="107"/>
      <c r="J226" s="84" t="s">
        <v>487</v>
      </c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 spans="1:28" ht="15" x14ac:dyDescent="0.2">
      <c r="A227" s="81">
        <v>226</v>
      </c>
      <c r="B227" s="82" t="str">
        <f>UPPER(LEFT(C227,2)&amp;LEFT(D227,2)&amp;LEFT(E227,3)&amp;LEFT(J227)&amp;LEFT(Cod_Gen6[[#This Row],[Cantidad unitaria]],2))</f>
        <v>PAAO7X1-10</v>
      </c>
      <c r="C227" s="82" t="s">
        <v>107</v>
      </c>
      <c r="D227" s="82" t="s">
        <v>28</v>
      </c>
      <c r="E227" s="82" t="s">
        <v>108</v>
      </c>
      <c r="F227" s="106"/>
      <c r="G227" s="116" t="s">
        <v>444</v>
      </c>
      <c r="H227" s="116">
        <v>10</v>
      </c>
      <c r="I227" s="107"/>
      <c r="J227" s="84" t="s">
        <v>487</v>
      </c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 spans="1:28" ht="15" x14ac:dyDescent="0.2">
      <c r="A228" s="81">
        <v>227</v>
      </c>
      <c r="B228" s="82" t="str">
        <f>UPPER(LEFT(C228,2)&amp;LEFT(D228,2)&amp;LEFT(E228,3)&amp;LEFT(J228)&amp;LEFT(Cod_Gen6[[#This Row],[Cantidad unitaria]],2))</f>
        <v>PAAO7X1-11</v>
      </c>
      <c r="C228" s="82" t="s">
        <v>107</v>
      </c>
      <c r="D228" s="82" t="s">
        <v>28</v>
      </c>
      <c r="E228" s="82" t="s">
        <v>108</v>
      </c>
      <c r="F228" s="106"/>
      <c r="G228" s="116" t="s">
        <v>444</v>
      </c>
      <c r="H228" s="122">
        <v>11</v>
      </c>
      <c r="I228" s="107"/>
      <c r="J228" s="84" t="s">
        <v>487</v>
      </c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 spans="1:28" ht="15" x14ac:dyDescent="0.2">
      <c r="A229" s="81">
        <v>228</v>
      </c>
      <c r="B229" s="82" t="str">
        <f>UPPER(LEFT(C229,2)&amp;LEFT(D229,2)&amp;LEFT(E229,3)&amp;LEFT(J229)&amp;LEFT(Cod_Gen6[[#This Row],[Cantidad unitaria]],2))</f>
        <v>PAAO7X1-12</v>
      </c>
      <c r="C229" s="82" t="s">
        <v>107</v>
      </c>
      <c r="D229" s="82" t="s">
        <v>28</v>
      </c>
      <c r="E229" s="82" t="s">
        <v>108</v>
      </c>
      <c r="F229" s="106"/>
      <c r="G229" s="116" t="s">
        <v>444</v>
      </c>
      <c r="H229" s="122">
        <v>12</v>
      </c>
      <c r="I229" s="107"/>
      <c r="J229" s="84" t="s">
        <v>487</v>
      </c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 spans="1:28" ht="15" x14ac:dyDescent="0.2">
      <c r="A230" s="81">
        <v>229</v>
      </c>
      <c r="B230" s="82" t="str">
        <f>UPPER(LEFT(C230,2)&amp;LEFT(D230,2)&amp;LEFT(E230,3)&amp;LEFT(J230)&amp;LEFT(Cod_Gen6[[#This Row],[Cantidad unitaria]],2))</f>
        <v>PAAO7X1-13</v>
      </c>
      <c r="C230" s="82" t="s">
        <v>107</v>
      </c>
      <c r="D230" s="82" t="s">
        <v>28</v>
      </c>
      <c r="E230" s="82" t="s">
        <v>108</v>
      </c>
      <c r="F230" s="106"/>
      <c r="G230" s="116" t="s">
        <v>444</v>
      </c>
      <c r="H230" s="116">
        <v>13</v>
      </c>
      <c r="I230" s="107"/>
      <c r="J230" s="84" t="s">
        <v>487</v>
      </c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 spans="1:28" ht="15" x14ac:dyDescent="0.2">
      <c r="A231" s="81">
        <v>230</v>
      </c>
      <c r="B231" s="82" t="str">
        <f>UPPER(LEFT(C231,2)&amp;LEFT(D231,2)&amp;LEFT(E231,3)&amp;LEFT(J231)&amp;LEFT(Cod_Gen6[[#This Row],[Cantidad unitaria]],2))</f>
        <v>PAAO7X1-14</v>
      </c>
      <c r="C231" s="82" t="s">
        <v>107</v>
      </c>
      <c r="D231" s="82" t="s">
        <v>28</v>
      </c>
      <c r="E231" s="82" t="s">
        <v>108</v>
      </c>
      <c r="F231" s="106"/>
      <c r="G231" s="116" t="s">
        <v>444</v>
      </c>
      <c r="H231" s="122">
        <v>14</v>
      </c>
      <c r="I231" s="107"/>
      <c r="J231" s="84" t="s">
        <v>487</v>
      </c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 spans="1:28" ht="15" x14ac:dyDescent="0.2">
      <c r="A232" s="81">
        <v>231</v>
      </c>
      <c r="B232" s="82" t="str">
        <f>UPPER(LEFT(C232,2)&amp;LEFT(D232,2)&amp;LEFT(E232,3)&amp;LEFT(J232)&amp;LEFT(Cod_Gen6[[#This Row],[Cantidad unitaria]],2))</f>
        <v>PAAO7X1-15</v>
      </c>
      <c r="C232" s="82" t="s">
        <v>107</v>
      </c>
      <c r="D232" s="82" t="s">
        <v>28</v>
      </c>
      <c r="E232" s="82" t="s">
        <v>108</v>
      </c>
      <c r="F232" s="106"/>
      <c r="G232" s="116" t="s">
        <v>444</v>
      </c>
      <c r="H232" s="122">
        <v>15</v>
      </c>
      <c r="I232" s="107"/>
      <c r="J232" s="84" t="s">
        <v>487</v>
      </c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 spans="1:28" ht="15" x14ac:dyDescent="0.2">
      <c r="A233" s="81">
        <v>232</v>
      </c>
      <c r="B233" s="82" t="str">
        <f>UPPER(LEFT(C233,2)&amp;LEFT(D233,2)&amp;LEFT(E233,3)&amp;LEFT(J233)&amp;LEFT(Cod_Gen6[[#This Row],[Cantidad unitaria]],2))</f>
        <v>PAAO7X1-16</v>
      </c>
      <c r="C233" s="82" t="s">
        <v>107</v>
      </c>
      <c r="D233" s="82" t="s">
        <v>28</v>
      </c>
      <c r="E233" s="82" t="s">
        <v>108</v>
      </c>
      <c r="F233" s="106"/>
      <c r="G233" s="116" t="s">
        <v>444</v>
      </c>
      <c r="H233" s="116">
        <v>16</v>
      </c>
      <c r="I233" s="107"/>
      <c r="J233" s="84" t="s">
        <v>487</v>
      </c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 spans="1:28" ht="15" x14ac:dyDescent="0.2">
      <c r="A234" s="81">
        <v>233</v>
      </c>
      <c r="B234" s="82" t="str">
        <f>UPPER(LEFT(C234,2)&amp;LEFT(D234,2)&amp;LEFT(E234,3)&amp;LEFT(J234)&amp;LEFT(Cod_Gen6[[#This Row],[Cantidad unitaria]],2))</f>
        <v>PAAO7X1-17</v>
      </c>
      <c r="C234" s="82" t="s">
        <v>107</v>
      </c>
      <c r="D234" s="82" t="s">
        <v>28</v>
      </c>
      <c r="E234" s="82" t="s">
        <v>108</v>
      </c>
      <c r="F234" s="106"/>
      <c r="G234" s="116" t="s">
        <v>444</v>
      </c>
      <c r="H234" s="122">
        <v>17</v>
      </c>
      <c r="I234" s="107"/>
      <c r="J234" s="84" t="s">
        <v>487</v>
      </c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 spans="1:28" ht="15" x14ac:dyDescent="0.2">
      <c r="A235" s="81">
        <v>234</v>
      </c>
      <c r="B235" s="82" t="str">
        <f>UPPER(LEFT(C235,2)&amp;LEFT(D235,2)&amp;LEFT(E235,3)&amp;LEFT(J235)&amp;LEFT(Cod_Gen6[[#This Row],[Cantidad unitaria]],2))</f>
        <v>PAAO7X1-18</v>
      </c>
      <c r="C235" s="82" t="s">
        <v>107</v>
      </c>
      <c r="D235" s="82" t="s">
        <v>28</v>
      </c>
      <c r="E235" s="82" t="s">
        <v>108</v>
      </c>
      <c r="F235" s="106"/>
      <c r="G235" s="116" t="s">
        <v>444</v>
      </c>
      <c r="H235" s="122">
        <v>18</v>
      </c>
      <c r="I235" s="107"/>
      <c r="J235" s="84" t="s">
        <v>487</v>
      </c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 spans="1:28" ht="15" x14ac:dyDescent="0.2">
      <c r="A236" s="81">
        <v>235</v>
      </c>
      <c r="B236" s="82" t="str">
        <f>UPPER(LEFT(C236,2)&amp;LEFT(D236,2)&amp;LEFT(E236,3)&amp;LEFT(J236)&amp;LEFT(Cod_Gen6[[#This Row],[Cantidad unitaria]],2))</f>
        <v>PAAO7X1-19</v>
      </c>
      <c r="C236" s="82" t="s">
        <v>107</v>
      </c>
      <c r="D236" s="82" t="s">
        <v>28</v>
      </c>
      <c r="E236" s="82" t="s">
        <v>108</v>
      </c>
      <c r="F236" s="106"/>
      <c r="G236" s="116" t="s">
        <v>444</v>
      </c>
      <c r="H236" s="116">
        <v>19</v>
      </c>
      <c r="I236" s="107"/>
      <c r="J236" s="84" t="s">
        <v>487</v>
      </c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 spans="1:28" ht="15" x14ac:dyDescent="0.2">
      <c r="A237" s="81">
        <v>236</v>
      </c>
      <c r="B237" s="82" t="str">
        <f>UPPER(LEFT(C237,2)&amp;LEFT(D237,2)&amp;LEFT(E237,3)&amp;LEFT(J237)&amp;LEFT(Cod_Gen6[[#This Row],[Cantidad unitaria]],2))</f>
        <v>PAAO7X1-20</v>
      </c>
      <c r="C237" s="82" t="s">
        <v>107</v>
      </c>
      <c r="D237" s="82" t="s">
        <v>28</v>
      </c>
      <c r="E237" s="82" t="s">
        <v>108</v>
      </c>
      <c r="F237" s="106"/>
      <c r="G237" s="116" t="s">
        <v>444</v>
      </c>
      <c r="H237" s="122">
        <v>20</v>
      </c>
      <c r="I237" s="107"/>
      <c r="J237" s="84" t="s">
        <v>487</v>
      </c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 spans="1:28" ht="15" x14ac:dyDescent="0.2">
      <c r="A238" s="81">
        <v>237</v>
      </c>
      <c r="B238" s="82" t="str">
        <f>UPPER(LEFT(C238,2)&amp;LEFT(D238,2)&amp;LEFT(E238,3)&amp;LEFT(J238)&amp;LEFT(Cod_Gen6[[#This Row],[Cantidad unitaria]],2))</f>
        <v>PAAO7X1-21</v>
      </c>
      <c r="C238" s="82" t="s">
        <v>107</v>
      </c>
      <c r="D238" s="82" t="s">
        <v>28</v>
      </c>
      <c r="E238" s="82" t="s">
        <v>108</v>
      </c>
      <c r="F238" s="106"/>
      <c r="G238" s="116" t="s">
        <v>444</v>
      </c>
      <c r="H238" s="122">
        <v>21</v>
      </c>
      <c r="I238" s="107"/>
      <c r="J238" s="84" t="s">
        <v>487</v>
      </c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 spans="1:28" ht="15" x14ac:dyDescent="0.2">
      <c r="A239" s="81">
        <v>238</v>
      </c>
      <c r="B239" s="82" t="str">
        <f>UPPER(LEFT(C239,2)&amp;LEFT(D239,2)&amp;LEFT(E239,3)&amp;LEFT(J239)&amp;LEFT(Cod_Gen6[[#This Row],[Cantidad unitaria]],2))</f>
        <v>PAAO7X1-22</v>
      </c>
      <c r="C239" s="82" t="s">
        <v>107</v>
      </c>
      <c r="D239" s="82" t="s">
        <v>28</v>
      </c>
      <c r="E239" s="82" t="s">
        <v>108</v>
      </c>
      <c r="F239" s="106"/>
      <c r="G239" s="116" t="s">
        <v>444</v>
      </c>
      <c r="H239" s="116">
        <v>22</v>
      </c>
      <c r="I239" s="107"/>
      <c r="J239" s="84" t="s">
        <v>487</v>
      </c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 spans="1:28" ht="15" x14ac:dyDescent="0.2">
      <c r="A240" s="81">
        <v>239</v>
      </c>
      <c r="B240" s="82" t="str">
        <f>UPPER(LEFT(C240,2)&amp;LEFT(D240,2)&amp;LEFT(E240,3)&amp;LEFT(J240)&amp;LEFT(Cod_Gen6[[#This Row],[Cantidad unitaria]],2))</f>
        <v>PAAO7X1-23</v>
      </c>
      <c r="C240" s="82" t="s">
        <v>107</v>
      </c>
      <c r="D240" s="82" t="s">
        <v>28</v>
      </c>
      <c r="E240" s="82" t="s">
        <v>108</v>
      </c>
      <c r="F240" s="106"/>
      <c r="G240" s="116" t="s">
        <v>444</v>
      </c>
      <c r="H240" s="122">
        <v>23</v>
      </c>
      <c r="I240" s="107"/>
      <c r="J240" s="84" t="s">
        <v>487</v>
      </c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 spans="1:28" ht="15" x14ac:dyDescent="0.2">
      <c r="A241" s="81">
        <v>240</v>
      </c>
      <c r="B241" s="82" t="str">
        <f>UPPER(LEFT(C241,2)&amp;LEFT(D241,2)&amp;LEFT(E241,3)&amp;LEFT(J241)&amp;LEFT(Cod_Gen6[[#This Row],[Cantidad unitaria]],2))</f>
        <v>PAAO7X1-24</v>
      </c>
      <c r="C241" s="82" t="s">
        <v>107</v>
      </c>
      <c r="D241" s="82" t="s">
        <v>28</v>
      </c>
      <c r="E241" s="82" t="s">
        <v>108</v>
      </c>
      <c r="F241" s="106"/>
      <c r="G241" s="116" t="s">
        <v>444</v>
      </c>
      <c r="H241" s="122">
        <v>24</v>
      </c>
      <c r="I241" s="107"/>
      <c r="J241" s="84" t="s">
        <v>487</v>
      </c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 spans="1:28" ht="15" x14ac:dyDescent="0.2">
      <c r="A242" s="81">
        <v>241</v>
      </c>
      <c r="B242" s="82" t="str">
        <f>UPPER(LEFT(C242,2)&amp;LEFT(D242,2)&amp;LEFT(E242,3)&amp;LEFT(J242)&amp;LEFT(Cod_Gen6[[#This Row],[Cantidad unitaria]],2))</f>
        <v>PABI4X5-1</v>
      </c>
      <c r="C242" s="86" t="s">
        <v>107</v>
      </c>
      <c r="D242" s="86" t="s">
        <v>72</v>
      </c>
      <c r="E242" s="86" t="s">
        <v>109</v>
      </c>
      <c r="F242" s="86"/>
      <c r="G242" s="117" t="s">
        <v>444</v>
      </c>
      <c r="H242" s="116">
        <v>1</v>
      </c>
      <c r="I242" s="87">
        <v>8</v>
      </c>
      <c r="J242" s="84" t="s">
        <v>487</v>
      </c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 spans="1:28" ht="15" x14ac:dyDescent="0.2">
      <c r="A243" s="81">
        <v>242</v>
      </c>
      <c r="B243" s="82" t="str">
        <f>UPPER(LEFT(C243,2)&amp;LEFT(D243,2)&amp;LEFT(E243,3)&amp;LEFT(J243)&amp;LEFT(Cod_Gen6[[#This Row],[Cantidad unitaria]],2))</f>
        <v>PABI4X5-2</v>
      </c>
      <c r="C243" s="86" t="s">
        <v>107</v>
      </c>
      <c r="D243" s="86" t="s">
        <v>72</v>
      </c>
      <c r="E243" s="86" t="s">
        <v>109</v>
      </c>
      <c r="F243" s="86"/>
      <c r="G243" s="117" t="s">
        <v>444</v>
      </c>
      <c r="H243" s="122">
        <v>2</v>
      </c>
      <c r="I243" s="87"/>
      <c r="J243" s="84" t="s">
        <v>487</v>
      </c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 spans="1:28" ht="15" x14ac:dyDescent="0.2">
      <c r="A244" s="81">
        <v>243</v>
      </c>
      <c r="B244" s="82" t="str">
        <f>UPPER(LEFT(C244,2)&amp;LEFT(D244,2)&amp;LEFT(E244,3)&amp;LEFT(J244)&amp;LEFT(Cod_Gen6[[#This Row],[Cantidad unitaria]],2))</f>
        <v>PABI4X5-3</v>
      </c>
      <c r="C244" s="86" t="s">
        <v>107</v>
      </c>
      <c r="D244" s="86" t="s">
        <v>72</v>
      </c>
      <c r="E244" s="86" t="s">
        <v>109</v>
      </c>
      <c r="F244" s="86"/>
      <c r="G244" s="117" t="s">
        <v>444</v>
      </c>
      <c r="H244" s="122">
        <v>3</v>
      </c>
      <c r="I244" s="87"/>
      <c r="J244" s="84" t="s">
        <v>487</v>
      </c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 spans="1:28" ht="15" x14ac:dyDescent="0.2">
      <c r="A245" s="81">
        <v>244</v>
      </c>
      <c r="B245" s="82" t="str">
        <f>UPPER(LEFT(C245,2)&amp;LEFT(D245,2)&amp;LEFT(E245,3)&amp;LEFT(J245)&amp;LEFT(Cod_Gen6[[#This Row],[Cantidad unitaria]],2))</f>
        <v>PABI4X5-4</v>
      </c>
      <c r="C245" s="86" t="s">
        <v>107</v>
      </c>
      <c r="D245" s="86" t="s">
        <v>72</v>
      </c>
      <c r="E245" s="86" t="s">
        <v>109</v>
      </c>
      <c r="F245" s="86"/>
      <c r="G245" s="117" t="s">
        <v>444</v>
      </c>
      <c r="H245" s="116">
        <v>4</v>
      </c>
      <c r="I245" s="87"/>
      <c r="J245" s="84" t="s">
        <v>487</v>
      </c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 spans="1:28" ht="15" x14ac:dyDescent="0.2">
      <c r="A246" s="81">
        <v>245</v>
      </c>
      <c r="B246" s="82" t="str">
        <f>UPPER(LEFT(C246,2)&amp;LEFT(D246,2)&amp;LEFT(E246,3)&amp;LEFT(J246)&amp;LEFT(Cod_Gen6[[#This Row],[Cantidad unitaria]],2))</f>
        <v>PABI4X5-5</v>
      </c>
      <c r="C246" s="86" t="s">
        <v>107</v>
      </c>
      <c r="D246" s="86" t="s">
        <v>72</v>
      </c>
      <c r="E246" s="86" t="s">
        <v>109</v>
      </c>
      <c r="F246" s="86"/>
      <c r="G246" s="117" t="s">
        <v>444</v>
      </c>
      <c r="H246" s="122">
        <v>5</v>
      </c>
      <c r="I246" s="87"/>
      <c r="J246" s="84" t="s">
        <v>487</v>
      </c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 spans="1:28" ht="15" x14ac:dyDescent="0.2">
      <c r="A247" s="81">
        <v>246</v>
      </c>
      <c r="B247" s="82" t="str">
        <f>UPPER(LEFT(C247,2)&amp;LEFT(D247,2)&amp;LEFT(E247,3)&amp;LEFT(J247)&amp;LEFT(Cod_Gen6[[#This Row],[Cantidad unitaria]],2))</f>
        <v>PABI4X5-6</v>
      </c>
      <c r="C247" s="86" t="s">
        <v>107</v>
      </c>
      <c r="D247" s="86" t="s">
        <v>72</v>
      </c>
      <c r="E247" s="86" t="s">
        <v>109</v>
      </c>
      <c r="F247" s="86"/>
      <c r="G247" s="117" t="s">
        <v>444</v>
      </c>
      <c r="H247" s="122">
        <v>6</v>
      </c>
      <c r="I247" s="87"/>
      <c r="J247" s="84" t="s">
        <v>487</v>
      </c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 spans="1:28" ht="15" x14ac:dyDescent="0.2">
      <c r="A248" s="81">
        <v>247</v>
      </c>
      <c r="B248" s="82" t="str">
        <f>UPPER(LEFT(C248,2)&amp;LEFT(D248,2)&amp;LEFT(E248,3)&amp;LEFT(J248)&amp;LEFT(Cod_Gen6[[#This Row],[Cantidad unitaria]],2))</f>
        <v>PABI4X5-7</v>
      </c>
      <c r="C248" s="86" t="s">
        <v>107</v>
      </c>
      <c r="D248" s="86" t="s">
        <v>72</v>
      </c>
      <c r="E248" s="86" t="s">
        <v>109</v>
      </c>
      <c r="F248" s="86"/>
      <c r="G248" s="117" t="s">
        <v>444</v>
      </c>
      <c r="H248" s="116">
        <v>7</v>
      </c>
      <c r="I248" s="87"/>
      <c r="J248" s="84" t="s">
        <v>487</v>
      </c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 spans="1:28" ht="15" x14ac:dyDescent="0.2">
      <c r="A249" s="81">
        <v>248</v>
      </c>
      <c r="B249" s="82" t="str">
        <f>UPPER(LEFT(C249,2)&amp;LEFT(D249,2)&amp;LEFT(E249,3)&amp;LEFT(J249)&amp;LEFT(Cod_Gen6[[#This Row],[Cantidad unitaria]],2))</f>
        <v>PABI4X5-8</v>
      </c>
      <c r="C249" s="86" t="s">
        <v>107</v>
      </c>
      <c r="D249" s="86" t="s">
        <v>72</v>
      </c>
      <c r="E249" s="86" t="s">
        <v>109</v>
      </c>
      <c r="F249" s="86"/>
      <c r="G249" s="117" t="s">
        <v>444</v>
      </c>
      <c r="H249" s="122">
        <v>8</v>
      </c>
      <c r="I249" s="87"/>
      <c r="J249" s="84" t="s">
        <v>487</v>
      </c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 spans="1:28" ht="15" x14ac:dyDescent="0.2">
      <c r="A250" s="81">
        <v>249</v>
      </c>
      <c r="B250" s="82" t="str">
        <f>UPPER(LEFT(C250,2)&amp;LEFT(D250,2)&amp;LEFT(E250,3)&amp;LEFT(J250)&amp;LEFT(Cod_Gen6[[#This Row],[Cantidad unitaria]],2))</f>
        <v>PAGEN/A-1</v>
      </c>
      <c r="C250" s="86" t="s">
        <v>110</v>
      </c>
      <c r="D250" s="86" t="s">
        <v>20</v>
      </c>
      <c r="E250" s="86" t="s">
        <v>462</v>
      </c>
      <c r="F250" s="86"/>
      <c r="G250" s="117" t="s">
        <v>485</v>
      </c>
      <c r="H250" s="117">
        <v>1</v>
      </c>
      <c r="I250" s="87">
        <v>4</v>
      </c>
      <c r="J250" s="84" t="s">
        <v>487</v>
      </c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 spans="1:28" ht="15" x14ac:dyDescent="0.2">
      <c r="A251" s="81">
        <v>250</v>
      </c>
      <c r="B251" s="82" t="str">
        <f>UPPER(LEFT(C251,2)&amp;LEFT(D251,2)&amp;LEFT(E251,3)&amp;LEFT(J251)&amp;LEFT(Cod_Gen6[[#This Row],[Cantidad unitaria]],2))</f>
        <v>PAGEN/A-2</v>
      </c>
      <c r="C251" s="86" t="s">
        <v>110</v>
      </c>
      <c r="D251" s="86" t="s">
        <v>20</v>
      </c>
      <c r="E251" s="86" t="s">
        <v>462</v>
      </c>
      <c r="F251" s="106"/>
      <c r="G251" s="117" t="s">
        <v>485</v>
      </c>
      <c r="H251" s="122">
        <v>2</v>
      </c>
      <c r="I251" s="107"/>
      <c r="J251" s="84" t="s">
        <v>487</v>
      </c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 spans="1:28" ht="15" x14ac:dyDescent="0.2">
      <c r="A252" s="81">
        <v>251</v>
      </c>
      <c r="B252" s="82" t="str">
        <f>UPPER(LEFT(C252,2)&amp;LEFT(D252,2)&amp;LEFT(E252,3)&amp;LEFT(J252)&amp;LEFT(Cod_Gen6[[#This Row],[Cantidad unitaria]],2))</f>
        <v>PAGEN/A-3</v>
      </c>
      <c r="C252" s="86" t="s">
        <v>110</v>
      </c>
      <c r="D252" s="86" t="s">
        <v>20</v>
      </c>
      <c r="E252" s="86" t="s">
        <v>462</v>
      </c>
      <c r="F252" s="106"/>
      <c r="G252" s="117" t="s">
        <v>485</v>
      </c>
      <c r="H252" s="122">
        <v>3</v>
      </c>
      <c r="I252" s="107"/>
      <c r="J252" s="84" t="s">
        <v>487</v>
      </c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 spans="1:28" ht="15" x14ac:dyDescent="0.2">
      <c r="A253" s="81">
        <v>252</v>
      </c>
      <c r="B253" s="82" t="str">
        <f>UPPER(LEFT(C253,2)&amp;LEFT(D253,2)&amp;LEFT(E253,3)&amp;LEFT(J253)&amp;LEFT(Cod_Gen6[[#This Row],[Cantidad unitaria]],2))</f>
        <v>PAGEN/A-4</v>
      </c>
      <c r="C253" s="86" t="s">
        <v>110</v>
      </c>
      <c r="D253" s="86" t="s">
        <v>20</v>
      </c>
      <c r="E253" s="86" t="s">
        <v>462</v>
      </c>
      <c r="F253" s="106"/>
      <c r="G253" s="117" t="s">
        <v>485</v>
      </c>
      <c r="H253" s="122">
        <v>4</v>
      </c>
      <c r="I253" s="107"/>
      <c r="J253" s="84" t="s">
        <v>487</v>
      </c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 spans="1:28" ht="15" x14ac:dyDescent="0.2">
      <c r="A254" s="81">
        <v>253</v>
      </c>
      <c r="B254" s="82" t="str">
        <f>UPPER(LEFT(C254,2)&amp;LEFT(D254,2)&amp;LEFT(E254,3)&amp;LEFT(J254)&amp;LEFT(Cod_Gen6[[#This Row],[Cantidad unitaria]],2))</f>
        <v>PAQSK12-1</v>
      </c>
      <c r="C254" s="82" t="s">
        <v>111</v>
      </c>
      <c r="D254" s="82" t="s">
        <v>112</v>
      </c>
      <c r="E254" s="82" t="s">
        <v>113</v>
      </c>
      <c r="F254" s="82"/>
      <c r="G254" s="117" t="s">
        <v>31</v>
      </c>
      <c r="H254" s="106">
        <v>1</v>
      </c>
      <c r="I254" s="83">
        <v>6</v>
      </c>
      <c r="J254" s="84" t="s">
        <v>487</v>
      </c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 spans="1:28" ht="15" x14ac:dyDescent="0.2">
      <c r="A255" s="81">
        <v>254</v>
      </c>
      <c r="B255" s="82" t="str">
        <f>UPPER(LEFT(C255,2)&amp;LEFT(D255,2)&amp;LEFT(E255,3)&amp;LEFT(J255)&amp;LEFT(Cod_Gen6[[#This Row],[Cantidad unitaria]],2))</f>
        <v>PAQSK12-2</v>
      </c>
      <c r="C255" s="82" t="s">
        <v>111</v>
      </c>
      <c r="D255" s="82" t="s">
        <v>112</v>
      </c>
      <c r="E255" s="82" t="s">
        <v>113</v>
      </c>
      <c r="F255" s="106"/>
      <c r="G255" s="117" t="s">
        <v>31</v>
      </c>
      <c r="H255" s="122">
        <v>2</v>
      </c>
      <c r="I255" s="107"/>
      <c r="J255" s="84" t="s">
        <v>487</v>
      </c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 spans="1:28" ht="15" x14ac:dyDescent="0.2">
      <c r="A256" s="81">
        <v>255</v>
      </c>
      <c r="B256" s="82" t="str">
        <f>UPPER(LEFT(C256,2)&amp;LEFT(D256,2)&amp;LEFT(E256,3)&amp;LEFT(J256)&amp;LEFT(Cod_Gen6[[#This Row],[Cantidad unitaria]],2))</f>
        <v>PAQSK12-3</v>
      </c>
      <c r="C256" s="82" t="s">
        <v>111</v>
      </c>
      <c r="D256" s="82" t="s">
        <v>112</v>
      </c>
      <c r="E256" s="82" t="s">
        <v>113</v>
      </c>
      <c r="F256" s="106"/>
      <c r="G256" s="117" t="s">
        <v>31</v>
      </c>
      <c r="H256" s="122">
        <v>3</v>
      </c>
      <c r="I256" s="107"/>
      <c r="J256" s="84" t="s">
        <v>487</v>
      </c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 spans="1:28" ht="15" x14ac:dyDescent="0.2">
      <c r="A257" s="81">
        <v>256</v>
      </c>
      <c r="B257" s="82" t="str">
        <f>UPPER(LEFT(C257,2)&amp;LEFT(D257,2)&amp;LEFT(E257,3)&amp;LEFT(J257)&amp;LEFT(Cod_Gen6[[#This Row],[Cantidad unitaria]],2))</f>
        <v>PAQSK12-4</v>
      </c>
      <c r="C257" s="82" t="s">
        <v>111</v>
      </c>
      <c r="D257" s="82" t="s">
        <v>112</v>
      </c>
      <c r="E257" s="82" t="s">
        <v>113</v>
      </c>
      <c r="F257" s="106"/>
      <c r="G257" s="117" t="s">
        <v>31</v>
      </c>
      <c r="H257" s="122">
        <v>4</v>
      </c>
      <c r="I257" s="107"/>
      <c r="J257" s="84" t="s">
        <v>487</v>
      </c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 spans="1:28" ht="15" x14ac:dyDescent="0.2">
      <c r="A258" s="81">
        <v>257</v>
      </c>
      <c r="B258" s="82" t="str">
        <f>UPPER(LEFT(C258,2)&amp;LEFT(D258,2)&amp;LEFT(E258,3)&amp;LEFT(J258)&amp;LEFT(Cod_Gen6[[#This Row],[Cantidad unitaria]],2))</f>
        <v>PAQSK12-5</v>
      </c>
      <c r="C258" s="82" t="s">
        <v>111</v>
      </c>
      <c r="D258" s="82" t="s">
        <v>112</v>
      </c>
      <c r="E258" s="82" t="s">
        <v>113</v>
      </c>
      <c r="F258" s="106"/>
      <c r="G258" s="117" t="s">
        <v>31</v>
      </c>
      <c r="H258" s="122">
        <v>5</v>
      </c>
      <c r="I258" s="107"/>
      <c r="J258" s="84" t="s">
        <v>487</v>
      </c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 spans="1:28" ht="15" x14ac:dyDescent="0.2">
      <c r="A259" s="81">
        <v>258</v>
      </c>
      <c r="B259" s="82" t="str">
        <f>UPPER(LEFT(C259,2)&amp;LEFT(D259,2)&amp;LEFT(E259,3)&amp;LEFT(J259)&amp;LEFT(Cod_Gen6[[#This Row],[Cantidad unitaria]],2))</f>
        <v>PAQSK12-6</v>
      </c>
      <c r="C259" s="82" t="s">
        <v>111</v>
      </c>
      <c r="D259" s="82" t="s">
        <v>112</v>
      </c>
      <c r="E259" s="82" t="s">
        <v>113</v>
      </c>
      <c r="F259" s="106"/>
      <c r="G259" s="117" t="s">
        <v>31</v>
      </c>
      <c r="H259" s="122">
        <v>6</v>
      </c>
      <c r="I259" s="107"/>
      <c r="J259" s="84" t="s">
        <v>487</v>
      </c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 spans="1:28" ht="15" x14ac:dyDescent="0.2">
      <c r="A260" s="81">
        <v>259</v>
      </c>
      <c r="B260" s="82" t="str">
        <f>UPPER(LEFT(C260,2)&amp;LEFT(D260,2)&amp;LEFT(E260,3)&amp;LEFT(J260)&amp;LEFT(Cod_Gen6[[#This Row],[Cantidad unitaria]],2))</f>
        <v>PAQSK10-1</v>
      </c>
      <c r="C260" s="82" t="s">
        <v>111</v>
      </c>
      <c r="D260" s="82" t="s">
        <v>112</v>
      </c>
      <c r="E260" s="82" t="s">
        <v>484</v>
      </c>
      <c r="F260" s="106"/>
      <c r="G260" s="117" t="s">
        <v>31</v>
      </c>
      <c r="H260" s="106">
        <v>1</v>
      </c>
      <c r="I260" s="107">
        <v>2</v>
      </c>
      <c r="J260" s="84" t="s">
        <v>487</v>
      </c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 spans="1:28" ht="15" x14ac:dyDescent="0.2">
      <c r="A261" s="81">
        <v>260</v>
      </c>
      <c r="B261" s="82" t="str">
        <f>UPPER(LEFT(C261,2)&amp;LEFT(D261,2)&amp;LEFT(E261,3)&amp;LEFT(J261)&amp;LEFT(Cod_Gen6[[#This Row],[Cantidad unitaria]],2))</f>
        <v>PAQSK10-2</v>
      </c>
      <c r="C261" s="82" t="s">
        <v>111</v>
      </c>
      <c r="D261" s="82" t="s">
        <v>112</v>
      </c>
      <c r="E261" s="82" t="s">
        <v>484</v>
      </c>
      <c r="F261" s="106"/>
      <c r="G261" s="117" t="s">
        <v>31</v>
      </c>
      <c r="H261" s="122">
        <v>2</v>
      </c>
      <c r="I261" s="107"/>
      <c r="J261" s="84" t="s">
        <v>487</v>
      </c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 spans="1:28" ht="15" x14ac:dyDescent="0.2">
      <c r="A262" s="81">
        <v>261</v>
      </c>
      <c r="B262" s="82" t="str">
        <f>UPPER(LEFT(C262,2)&amp;LEFT(D262,2)&amp;LEFT(E262,3)&amp;LEFT(J262)&amp;LEFT(Cod_Gen6[[#This Row],[Cantidad unitaria]],2))</f>
        <v>PASAS96-1</v>
      </c>
      <c r="C262" s="86" t="s">
        <v>114</v>
      </c>
      <c r="D262" s="86" t="s">
        <v>23</v>
      </c>
      <c r="E262" s="86" t="s">
        <v>115</v>
      </c>
      <c r="F262" s="86"/>
      <c r="G262" s="117" t="s">
        <v>444</v>
      </c>
      <c r="H262" s="117">
        <v>1</v>
      </c>
      <c r="I262" s="87">
        <v>8</v>
      </c>
      <c r="J262" s="84" t="s">
        <v>487</v>
      </c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 spans="1:28" ht="15" x14ac:dyDescent="0.2">
      <c r="A263" s="81">
        <v>262</v>
      </c>
      <c r="B263" s="82" t="str">
        <f>UPPER(LEFT(C263,2)&amp;LEFT(D263,2)&amp;LEFT(E263,3)&amp;LEFT(J263)&amp;LEFT(Cod_Gen6[[#This Row],[Cantidad unitaria]],2))</f>
        <v>PASAS96-2</v>
      </c>
      <c r="C263" s="86" t="s">
        <v>114</v>
      </c>
      <c r="D263" s="86" t="s">
        <v>23</v>
      </c>
      <c r="E263" s="86" t="s">
        <v>115</v>
      </c>
      <c r="F263" s="106"/>
      <c r="G263" s="117" t="s">
        <v>444</v>
      </c>
      <c r="H263" s="122">
        <v>2</v>
      </c>
      <c r="I263" s="107"/>
      <c r="J263" s="84" t="s">
        <v>487</v>
      </c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 spans="1:28" ht="15" x14ac:dyDescent="0.2">
      <c r="A264" s="81">
        <v>263</v>
      </c>
      <c r="B264" s="82" t="str">
        <f>UPPER(LEFT(C264,2)&amp;LEFT(D264,2)&amp;LEFT(E264,3)&amp;LEFT(J264)&amp;LEFT(Cod_Gen6[[#This Row],[Cantidad unitaria]],2))</f>
        <v>PASAS96-3</v>
      </c>
      <c r="C264" s="86" t="s">
        <v>114</v>
      </c>
      <c r="D264" s="86" t="s">
        <v>23</v>
      </c>
      <c r="E264" s="86" t="s">
        <v>115</v>
      </c>
      <c r="F264" s="106"/>
      <c r="G264" s="117" t="s">
        <v>444</v>
      </c>
      <c r="H264" s="122">
        <v>3</v>
      </c>
      <c r="I264" s="107"/>
      <c r="J264" s="84" t="s">
        <v>487</v>
      </c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 spans="1:28" ht="15" x14ac:dyDescent="0.2">
      <c r="A265" s="81">
        <v>264</v>
      </c>
      <c r="B265" s="82" t="str">
        <f>UPPER(LEFT(C265,2)&amp;LEFT(D265,2)&amp;LEFT(E265,3)&amp;LEFT(J265)&amp;LEFT(Cod_Gen6[[#This Row],[Cantidad unitaria]],2))</f>
        <v>PASAS96-4</v>
      </c>
      <c r="C265" s="86" t="s">
        <v>114</v>
      </c>
      <c r="D265" s="86" t="s">
        <v>23</v>
      </c>
      <c r="E265" s="86" t="s">
        <v>115</v>
      </c>
      <c r="F265" s="106"/>
      <c r="G265" s="117" t="s">
        <v>444</v>
      </c>
      <c r="H265" s="122">
        <v>4</v>
      </c>
      <c r="I265" s="107"/>
      <c r="J265" s="84" t="s">
        <v>487</v>
      </c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 spans="1:28" ht="15" x14ac:dyDescent="0.2">
      <c r="A266" s="81">
        <v>265</v>
      </c>
      <c r="B266" s="82" t="str">
        <f>UPPER(LEFT(C266,2)&amp;LEFT(D266,2)&amp;LEFT(E266,3)&amp;LEFT(J266)&amp;LEFT(Cod_Gen6[[#This Row],[Cantidad unitaria]],2))</f>
        <v>PASAS96-5</v>
      </c>
      <c r="C266" s="86" t="s">
        <v>114</v>
      </c>
      <c r="D266" s="86" t="s">
        <v>23</v>
      </c>
      <c r="E266" s="86" t="s">
        <v>115</v>
      </c>
      <c r="F266" s="106"/>
      <c r="G266" s="117" t="s">
        <v>444</v>
      </c>
      <c r="H266" s="122">
        <v>5</v>
      </c>
      <c r="I266" s="107"/>
      <c r="J266" s="84" t="s">
        <v>487</v>
      </c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 spans="1:28" ht="15" x14ac:dyDescent="0.2">
      <c r="A267" s="81">
        <v>266</v>
      </c>
      <c r="B267" s="82" t="str">
        <f>UPPER(LEFT(C267,2)&amp;LEFT(D267,2)&amp;LEFT(E267,3)&amp;LEFT(J267)&amp;LEFT(Cod_Gen6[[#This Row],[Cantidad unitaria]],2))</f>
        <v>PASAS96-6</v>
      </c>
      <c r="C267" s="86" t="s">
        <v>114</v>
      </c>
      <c r="D267" s="86" t="s">
        <v>23</v>
      </c>
      <c r="E267" s="86" t="s">
        <v>115</v>
      </c>
      <c r="F267" s="106"/>
      <c r="G267" s="117" t="s">
        <v>444</v>
      </c>
      <c r="H267" s="122">
        <v>6</v>
      </c>
      <c r="I267" s="107"/>
      <c r="J267" s="84" t="s">
        <v>487</v>
      </c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 spans="1:28" ht="15" x14ac:dyDescent="0.2">
      <c r="A268" s="81">
        <v>267</v>
      </c>
      <c r="B268" s="82" t="str">
        <f>UPPER(LEFT(C268,2)&amp;LEFT(D268,2)&amp;LEFT(E268,3)&amp;LEFT(J268)&amp;LEFT(Cod_Gen6[[#This Row],[Cantidad unitaria]],2))</f>
        <v>PASAS96-7</v>
      </c>
      <c r="C268" s="86" t="s">
        <v>114</v>
      </c>
      <c r="D268" s="86" t="s">
        <v>23</v>
      </c>
      <c r="E268" s="86" t="s">
        <v>115</v>
      </c>
      <c r="F268" s="106"/>
      <c r="G268" s="117" t="s">
        <v>444</v>
      </c>
      <c r="H268" s="122">
        <v>7</v>
      </c>
      <c r="I268" s="107"/>
      <c r="J268" s="84" t="s">
        <v>487</v>
      </c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 spans="1:28" ht="15" x14ac:dyDescent="0.2">
      <c r="A269" s="81">
        <v>268</v>
      </c>
      <c r="B269" s="82" t="str">
        <f>UPPER(LEFT(C269,2)&amp;LEFT(D269,2)&amp;LEFT(E269,3)&amp;LEFT(J269)&amp;LEFT(Cod_Gen6[[#This Row],[Cantidad unitaria]],2))</f>
        <v>PASAS96-8</v>
      </c>
      <c r="C269" s="86" t="s">
        <v>114</v>
      </c>
      <c r="D269" s="86" t="s">
        <v>23</v>
      </c>
      <c r="E269" s="86" t="s">
        <v>115</v>
      </c>
      <c r="F269" s="106"/>
      <c r="G269" s="117" t="s">
        <v>444</v>
      </c>
      <c r="H269" s="122">
        <v>8</v>
      </c>
      <c r="I269" s="107"/>
      <c r="J269" s="84" t="s">
        <v>487</v>
      </c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 spans="1:28" ht="15" x14ac:dyDescent="0.2">
      <c r="A270" s="81">
        <v>269</v>
      </c>
      <c r="B270" s="82" t="str">
        <f>UPPER(LEFT(C270,2)&amp;LEFT(D270,2)&amp;LEFT(E270,3)&amp;LEFT(J270)&amp;LEFT(Cod_Gen6[[#This Row],[Cantidad unitaria]],2))</f>
        <v>PEGEN/A-1</v>
      </c>
      <c r="C270" s="82" t="s">
        <v>116</v>
      </c>
      <c r="D270" s="82" t="s">
        <v>20</v>
      </c>
      <c r="E270" s="82" t="s">
        <v>462</v>
      </c>
      <c r="F270" s="82"/>
      <c r="G270" s="116" t="s">
        <v>445</v>
      </c>
      <c r="H270" s="116">
        <v>1</v>
      </c>
      <c r="I270" s="83">
        <v>7</v>
      </c>
      <c r="J270" s="84" t="s">
        <v>487</v>
      </c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 spans="1:28" ht="15" x14ac:dyDescent="0.2">
      <c r="A271" s="81">
        <v>270</v>
      </c>
      <c r="B271" s="82" t="str">
        <f>UPPER(LEFT(C271,2)&amp;LEFT(D271,2)&amp;LEFT(E271,3)&amp;LEFT(J271)&amp;LEFT(Cod_Gen6[[#This Row],[Cantidad unitaria]],2))</f>
        <v>PEGEN/A-2</v>
      </c>
      <c r="C271" s="82" t="s">
        <v>116</v>
      </c>
      <c r="D271" s="82" t="s">
        <v>20</v>
      </c>
      <c r="E271" s="82" t="s">
        <v>462</v>
      </c>
      <c r="F271" s="106"/>
      <c r="G271" s="116" t="s">
        <v>445</v>
      </c>
      <c r="H271" s="122">
        <v>2</v>
      </c>
      <c r="I271" s="107"/>
      <c r="J271" s="84" t="s">
        <v>487</v>
      </c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 spans="1:28" ht="15" x14ac:dyDescent="0.2">
      <c r="A272" s="81">
        <v>271</v>
      </c>
      <c r="B272" s="82" t="str">
        <f>UPPER(LEFT(C272,2)&amp;LEFT(D272,2)&amp;LEFT(E272,3)&amp;LEFT(J272)&amp;LEFT(Cod_Gen6[[#This Row],[Cantidad unitaria]],2))</f>
        <v>PEGEN/A-3</v>
      </c>
      <c r="C272" s="82" t="s">
        <v>116</v>
      </c>
      <c r="D272" s="82" t="s">
        <v>20</v>
      </c>
      <c r="E272" s="82" t="s">
        <v>462</v>
      </c>
      <c r="F272" s="106"/>
      <c r="G272" s="116" t="s">
        <v>445</v>
      </c>
      <c r="H272" s="122">
        <v>3</v>
      </c>
      <c r="I272" s="107"/>
      <c r="J272" s="84" t="s">
        <v>487</v>
      </c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 spans="1:28" ht="15" x14ac:dyDescent="0.2">
      <c r="A273" s="81">
        <v>272</v>
      </c>
      <c r="B273" s="82" t="str">
        <f>UPPER(LEFT(C273,2)&amp;LEFT(D273,2)&amp;LEFT(E273,3)&amp;LEFT(J273)&amp;LEFT(Cod_Gen6[[#This Row],[Cantidad unitaria]],2))</f>
        <v>PEGEN/A-4</v>
      </c>
      <c r="C273" s="82" t="s">
        <v>116</v>
      </c>
      <c r="D273" s="82" t="s">
        <v>20</v>
      </c>
      <c r="E273" s="82" t="s">
        <v>462</v>
      </c>
      <c r="F273" s="106"/>
      <c r="G273" s="116" t="s">
        <v>445</v>
      </c>
      <c r="H273" s="116">
        <v>4</v>
      </c>
      <c r="I273" s="107"/>
      <c r="J273" s="84" t="s">
        <v>487</v>
      </c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 spans="1:28" ht="15" x14ac:dyDescent="0.2">
      <c r="A274" s="81">
        <v>273</v>
      </c>
      <c r="B274" s="82" t="str">
        <f>UPPER(LEFT(C274,2)&amp;LEFT(D274,2)&amp;LEFT(E274,3)&amp;LEFT(J274)&amp;LEFT(Cod_Gen6[[#This Row],[Cantidad unitaria]],2))</f>
        <v>PEGEN/A-5</v>
      </c>
      <c r="C274" s="82" t="s">
        <v>116</v>
      </c>
      <c r="D274" s="82" t="s">
        <v>20</v>
      </c>
      <c r="E274" s="82" t="s">
        <v>462</v>
      </c>
      <c r="F274" s="106"/>
      <c r="G274" s="116" t="s">
        <v>445</v>
      </c>
      <c r="H274" s="122">
        <v>5</v>
      </c>
      <c r="I274" s="107"/>
      <c r="J274" s="84" t="s">
        <v>487</v>
      </c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 spans="1:28" ht="15" x14ac:dyDescent="0.2">
      <c r="A275" s="81">
        <v>274</v>
      </c>
      <c r="B275" s="82" t="str">
        <f>UPPER(LEFT(C275,2)&amp;LEFT(D275,2)&amp;LEFT(E275,3)&amp;LEFT(J275)&amp;LEFT(Cod_Gen6[[#This Row],[Cantidad unitaria]],2))</f>
        <v>PEGEN/A-6</v>
      </c>
      <c r="C275" s="82" t="s">
        <v>116</v>
      </c>
      <c r="D275" s="82" t="s">
        <v>20</v>
      </c>
      <c r="E275" s="82" t="s">
        <v>462</v>
      </c>
      <c r="F275" s="106"/>
      <c r="G275" s="116" t="s">
        <v>445</v>
      </c>
      <c r="H275" s="122">
        <v>6</v>
      </c>
      <c r="I275" s="107"/>
      <c r="J275" s="84" t="s">
        <v>487</v>
      </c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 spans="1:28" ht="15" x14ac:dyDescent="0.2">
      <c r="A276" s="81">
        <v>275</v>
      </c>
      <c r="B276" s="82" t="str">
        <f>UPPER(LEFT(C276,2)&amp;LEFT(D276,2)&amp;LEFT(E276,3)&amp;LEFT(J276)&amp;LEFT(Cod_Gen6[[#This Row],[Cantidad unitaria]],2))</f>
        <v>PEGEN/A-7</v>
      </c>
      <c r="C276" s="82" t="s">
        <v>116</v>
      </c>
      <c r="D276" s="82" t="s">
        <v>20</v>
      </c>
      <c r="E276" s="82" t="s">
        <v>462</v>
      </c>
      <c r="F276" s="106"/>
      <c r="G276" s="116" t="s">
        <v>445</v>
      </c>
      <c r="H276" s="116">
        <v>7</v>
      </c>
      <c r="I276" s="107"/>
      <c r="J276" s="84" t="s">
        <v>487</v>
      </c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 spans="1:28" ht="15" x14ac:dyDescent="0.2">
      <c r="A277" s="81">
        <v>276</v>
      </c>
      <c r="B277" s="82" t="str">
        <f>UPPER(LEFT(C277,2)&amp;LEFT(D277,2)&amp;LEFT(E277,3)&amp;LEFT(J277)&amp;LEFT(Cod_Gen6[[#This Row],[Cantidad unitaria]],2))</f>
        <v>PIQI100-1</v>
      </c>
      <c r="C277" s="86" t="s">
        <v>117</v>
      </c>
      <c r="D277" s="86" t="s">
        <v>55</v>
      </c>
      <c r="E277" s="86" t="s">
        <v>118</v>
      </c>
      <c r="F277" s="86"/>
      <c r="G277" s="117" t="s">
        <v>445</v>
      </c>
      <c r="H277" s="117">
        <v>1</v>
      </c>
      <c r="I277" s="87">
        <v>1</v>
      </c>
      <c r="J277" s="84" t="s">
        <v>487</v>
      </c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 spans="1:28" ht="15" x14ac:dyDescent="0.2">
      <c r="A278" s="81">
        <v>277</v>
      </c>
      <c r="B278" s="82" t="str">
        <f>UPPER(LEFT(C278,2)&amp;LEFT(D278,2)&amp;LEFT(E278,3)&amp;LEFT(J278)&amp;LEFT(Cod_Gen6[[#This Row],[Cantidad unitaria]],2))</f>
        <v>REGEN/A-1</v>
      </c>
      <c r="C278" s="82" t="s">
        <v>119</v>
      </c>
      <c r="D278" s="82" t="s">
        <v>20</v>
      </c>
      <c r="E278" s="82" t="s">
        <v>462</v>
      </c>
      <c r="F278" s="82"/>
      <c r="G278" s="117" t="s">
        <v>485</v>
      </c>
      <c r="H278" s="106">
        <v>1</v>
      </c>
      <c r="I278" s="83">
        <v>5</v>
      </c>
      <c r="J278" s="84" t="s">
        <v>487</v>
      </c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 spans="1:28" ht="15" x14ac:dyDescent="0.2">
      <c r="A279" s="81">
        <v>278</v>
      </c>
      <c r="B279" s="82" t="str">
        <f>UPPER(LEFT(C279,2)&amp;LEFT(D279,2)&amp;LEFT(E279,3)&amp;LEFT(J279)&amp;LEFT(Cod_Gen6[[#This Row],[Cantidad unitaria]],2))</f>
        <v>REGEN/A-2</v>
      </c>
      <c r="C279" s="82" t="s">
        <v>119</v>
      </c>
      <c r="D279" s="82" t="s">
        <v>20</v>
      </c>
      <c r="E279" s="82" t="s">
        <v>462</v>
      </c>
      <c r="F279" s="106"/>
      <c r="G279" s="117" t="s">
        <v>485</v>
      </c>
      <c r="H279" s="122">
        <v>2</v>
      </c>
      <c r="I279" s="107"/>
      <c r="J279" s="84" t="s">
        <v>487</v>
      </c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 spans="1:28" ht="15" x14ac:dyDescent="0.2">
      <c r="A280" s="81">
        <v>279</v>
      </c>
      <c r="B280" s="82" t="str">
        <f>UPPER(LEFT(C280,2)&amp;LEFT(D280,2)&amp;LEFT(E280,3)&amp;LEFT(J280)&amp;LEFT(Cod_Gen6[[#This Row],[Cantidad unitaria]],2))</f>
        <v>REGEN/A-3</v>
      </c>
      <c r="C280" s="82" t="s">
        <v>119</v>
      </c>
      <c r="D280" s="82" t="s">
        <v>20</v>
      </c>
      <c r="E280" s="82" t="s">
        <v>462</v>
      </c>
      <c r="F280" s="106"/>
      <c r="G280" s="117" t="s">
        <v>485</v>
      </c>
      <c r="H280" s="122">
        <v>3</v>
      </c>
      <c r="I280" s="107"/>
      <c r="J280" s="84" t="s">
        <v>487</v>
      </c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 spans="1:28" ht="15" x14ac:dyDescent="0.2">
      <c r="A281" s="81">
        <v>280</v>
      </c>
      <c r="B281" s="82" t="str">
        <f>UPPER(LEFT(C281,2)&amp;LEFT(D281,2)&amp;LEFT(E281,3)&amp;LEFT(J281)&amp;LEFT(Cod_Gen6[[#This Row],[Cantidad unitaria]],2))</f>
        <v>REGEN/A-4</v>
      </c>
      <c r="C281" s="82" t="s">
        <v>119</v>
      </c>
      <c r="D281" s="82" t="s">
        <v>20</v>
      </c>
      <c r="E281" s="82" t="s">
        <v>462</v>
      </c>
      <c r="F281" s="106"/>
      <c r="G281" s="117" t="s">
        <v>485</v>
      </c>
      <c r="H281" s="122">
        <v>4</v>
      </c>
      <c r="I281" s="107"/>
      <c r="J281" s="84" t="s">
        <v>487</v>
      </c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 spans="1:28" ht="15" x14ac:dyDescent="0.2">
      <c r="A282" s="81">
        <v>281</v>
      </c>
      <c r="B282" s="82" t="str">
        <f>UPPER(LEFT(C282,2)&amp;LEFT(D282,2)&amp;LEFT(E282,3)&amp;LEFT(J282)&amp;LEFT(Cod_Gen6[[#This Row],[Cantidad unitaria]],2))</f>
        <v>REGEN/A-5</v>
      </c>
      <c r="C282" s="82" t="s">
        <v>119</v>
      </c>
      <c r="D282" s="82" t="s">
        <v>20</v>
      </c>
      <c r="E282" s="82" t="s">
        <v>462</v>
      </c>
      <c r="F282" s="106"/>
      <c r="G282" s="117" t="s">
        <v>485</v>
      </c>
      <c r="H282" s="122">
        <v>5</v>
      </c>
      <c r="I282" s="107"/>
      <c r="J282" s="84" t="s">
        <v>487</v>
      </c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 spans="1:28" ht="15" x14ac:dyDescent="0.2">
      <c r="A283" s="81">
        <v>282</v>
      </c>
      <c r="B283" s="82" t="str">
        <f>UPPER(LEFT(C283,2)&amp;LEFT(D283,2)&amp;LEFT(E283,3)&amp;LEFT(J283)&amp;LEFT(Cod_Gen6[[#This Row],[Cantidad unitaria]],2))</f>
        <v>SUAUALA-1</v>
      </c>
      <c r="C283" s="86" t="s">
        <v>120</v>
      </c>
      <c r="D283" s="86" t="s">
        <v>121</v>
      </c>
      <c r="E283" s="86" t="s">
        <v>122</v>
      </c>
      <c r="F283" s="86"/>
      <c r="G283" s="117" t="s">
        <v>31</v>
      </c>
      <c r="H283" s="117">
        <v>1</v>
      </c>
      <c r="I283" s="87">
        <v>1</v>
      </c>
      <c r="J283" s="84" t="s">
        <v>487</v>
      </c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 spans="1:28" ht="15" x14ac:dyDescent="0.2">
      <c r="A284" s="81">
        <v>283</v>
      </c>
      <c r="B284" s="82" t="str">
        <f>UPPER(LEFT(C284,2)&amp;LEFT(D284,2)&amp;LEFT(E284,3)&amp;LEFT(J284)&amp;LEFT(Cod_Gen6[[#This Row],[Cantidad unitaria]],2))</f>
        <v>TAGEN/A-1</v>
      </c>
      <c r="C284" s="82" t="s">
        <v>123</v>
      </c>
      <c r="D284" s="82" t="s">
        <v>20</v>
      </c>
      <c r="E284" s="82" t="s">
        <v>462</v>
      </c>
      <c r="F284" s="82"/>
      <c r="G284" s="116" t="s">
        <v>445</v>
      </c>
      <c r="H284" s="116">
        <v>1</v>
      </c>
      <c r="I284" s="83">
        <v>1</v>
      </c>
      <c r="J284" s="84" t="s">
        <v>487</v>
      </c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 spans="1:28" ht="15" x14ac:dyDescent="0.2">
      <c r="A285" s="81">
        <v>284</v>
      </c>
      <c r="B285" s="82" t="str">
        <f>UPPER(LEFT(C285,2)&amp;LEFT(D285,2)&amp;LEFT(E285,3)&amp;LEFT(J285)&amp;LEFT(Cod_Gen6[[#This Row],[Cantidad unitaria]],2))</f>
        <v>TALE32A-1</v>
      </c>
      <c r="C285" s="86" t="s">
        <v>124</v>
      </c>
      <c r="D285" s="86" t="s">
        <v>125</v>
      </c>
      <c r="E285" s="86" t="s">
        <v>482</v>
      </c>
      <c r="F285" s="86"/>
      <c r="G285" s="117" t="s">
        <v>485</v>
      </c>
      <c r="H285" s="117">
        <v>1</v>
      </c>
      <c r="I285" s="87">
        <v>2</v>
      </c>
      <c r="J285" s="84" t="s">
        <v>487</v>
      </c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 spans="1:28" ht="15" x14ac:dyDescent="0.2">
      <c r="A286" s="81">
        <v>285</v>
      </c>
      <c r="B286" s="82" t="str">
        <f>UPPER(LEFT(C286,2)&amp;LEFT(D286,2)&amp;LEFT(E286,3)&amp;LEFT(J286)&amp;LEFT(Cod_Gen6[[#This Row],[Cantidad unitaria]],2))</f>
        <v>TALE32A-2</v>
      </c>
      <c r="C286" s="86" t="s">
        <v>124</v>
      </c>
      <c r="D286" s="86" t="s">
        <v>125</v>
      </c>
      <c r="E286" s="86" t="s">
        <v>482</v>
      </c>
      <c r="F286" s="86"/>
      <c r="G286" s="117" t="s">
        <v>485</v>
      </c>
      <c r="H286" s="122">
        <v>2</v>
      </c>
      <c r="I286" s="107"/>
      <c r="J286" s="84" t="s">
        <v>487</v>
      </c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 spans="1:28" ht="15" x14ac:dyDescent="0.2">
      <c r="A287" s="81">
        <v>286</v>
      </c>
      <c r="B287" s="82" t="str">
        <f>UPPER(LEFT(C287,2)&amp;LEFT(D287,2)&amp;LEFT(E287,3)&amp;LEFT(J287)&amp;LEFT(Cod_Gen6[[#This Row],[Cantidad unitaria]],2))</f>
        <v>TOFEMEG-1</v>
      </c>
      <c r="C287" s="82" t="s">
        <v>126</v>
      </c>
      <c r="D287" s="82" t="s">
        <v>127</v>
      </c>
      <c r="E287" s="82" t="s">
        <v>457</v>
      </c>
      <c r="F287" s="82"/>
      <c r="G287" s="116" t="s">
        <v>445</v>
      </c>
      <c r="H287" s="116">
        <v>1</v>
      </c>
      <c r="I287" s="83">
        <v>2</v>
      </c>
      <c r="J287" s="84" t="s">
        <v>487</v>
      </c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 spans="1:28" ht="15" x14ac:dyDescent="0.2">
      <c r="A288" s="81">
        <v>287</v>
      </c>
      <c r="B288" s="82" t="str">
        <f>UPPER(LEFT(C288,2)&amp;LEFT(D288,2)&amp;LEFT(E288,3)&amp;LEFT(J288)&amp;LEFT(Cod_Gen6[[#This Row],[Cantidad unitaria]],2))</f>
        <v>TOFEMEG-2</v>
      </c>
      <c r="C288" s="82" t="s">
        <v>126</v>
      </c>
      <c r="D288" s="82" t="s">
        <v>127</v>
      </c>
      <c r="E288" s="82" t="s">
        <v>457</v>
      </c>
      <c r="F288" s="82"/>
      <c r="G288" s="116" t="s">
        <v>445</v>
      </c>
      <c r="H288" s="122">
        <v>2</v>
      </c>
      <c r="I288" s="107"/>
      <c r="J288" s="84" t="s">
        <v>487</v>
      </c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 spans="1:28" ht="15" x14ac:dyDescent="0.2">
      <c r="A289" s="81">
        <v>288</v>
      </c>
      <c r="B289" s="82" t="str">
        <f>UPPER(LEFT(C289,2)&amp;LEFT(D289,2)&amp;LEFT(E289,3)&amp;LEFT(J289)&amp;LEFT(Cod_Gen6[[#This Row],[Cantidad unitaria]],2))</f>
        <v>TOGEN/A-1</v>
      </c>
      <c r="C289" s="86" t="s">
        <v>128</v>
      </c>
      <c r="D289" s="86" t="s">
        <v>20</v>
      </c>
      <c r="E289" s="86" t="s">
        <v>462</v>
      </c>
      <c r="F289" s="86"/>
      <c r="G289" s="117" t="s">
        <v>486</v>
      </c>
      <c r="H289" s="117">
        <v>1</v>
      </c>
      <c r="I289" s="87">
        <v>1</v>
      </c>
      <c r="J289" s="84" t="s">
        <v>487</v>
      </c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 spans="1:28" ht="15" x14ac:dyDescent="0.2">
      <c r="A290" s="81">
        <v>289</v>
      </c>
      <c r="B290" s="82" t="str">
        <f>UPPER(LEFT(C290,2)&amp;LEFT(D290,2)&amp;LEFT(E290,3)&amp;LEFT(J290)&amp;LEFT(Cod_Gen6[[#This Row],[Cantidad unitaria]],2))</f>
        <v>TRGA1MT-1</v>
      </c>
      <c r="C290" s="82" t="s">
        <v>129</v>
      </c>
      <c r="D290" s="82" t="s">
        <v>17</v>
      </c>
      <c r="E290" s="82" t="s">
        <v>130</v>
      </c>
      <c r="F290" s="82"/>
      <c r="G290" s="116" t="s">
        <v>445</v>
      </c>
      <c r="H290" s="116">
        <v>1</v>
      </c>
      <c r="I290" s="83">
        <v>2</v>
      </c>
      <c r="J290" s="84" t="s">
        <v>487</v>
      </c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 spans="1:28" ht="15" x14ac:dyDescent="0.2">
      <c r="A291" s="81">
        <v>290</v>
      </c>
      <c r="B291" s="82" t="str">
        <f>UPPER(LEFT(C291,2)&amp;LEFT(D291,2)&amp;LEFT(E291,3)&amp;LEFT(J291)&amp;LEFT(Cod_Gen6[[#This Row],[Cantidad unitaria]],2))</f>
        <v>TRGA1MT-2</v>
      </c>
      <c r="C291" s="82" t="s">
        <v>129</v>
      </c>
      <c r="D291" s="82" t="s">
        <v>17</v>
      </c>
      <c r="E291" s="82" t="s">
        <v>130</v>
      </c>
      <c r="F291" s="106"/>
      <c r="G291" s="116" t="s">
        <v>445</v>
      </c>
      <c r="H291" s="122">
        <v>2</v>
      </c>
      <c r="I291" s="107"/>
      <c r="J291" s="84" t="s">
        <v>487</v>
      </c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 spans="1:28" ht="15" x14ac:dyDescent="0.2">
      <c r="A292" s="81">
        <v>291</v>
      </c>
      <c r="B292" s="82" t="str">
        <f>UPPER(LEFT(C292,2)&amp;LEFT(D292,2)&amp;LEFT(E292,3)&amp;LEFT(J292)&amp;LEFT(Cod_Gen6[[#This Row],[Cantidad unitaria]],2))</f>
        <v>TRGA2MT-1</v>
      </c>
      <c r="C292" s="86" t="s">
        <v>131</v>
      </c>
      <c r="D292" s="86" t="s">
        <v>17</v>
      </c>
      <c r="E292" s="86" t="s">
        <v>132</v>
      </c>
      <c r="F292" s="86"/>
      <c r="G292" s="116" t="s">
        <v>445</v>
      </c>
      <c r="H292" s="106">
        <v>1</v>
      </c>
      <c r="I292" s="87">
        <v>2</v>
      </c>
      <c r="J292" s="84" t="s">
        <v>487</v>
      </c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 spans="1:28" ht="15" x14ac:dyDescent="0.2">
      <c r="A293" s="81">
        <v>292</v>
      </c>
      <c r="B293" s="82" t="str">
        <f>UPPER(LEFT(C293,2)&amp;LEFT(D293,2)&amp;LEFT(E293,3)&amp;LEFT(J293)&amp;LEFT(Cod_Gen6[[#This Row],[Cantidad unitaria]],2))</f>
        <v>TRGA2MT-2</v>
      </c>
      <c r="C293" s="86" t="s">
        <v>131</v>
      </c>
      <c r="D293" s="86" t="s">
        <v>17</v>
      </c>
      <c r="E293" s="86" t="s">
        <v>132</v>
      </c>
      <c r="F293" s="106"/>
      <c r="G293" s="116" t="s">
        <v>445</v>
      </c>
      <c r="H293" s="122">
        <v>2</v>
      </c>
      <c r="I293" s="107"/>
      <c r="J293" s="84" t="s">
        <v>487</v>
      </c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 spans="1:28" ht="15" x14ac:dyDescent="0.2">
      <c r="A294" s="81">
        <v>293</v>
      </c>
      <c r="B294" s="82" t="str">
        <f>UPPER(LEFT(C294,2)&amp;LEFT(D294,2)&amp;LEFT(E294,3)&amp;LEFT(J294)&amp;LEFT(Cod_Gen6[[#This Row],[Cantidad unitaria]],2))</f>
        <v>TRGA3MT-1</v>
      </c>
      <c r="C294" s="82" t="s">
        <v>133</v>
      </c>
      <c r="D294" s="82" t="s">
        <v>17</v>
      </c>
      <c r="E294" s="82" t="s">
        <v>134</v>
      </c>
      <c r="F294" s="82"/>
      <c r="G294" s="116" t="s">
        <v>445</v>
      </c>
      <c r="H294" s="116">
        <v>1</v>
      </c>
      <c r="I294" s="83">
        <v>10</v>
      </c>
      <c r="J294" s="84" t="s">
        <v>487</v>
      </c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 spans="1:28" ht="15" x14ac:dyDescent="0.2">
      <c r="A295" s="81">
        <v>294</v>
      </c>
      <c r="B295" s="82" t="str">
        <f>UPPER(LEFT(C295,2)&amp;LEFT(D295,2)&amp;LEFT(E295,3)&amp;LEFT(J295)&amp;LEFT(Cod_Gen6[[#This Row],[Cantidad unitaria]],2))</f>
        <v>TRGA3MT-2</v>
      </c>
      <c r="C295" s="82" t="s">
        <v>133</v>
      </c>
      <c r="D295" s="82" t="s">
        <v>17</v>
      </c>
      <c r="E295" s="82" t="s">
        <v>134</v>
      </c>
      <c r="F295" s="82"/>
      <c r="G295" s="116" t="s">
        <v>445</v>
      </c>
      <c r="H295" s="122">
        <v>2</v>
      </c>
      <c r="I295" s="83"/>
      <c r="J295" s="84" t="s">
        <v>487</v>
      </c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 spans="1:28" ht="15" x14ac:dyDescent="0.2">
      <c r="A296" s="81">
        <v>295</v>
      </c>
      <c r="B296" s="82" t="str">
        <f>UPPER(LEFT(C296,2)&amp;LEFT(D296,2)&amp;LEFT(E296,3)&amp;LEFT(J296)&amp;LEFT(Cod_Gen6[[#This Row],[Cantidad unitaria]],2))</f>
        <v>TRGA3MT-3</v>
      </c>
      <c r="C296" s="82" t="s">
        <v>133</v>
      </c>
      <c r="D296" s="82" t="s">
        <v>17</v>
      </c>
      <c r="E296" s="82" t="s">
        <v>134</v>
      </c>
      <c r="F296" s="82"/>
      <c r="G296" s="116" t="s">
        <v>445</v>
      </c>
      <c r="H296" s="122">
        <v>3</v>
      </c>
      <c r="I296" s="83"/>
      <c r="J296" s="84" t="s">
        <v>487</v>
      </c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 spans="1:28" ht="15" x14ac:dyDescent="0.2">
      <c r="A297" s="81">
        <v>296</v>
      </c>
      <c r="B297" s="82" t="str">
        <f>UPPER(LEFT(C297,2)&amp;LEFT(D297,2)&amp;LEFT(E297,3)&amp;LEFT(J297)&amp;LEFT(Cod_Gen6[[#This Row],[Cantidad unitaria]],2))</f>
        <v>TRGA3MT-4</v>
      </c>
      <c r="C297" s="82" t="s">
        <v>133</v>
      </c>
      <c r="D297" s="82" t="s">
        <v>17</v>
      </c>
      <c r="E297" s="82" t="s">
        <v>134</v>
      </c>
      <c r="F297" s="82"/>
      <c r="G297" s="116" t="s">
        <v>445</v>
      </c>
      <c r="H297" s="116">
        <v>4</v>
      </c>
      <c r="I297" s="83"/>
      <c r="J297" s="84" t="s">
        <v>487</v>
      </c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 spans="1:28" ht="15" x14ac:dyDescent="0.2">
      <c r="A298" s="81">
        <v>297</v>
      </c>
      <c r="B298" s="82" t="str">
        <f>UPPER(LEFT(C298,2)&amp;LEFT(D298,2)&amp;LEFT(E298,3)&amp;LEFT(J298)&amp;LEFT(Cod_Gen6[[#This Row],[Cantidad unitaria]],2))</f>
        <v>TRGA3MT-5</v>
      </c>
      <c r="C298" s="82" t="s">
        <v>133</v>
      </c>
      <c r="D298" s="82" t="s">
        <v>17</v>
      </c>
      <c r="E298" s="82" t="s">
        <v>134</v>
      </c>
      <c r="F298" s="82"/>
      <c r="G298" s="116" t="s">
        <v>445</v>
      </c>
      <c r="H298" s="122">
        <v>5</v>
      </c>
      <c r="I298" s="83"/>
      <c r="J298" s="84" t="s">
        <v>487</v>
      </c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 spans="1:28" ht="15" x14ac:dyDescent="0.2">
      <c r="A299" s="81">
        <v>298</v>
      </c>
      <c r="B299" s="82" t="str">
        <f>UPPER(LEFT(C299,2)&amp;LEFT(D299,2)&amp;LEFT(E299,3)&amp;LEFT(J299)&amp;LEFT(Cod_Gen6[[#This Row],[Cantidad unitaria]],2))</f>
        <v>TRGA3MT-6</v>
      </c>
      <c r="C299" s="82" t="s">
        <v>133</v>
      </c>
      <c r="D299" s="82" t="s">
        <v>17</v>
      </c>
      <c r="E299" s="82" t="s">
        <v>134</v>
      </c>
      <c r="F299" s="82"/>
      <c r="G299" s="116" t="s">
        <v>445</v>
      </c>
      <c r="H299" s="122">
        <v>6</v>
      </c>
      <c r="I299" s="83"/>
      <c r="J299" s="84" t="s">
        <v>487</v>
      </c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 spans="1:28" ht="15" x14ac:dyDescent="0.2">
      <c r="A300" s="81">
        <v>299</v>
      </c>
      <c r="B300" s="82" t="str">
        <f>UPPER(LEFT(C300,2)&amp;LEFT(D300,2)&amp;LEFT(E300,3)&amp;LEFT(J300)&amp;LEFT(Cod_Gen6[[#This Row],[Cantidad unitaria]],2))</f>
        <v>TRGA3MT-7</v>
      </c>
      <c r="C300" s="82" t="s">
        <v>133</v>
      </c>
      <c r="D300" s="82" t="s">
        <v>17</v>
      </c>
      <c r="E300" s="82" t="s">
        <v>134</v>
      </c>
      <c r="F300" s="82"/>
      <c r="G300" s="116" t="s">
        <v>445</v>
      </c>
      <c r="H300" s="116">
        <v>7</v>
      </c>
      <c r="I300" s="83"/>
      <c r="J300" s="84" t="s">
        <v>487</v>
      </c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 spans="1:28" ht="15" x14ac:dyDescent="0.2">
      <c r="A301" s="81">
        <v>300</v>
      </c>
      <c r="B301" s="82" t="str">
        <f>UPPER(LEFT(C301,2)&amp;LEFT(D301,2)&amp;LEFT(E301,3)&amp;LEFT(J301)&amp;LEFT(Cod_Gen6[[#This Row],[Cantidad unitaria]],2))</f>
        <v>TRGA3MT-8</v>
      </c>
      <c r="C301" s="82" t="s">
        <v>133</v>
      </c>
      <c r="D301" s="82" t="s">
        <v>17</v>
      </c>
      <c r="E301" s="82" t="s">
        <v>134</v>
      </c>
      <c r="F301" s="82"/>
      <c r="G301" s="116" t="s">
        <v>445</v>
      </c>
      <c r="H301" s="122">
        <v>8</v>
      </c>
      <c r="I301" s="83"/>
      <c r="J301" s="84" t="s">
        <v>487</v>
      </c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 spans="1:28" ht="15" x14ac:dyDescent="0.2">
      <c r="A302" s="81">
        <v>301</v>
      </c>
      <c r="B302" s="82" t="str">
        <f>UPPER(LEFT(C302,2)&amp;LEFT(D302,2)&amp;LEFT(E302,3)&amp;LEFT(J302)&amp;LEFT(Cod_Gen6[[#This Row],[Cantidad unitaria]],2))</f>
        <v>TRGA3MT-9</v>
      </c>
      <c r="C302" s="82" t="s">
        <v>133</v>
      </c>
      <c r="D302" s="82" t="s">
        <v>17</v>
      </c>
      <c r="E302" s="82" t="s">
        <v>134</v>
      </c>
      <c r="F302" s="82"/>
      <c r="G302" s="116" t="s">
        <v>445</v>
      </c>
      <c r="H302" s="122">
        <v>9</v>
      </c>
      <c r="I302" s="83"/>
      <c r="J302" s="84" t="s">
        <v>487</v>
      </c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 spans="1:28" ht="15" x14ac:dyDescent="0.2">
      <c r="A303" s="81">
        <v>302</v>
      </c>
      <c r="B303" s="82" t="str">
        <f>UPPER(LEFT(C303,2)&amp;LEFT(D303,2)&amp;LEFT(E303,3)&amp;LEFT(J303)&amp;LEFT(Cod_Gen6[[#This Row],[Cantidad unitaria]],2))</f>
        <v>TRGA3MT-10</v>
      </c>
      <c r="C303" s="82" t="s">
        <v>133</v>
      </c>
      <c r="D303" s="82" t="s">
        <v>17</v>
      </c>
      <c r="E303" s="82" t="s">
        <v>134</v>
      </c>
      <c r="F303" s="82"/>
      <c r="G303" s="116" t="s">
        <v>445</v>
      </c>
      <c r="H303" s="116">
        <v>10</v>
      </c>
      <c r="I303" s="83"/>
      <c r="J303" s="84" t="s">
        <v>487</v>
      </c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 spans="1:28" ht="15" x14ac:dyDescent="0.2">
      <c r="A304" s="81">
        <v>303</v>
      </c>
      <c r="B304" s="82" t="str">
        <f>UPPER(LEFT(C304,2)&amp;LEFT(D304,2)&amp;LEFT(E304,3)&amp;LEFT(J304)&amp;LEFT(Cod_Gen6[[#This Row],[Cantidad unitaria]],2))</f>
        <v>TRMO3MT-1</v>
      </c>
      <c r="C304" s="82" t="s">
        <v>133</v>
      </c>
      <c r="D304" s="82" t="s">
        <v>451</v>
      </c>
      <c r="E304" s="82" t="s">
        <v>134</v>
      </c>
      <c r="F304" s="82"/>
      <c r="G304" s="116" t="s">
        <v>445</v>
      </c>
      <c r="H304" s="116">
        <v>1</v>
      </c>
      <c r="I304" s="83">
        <v>4</v>
      </c>
      <c r="J304" s="84" t="s">
        <v>487</v>
      </c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 spans="1:28" ht="15" x14ac:dyDescent="0.2">
      <c r="A305" s="81">
        <v>304</v>
      </c>
      <c r="B305" s="82" t="str">
        <f>UPPER(LEFT(C305,2)&amp;LEFT(D305,2)&amp;LEFT(E305,3)&amp;LEFT(J305)&amp;LEFT(Cod_Gen6[[#This Row],[Cantidad unitaria]],2))</f>
        <v>TRMO3MT-2</v>
      </c>
      <c r="C305" s="82" t="s">
        <v>133</v>
      </c>
      <c r="D305" s="82" t="s">
        <v>451</v>
      </c>
      <c r="E305" s="82" t="s">
        <v>134</v>
      </c>
      <c r="F305" s="106"/>
      <c r="G305" s="116" t="s">
        <v>445</v>
      </c>
      <c r="H305" s="122">
        <v>2</v>
      </c>
      <c r="I305" s="107"/>
      <c r="J305" s="84" t="s">
        <v>487</v>
      </c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 spans="1:28" ht="15" x14ac:dyDescent="0.2">
      <c r="A306" s="81">
        <v>305</v>
      </c>
      <c r="B306" s="82" t="str">
        <f>UPPER(LEFT(C306,2)&amp;LEFT(D306,2)&amp;LEFT(E306,3)&amp;LEFT(J306)&amp;LEFT(Cod_Gen6[[#This Row],[Cantidad unitaria]],2))</f>
        <v>TRMO3MT-3</v>
      </c>
      <c r="C306" s="82" t="s">
        <v>133</v>
      </c>
      <c r="D306" s="82" t="s">
        <v>451</v>
      </c>
      <c r="E306" s="82" t="s">
        <v>134</v>
      </c>
      <c r="F306" s="106"/>
      <c r="G306" s="116" t="s">
        <v>445</v>
      </c>
      <c r="H306" s="122">
        <v>3</v>
      </c>
      <c r="I306" s="107"/>
      <c r="J306" s="84" t="s">
        <v>487</v>
      </c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 spans="1:28" ht="15" x14ac:dyDescent="0.2">
      <c r="A307" s="81">
        <v>306</v>
      </c>
      <c r="B307" s="82" t="str">
        <f>UPPER(LEFT(C307,2)&amp;LEFT(D307,2)&amp;LEFT(E307,3)&amp;LEFT(J307)&amp;LEFT(Cod_Gen6[[#This Row],[Cantidad unitaria]],2))</f>
        <v>TRMO3MT-4</v>
      </c>
      <c r="C307" s="82" t="s">
        <v>133</v>
      </c>
      <c r="D307" s="82" t="s">
        <v>451</v>
      </c>
      <c r="E307" s="82" t="s">
        <v>134</v>
      </c>
      <c r="F307" s="106"/>
      <c r="G307" s="116" t="s">
        <v>445</v>
      </c>
      <c r="H307" s="122">
        <v>4</v>
      </c>
      <c r="I307" s="107"/>
      <c r="J307" s="84" t="s">
        <v>487</v>
      </c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 spans="1:28" ht="15" x14ac:dyDescent="0.2">
      <c r="A308" s="81">
        <v>307</v>
      </c>
      <c r="B308" s="82" t="str">
        <f>UPPER(LEFT(C308,2)&amp;LEFT(D308,2)&amp;LEFT(E308,3)&amp;LEFT(J308)&amp;LEFT(Cod_Gen6[[#This Row],[Cantidad unitaria]],2))</f>
        <v>TRGE10 -1</v>
      </c>
      <c r="C308" s="86" t="s">
        <v>135</v>
      </c>
      <c r="D308" s="86" t="s">
        <v>20</v>
      </c>
      <c r="E308" s="86" t="s">
        <v>81</v>
      </c>
      <c r="F308" s="86"/>
      <c r="G308" s="117" t="s">
        <v>485</v>
      </c>
      <c r="H308" s="117">
        <v>1</v>
      </c>
      <c r="I308" s="87">
        <v>6</v>
      </c>
      <c r="J308" s="84" t="s">
        <v>487</v>
      </c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 spans="1:28" ht="15" x14ac:dyDescent="0.2">
      <c r="A309" s="81">
        <v>308</v>
      </c>
      <c r="B309" s="82" t="str">
        <f>UPPER(LEFT(C309,2)&amp;LEFT(D309,2)&amp;LEFT(E309,3)&amp;LEFT(J309)&amp;LEFT(Cod_Gen6[[#This Row],[Cantidad unitaria]],2))</f>
        <v>TRGE10 -2</v>
      </c>
      <c r="C309" s="86" t="s">
        <v>135</v>
      </c>
      <c r="D309" s="86" t="s">
        <v>20</v>
      </c>
      <c r="E309" s="86" t="s">
        <v>81</v>
      </c>
      <c r="F309" s="86"/>
      <c r="G309" s="117" t="s">
        <v>485</v>
      </c>
      <c r="H309" s="122">
        <v>2</v>
      </c>
      <c r="I309" s="107"/>
      <c r="J309" s="84" t="s">
        <v>487</v>
      </c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 spans="1:28" ht="15" x14ac:dyDescent="0.2">
      <c r="A310" s="81">
        <v>309</v>
      </c>
      <c r="B310" s="82" t="str">
        <f>UPPER(LEFT(C310,2)&amp;LEFT(D310,2)&amp;LEFT(E310,3)&amp;LEFT(J310)&amp;LEFT(Cod_Gen6[[#This Row],[Cantidad unitaria]],2))</f>
        <v>TRGE10 -3</v>
      </c>
      <c r="C310" s="86" t="s">
        <v>135</v>
      </c>
      <c r="D310" s="86" t="s">
        <v>20</v>
      </c>
      <c r="E310" s="86" t="s">
        <v>81</v>
      </c>
      <c r="F310" s="86"/>
      <c r="G310" s="117" t="s">
        <v>485</v>
      </c>
      <c r="H310" s="122">
        <v>3</v>
      </c>
      <c r="I310" s="107"/>
      <c r="J310" s="84" t="s">
        <v>487</v>
      </c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 spans="1:28" ht="15" x14ac:dyDescent="0.2">
      <c r="A311" s="81">
        <v>310</v>
      </c>
      <c r="B311" s="82" t="str">
        <f>UPPER(LEFT(C311,2)&amp;LEFT(D311,2)&amp;LEFT(E311,3)&amp;LEFT(J311)&amp;LEFT(Cod_Gen6[[#This Row],[Cantidad unitaria]],2))</f>
        <v>TRGE10 -4</v>
      </c>
      <c r="C311" s="86" t="s">
        <v>135</v>
      </c>
      <c r="D311" s="86" t="s">
        <v>20</v>
      </c>
      <c r="E311" s="86" t="s">
        <v>81</v>
      </c>
      <c r="F311" s="86"/>
      <c r="G311" s="117" t="s">
        <v>485</v>
      </c>
      <c r="H311" s="122">
        <v>4</v>
      </c>
      <c r="I311" s="107"/>
      <c r="J311" s="84" t="s">
        <v>487</v>
      </c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 spans="1:28" ht="15" x14ac:dyDescent="0.2">
      <c r="A312" s="81">
        <v>311</v>
      </c>
      <c r="B312" s="82" t="str">
        <f>UPPER(LEFT(C312,2)&amp;LEFT(D312,2)&amp;LEFT(E312,3)&amp;LEFT(J312)&amp;LEFT(Cod_Gen6[[#This Row],[Cantidad unitaria]],2))</f>
        <v>TRGE10 -5</v>
      </c>
      <c r="C312" s="86" t="s">
        <v>135</v>
      </c>
      <c r="D312" s="86" t="s">
        <v>20</v>
      </c>
      <c r="E312" s="86" t="s">
        <v>81</v>
      </c>
      <c r="F312" s="86"/>
      <c r="G312" s="117" t="s">
        <v>485</v>
      </c>
      <c r="H312" s="122">
        <v>5</v>
      </c>
      <c r="I312" s="107"/>
      <c r="J312" s="84" t="s">
        <v>487</v>
      </c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 spans="1:28" ht="15" x14ac:dyDescent="0.2">
      <c r="A313" s="81">
        <v>312</v>
      </c>
      <c r="B313" s="82" t="str">
        <f>UPPER(LEFT(C313,2)&amp;LEFT(D313,2)&amp;LEFT(E313,3)&amp;LEFT(J313)&amp;LEFT(Cod_Gen6[[#This Row],[Cantidad unitaria]],2))</f>
        <v>TRGE10 -6</v>
      </c>
      <c r="C313" s="86" t="s">
        <v>135</v>
      </c>
      <c r="D313" s="86" t="s">
        <v>20</v>
      </c>
      <c r="E313" s="86" t="s">
        <v>81</v>
      </c>
      <c r="F313" s="86"/>
      <c r="G313" s="117" t="s">
        <v>485</v>
      </c>
      <c r="H313" s="122">
        <v>6</v>
      </c>
      <c r="I313" s="107"/>
      <c r="J313" s="84" t="s">
        <v>487</v>
      </c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 spans="1:28" ht="15" x14ac:dyDescent="0.2">
      <c r="A314" s="81">
        <v>313</v>
      </c>
      <c r="B314" s="82" t="str">
        <f>UPPER(LEFT(C314,2)&amp;LEFT(D314,2)&amp;LEFT(E314,3)&amp;LEFT(J314)&amp;LEFT(Cod_Gen6[[#This Row],[Cantidad unitaria]],2))</f>
        <v>TUGEN/A-1</v>
      </c>
      <c r="C314" s="82" t="s">
        <v>136</v>
      </c>
      <c r="D314" s="82" t="s">
        <v>20</v>
      </c>
      <c r="E314" s="82" t="s">
        <v>462</v>
      </c>
      <c r="F314" s="82"/>
      <c r="G314" s="116" t="s">
        <v>445</v>
      </c>
      <c r="H314" s="116">
        <v>1</v>
      </c>
      <c r="I314" s="83">
        <v>7</v>
      </c>
      <c r="J314" s="84" t="s">
        <v>487</v>
      </c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 spans="1:28" ht="15" x14ac:dyDescent="0.2">
      <c r="A315" s="81">
        <v>314</v>
      </c>
      <c r="B315" s="82" t="str">
        <f>UPPER(LEFT(C315,2)&amp;LEFT(D315,2)&amp;LEFT(E315,3)&amp;LEFT(J315)&amp;LEFT(Cod_Gen6[[#This Row],[Cantidad unitaria]],2))</f>
        <v>TUGEN/A-2</v>
      </c>
      <c r="C315" s="82" t="s">
        <v>136</v>
      </c>
      <c r="D315" s="82" t="s">
        <v>20</v>
      </c>
      <c r="E315" s="82" t="s">
        <v>462</v>
      </c>
      <c r="F315" s="82"/>
      <c r="G315" s="116" t="s">
        <v>445</v>
      </c>
      <c r="H315" s="122">
        <v>2</v>
      </c>
      <c r="I315" s="107"/>
      <c r="J315" s="84" t="s">
        <v>487</v>
      </c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 spans="1:28" ht="15" x14ac:dyDescent="0.2">
      <c r="A316" s="81">
        <v>315</v>
      </c>
      <c r="B316" s="82" t="str">
        <f>UPPER(LEFT(C316,2)&amp;LEFT(D316,2)&amp;LEFT(E316,3)&amp;LEFT(J316)&amp;LEFT(Cod_Gen6[[#This Row],[Cantidad unitaria]],2))</f>
        <v>TUGEN/A-3</v>
      </c>
      <c r="C316" s="82" t="s">
        <v>136</v>
      </c>
      <c r="D316" s="82" t="s">
        <v>20</v>
      </c>
      <c r="E316" s="82" t="s">
        <v>462</v>
      </c>
      <c r="F316" s="82"/>
      <c r="G316" s="116" t="s">
        <v>445</v>
      </c>
      <c r="H316" s="122">
        <v>3</v>
      </c>
      <c r="I316" s="107"/>
      <c r="J316" s="84" t="s">
        <v>487</v>
      </c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 spans="1:28" ht="15" x14ac:dyDescent="0.2">
      <c r="A317" s="81">
        <v>316</v>
      </c>
      <c r="B317" s="82" t="str">
        <f>UPPER(LEFT(C317,2)&amp;LEFT(D317,2)&amp;LEFT(E317,3)&amp;LEFT(J317)&amp;LEFT(Cod_Gen6[[#This Row],[Cantidad unitaria]],2))</f>
        <v>TUGEN/A-4</v>
      </c>
      <c r="C317" s="82" t="s">
        <v>136</v>
      </c>
      <c r="D317" s="82" t="s">
        <v>20</v>
      </c>
      <c r="E317" s="82" t="s">
        <v>462</v>
      </c>
      <c r="F317" s="82"/>
      <c r="G317" s="116" t="s">
        <v>445</v>
      </c>
      <c r="H317" s="122">
        <v>4</v>
      </c>
      <c r="I317" s="107"/>
      <c r="J317" s="84" t="s">
        <v>487</v>
      </c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 spans="1:28" ht="15" x14ac:dyDescent="0.2">
      <c r="A318" s="81">
        <v>317</v>
      </c>
      <c r="B318" s="82" t="str">
        <f>UPPER(LEFT(C318,2)&amp;LEFT(D318,2)&amp;LEFT(E318,3)&amp;LEFT(J318)&amp;LEFT(Cod_Gen6[[#This Row],[Cantidad unitaria]],2))</f>
        <v>TUGEN/A-5</v>
      </c>
      <c r="C318" s="82" t="s">
        <v>136</v>
      </c>
      <c r="D318" s="82" t="s">
        <v>20</v>
      </c>
      <c r="E318" s="82" t="s">
        <v>462</v>
      </c>
      <c r="F318" s="82"/>
      <c r="G318" s="116" t="s">
        <v>445</v>
      </c>
      <c r="H318" s="122">
        <v>5</v>
      </c>
      <c r="I318" s="107"/>
      <c r="J318" s="84" t="s">
        <v>487</v>
      </c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 spans="1:28" ht="15" x14ac:dyDescent="0.2">
      <c r="A319" s="81">
        <v>318</v>
      </c>
      <c r="B319" s="82" t="str">
        <f>UPPER(LEFT(C319,2)&amp;LEFT(D319,2)&amp;LEFT(E319,3)&amp;LEFT(J319)&amp;LEFT(Cod_Gen6[[#This Row],[Cantidad unitaria]],2))</f>
        <v>TUGEN/A-6</v>
      </c>
      <c r="C319" s="82" t="s">
        <v>136</v>
      </c>
      <c r="D319" s="82" t="s">
        <v>20</v>
      </c>
      <c r="E319" s="82" t="s">
        <v>462</v>
      </c>
      <c r="F319" s="82"/>
      <c r="G319" s="116" t="s">
        <v>445</v>
      </c>
      <c r="H319" s="122">
        <v>6</v>
      </c>
      <c r="I319" s="107"/>
      <c r="J319" s="84" t="s">
        <v>487</v>
      </c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 spans="1:28" ht="15" x14ac:dyDescent="0.2">
      <c r="A320" s="81">
        <v>319</v>
      </c>
      <c r="B320" s="82" t="str">
        <f>UPPER(LEFT(C320,2)&amp;LEFT(D320,2)&amp;LEFT(E320,3)&amp;LEFT(J320)&amp;LEFT(Cod_Gen6[[#This Row],[Cantidad unitaria]],2))</f>
        <v>TUGEN/A-7</v>
      </c>
      <c r="C320" s="82" t="s">
        <v>136</v>
      </c>
      <c r="D320" s="82" t="s">
        <v>20</v>
      </c>
      <c r="E320" s="82" t="s">
        <v>462</v>
      </c>
      <c r="F320" s="82"/>
      <c r="G320" s="116" t="s">
        <v>445</v>
      </c>
      <c r="H320" s="122">
        <v>7</v>
      </c>
      <c r="I320" s="107"/>
      <c r="J320" s="84" t="s">
        <v>487</v>
      </c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 spans="1:28" ht="15" x14ac:dyDescent="0.2">
      <c r="A321" s="91"/>
      <c r="B321" s="86" t="str">
        <f t="shared" ref="B321:B325" si="0">UPPER(LEFT(C321,2)&amp;LEFT(D321,2)&amp;LEFT(E321,2))</f>
        <v/>
      </c>
      <c r="C321" s="128"/>
      <c r="D321" s="128"/>
      <c r="E321" s="128"/>
      <c r="F321" s="92"/>
      <c r="G321" s="118"/>
      <c r="H321" s="118"/>
      <c r="I321" s="93"/>
      <c r="J321" s="84" t="s">
        <v>487</v>
      </c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 spans="1:28" ht="15" x14ac:dyDescent="0.2">
      <c r="A322" s="94"/>
      <c r="B322" s="82" t="str">
        <f t="shared" si="0"/>
        <v/>
      </c>
      <c r="C322" s="129"/>
      <c r="D322" s="129"/>
      <c r="E322" s="129"/>
      <c r="F322" s="95"/>
      <c r="G322" s="119"/>
      <c r="H322" s="119"/>
      <c r="I322" s="96"/>
      <c r="J322" s="84" t="s">
        <v>487</v>
      </c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 spans="1:28" ht="15" x14ac:dyDescent="0.2">
      <c r="A323" s="91"/>
      <c r="B323" s="86" t="str">
        <f t="shared" si="0"/>
        <v/>
      </c>
      <c r="C323" s="128"/>
      <c r="D323" s="128"/>
      <c r="E323" s="128"/>
      <c r="F323" s="92"/>
      <c r="G323" s="118"/>
      <c r="H323" s="118"/>
      <c r="I323" s="93"/>
      <c r="J323" s="84" t="s">
        <v>487</v>
      </c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 spans="1:28" ht="15" x14ac:dyDescent="0.2">
      <c r="A324" s="94"/>
      <c r="B324" s="82" t="str">
        <f t="shared" si="0"/>
        <v/>
      </c>
      <c r="C324" s="129"/>
      <c r="D324" s="129"/>
      <c r="E324" s="129"/>
      <c r="F324" s="95"/>
      <c r="G324" s="119"/>
      <c r="H324" s="119"/>
      <c r="I324" s="96"/>
      <c r="J324" s="84" t="s">
        <v>487</v>
      </c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 spans="1:28" ht="15" x14ac:dyDescent="0.2">
      <c r="A325" s="97"/>
      <c r="B325" s="132" t="str">
        <f t="shared" si="0"/>
        <v/>
      </c>
      <c r="C325" s="130"/>
      <c r="D325" s="130"/>
      <c r="E325" s="130"/>
      <c r="F325" s="98"/>
      <c r="G325" s="120"/>
      <c r="H325" s="120"/>
      <c r="I325" s="99"/>
      <c r="J325" s="84" t="s">
        <v>487</v>
      </c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 spans="1:28" ht="15" x14ac:dyDescent="0.2">
      <c r="A326" s="100"/>
      <c r="B326" s="101"/>
      <c r="C326" s="101"/>
      <c r="D326" s="101"/>
      <c r="E326" s="101"/>
      <c r="F326" s="101"/>
      <c r="G326" s="101"/>
      <c r="H326" s="101"/>
      <c r="I326" s="101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 spans="1:28" ht="15" x14ac:dyDescent="0.2">
      <c r="A327" s="100"/>
      <c r="B327" s="101"/>
      <c r="C327" s="101"/>
      <c r="D327" s="101"/>
      <c r="E327" s="101"/>
      <c r="F327" s="101"/>
      <c r="G327" s="101"/>
      <c r="H327" s="101"/>
      <c r="I327" s="101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 spans="1:28" ht="15" x14ac:dyDescent="0.2">
      <c r="A328" s="100"/>
      <c r="B328" s="101"/>
      <c r="C328" s="101"/>
      <c r="D328" s="101"/>
      <c r="E328" s="101"/>
      <c r="F328" s="101"/>
      <c r="G328" s="101"/>
      <c r="H328" s="101"/>
      <c r="I328" s="101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 spans="1:28" ht="15" x14ac:dyDescent="0.2">
      <c r="A329" s="100"/>
      <c r="B329" s="101"/>
      <c r="C329" s="101"/>
      <c r="D329" s="101"/>
      <c r="E329" s="101"/>
      <c r="F329" s="101"/>
      <c r="G329" s="101"/>
      <c r="H329" s="101"/>
      <c r="I329" s="101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 spans="1:28" ht="15" x14ac:dyDescent="0.2">
      <c r="A330" s="100"/>
      <c r="B330" s="101"/>
      <c r="C330" s="101"/>
      <c r="D330" s="101"/>
      <c r="E330" s="101"/>
      <c r="F330" s="101"/>
      <c r="G330" s="101"/>
      <c r="H330" s="101"/>
      <c r="I330" s="101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 spans="1:28" ht="15" x14ac:dyDescent="0.2">
      <c r="A331" s="100"/>
      <c r="B331" s="101"/>
      <c r="C331" s="101"/>
      <c r="D331" s="101"/>
      <c r="E331" s="101"/>
      <c r="F331" s="101"/>
      <c r="G331" s="101"/>
      <c r="H331" s="101"/>
      <c r="I331" s="101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 spans="1:28" ht="15" x14ac:dyDescent="0.2">
      <c r="A332" s="100"/>
      <c r="B332" s="101"/>
      <c r="C332" s="101"/>
      <c r="D332" s="101"/>
      <c r="E332" s="101"/>
      <c r="F332" s="101"/>
      <c r="G332" s="101"/>
      <c r="H332" s="101"/>
      <c r="I332" s="101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 spans="1:28" ht="15" x14ac:dyDescent="0.2">
      <c r="A333" s="100"/>
      <c r="B333" s="101"/>
      <c r="C333" s="101"/>
      <c r="D333" s="101"/>
      <c r="E333" s="101"/>
      <c r="F333" s="101"/>
      <c r="G333" s="101"/>
      <c r="H333" s="101"/>
      <c r="I333" s="101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 spans="1:28" ht="15" x14ac:dyDescent="0.2">
      <c r="A334" s="100"/>
      <c r="B334" s="101"/>
      <c r="C334" s="101"/>
      <c r="D334" s="101"/>
      <c r="E334" s="101"/>
      <c r="F334" s="101"/>
      <c r="G334" s="101"/>
      <c r="H334" s="101"/>
      <c r="I334" s="101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 spans="1:28" ht="15" x14ac:dyDescent="0.2">
      <c r="A335" s="100"/>
      <c r="B335" s="101"/>
      <c r="C335" s="101"/>
      <c r="D335" s="101"/>
      <c r="E335" s="101"/>
      <c r="F335" s="101"/>
      <c r="G335" s="101"/>
      <c r="H335" s="101"/>
      <c r="I335" s="101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 spans="1:28" ht="15" x14ac:dyDescent="0.2">
      <c r="A336" s="100"/>
      <c r="B336" s="101"/>
      <c r="C336" s="101"/>
      <c r="D336" s="101"/>
      <c r="E336" s="101"/>
      <c r="F336" s="101"/>
      <c r="G336" s="101"/>
      <c r="H336" s="101"/>
      <c r="I336" s="101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 spans="1:28" ht="15" x14ac:dyDescent="0.2">
      <c r="A337" s="100"/>
      <c r="B337" s="101"/>
      <c r="C337" s="101"/>
      <c r="D337" s="101"/>
      <c r="E337" s="101"/>
      <c r="F337" s="101"/>
      <c r="G337" s="101"/>
      <c r="H337" s="101"/>
      <c r="I337" s="101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 spans="1:28" ht="15" x14ac:dyDescent="0.2">
      <c r="A338" s="100"/>
      <c r="B338" s="101"/>
      <c r="C338" s="101"/>
      <c r="D338" s="101"/>
      <c r="E338" s="101"/>
      <c r="F338" s="101"/>
      <c r="G338" s="101"/>
      <c r="H338" s="101"/>
      <c r="I338" s="101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 spans="1:28" ht="15" x14ac:dyDescent="0.2">
      <c r="A339" s="100"/>
      <c r="B339" s="101"/>
      <c r="C339" s="101"/>
      <c r="D339" s="101"/>
      <c r="E339" s="101"/>
      <c r="F339" s="101"/>
      <c r="G339" s="101"/>
      <c r="H339" s="101"/>
      <c r="I339" s="101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 spans="1:28" ht="15" x14ac:dyDescent="0.2">
      <c r="A340" s="100"/>
      <c r="B340" s="101"/>
      <c r="C340" s="101"/>
      <c r="D340" s="101"/>
      <c r="E340" s="101"/>
      <c r="F340" s="101"/>
      <c r="G340" s="101"/>
      <c r="H340" s="101"/>
      <c r="I340" s="101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 spans="1:28" ht="15" x14ac:dyDescent="0.2">
      <c r="A341" s="100"/>
      <c r="B341" s="101"/>
      <c r="C341" s="101"/>
      <c r="D341" s="101"/>
      <c r="E341" s="101"/>
      <c r="F341" s="101"/>
      <c r="G341" s="101"/>
      <c r="H341" s="101"/>
      <c r="I341" s="101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 spans="1:28" ht="15" x14ac:dyDescent="0.2">
      <c r="A342" s="100"/>
      <c r="B342" s="101"/>
      <c r="C342" s="101"/>
      <c r="D342" s="101"/>
      <c r="E342" s="101"/>
      <c r="F342" s="101"/>
      <c r="G342" s="101"/>
      <c r="H342" s="101"/>
      <c r="I342" s="101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 spans="1:28" ht="15" x14ac:dyDescent="0.2">
      <c r="A343" s="100"/>
      <c r="B343" s="101"/>
      <c r="C343" s="101"/>
      <c r="D343" s="101"/>
      <c r="E343" s="101"/>
      <c r="F343" s="101"/>
      <c r="G343" s="101"/>
      <c r="H343" s="101"/>
      <c r="I343" s="101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 spans="1:28" ht="15" x14ac:dyDescent="0.2">
      <c r="A344" s="100"/>
      <c r="B344" s="101"/>
      <c r="C344" s="101"/>
      <c r="D344" s="101"/>
      <c r="E344" s="101"/>
      <c r="F344" s="101"/>
      <c r="G344" s="101"/>
      <c r="H344" s="101"/>
      <c r="I344" s="101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 spans="1:28" ht="15" x14ac:dyDescent="0.2">
      <c r="A345" s="100"/>
      <c r="B345" s="101"/>
      <c r="C345" s="101"/>
      <c r="D345" s="101"/>
      <c r="E345" s="101"/>
      <c r="F345" s="101"/>
      <c r="G345" s="101"/>
      <c r="H345" s="101"/>
      <c r="I345" s="101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 spans="1:28" ht="15" x14ac:dyDescent="0.2">
      <c r="A346" s="100"/>
      <c r="B346" s="101"/>
      <c r="C346" s="101"/>
      <c r="D346" s="101"/>
      <c r="E346" s="101"/>
      <c r="F346" s="101"/>
      <c r="G346" s="101"/>
      <c r="H346" s="101"/>
      <c r="I346" s="101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 spans="1:28" ht="15" x14ac:dyDescent="0.2">
      <c r="A347" s="100"/>
      <c r="B347" s="101"/>
      <c r="C347" s="101"/>
      <c r="D347" s="101"/>
      <c r="E347" s="101"/>
      <c r="F347" s="101"/>
      <c r="G347" s="101"/>
      <c r="H347" s="101"/>
      <c r="I347" s="101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 spans="1:28" ht="15" x14ac:dyDescent="0.2">
      <c r="A348" s="100"/>
      <c r="B348" s="101"/>
      <c r="C348" s="101"/>
      <c r="D348" s="101"/>
      <c r="E348" s="101"/>
      <c r="F348" s="101"/>
      <c r="G348" s="101"/>
      <c r="H348" s="101"/>
      <c r="I348" s="101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 spans="1:28" ht="15" x14ac:dyDescent="0.2">
      <c r="A349" s="100"/>
      <c r="B349" s="101"/>
      <c r="C349" s="101"/>
      <c r="D349" s="101"/>
      <c r="E349" s="101"/>
      <c r="F349" s="101"/>
      <c r="G349" s="101"/>
      <c r="H349" s="101"/>
      <c r="I349" s="101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 spans="1:28" ht="15" x14ac:dyDescent="0.2">
      <c r="A350" s="100"/>
      <c r="B350" s="101"/>
      <c r="C350" s="101"/>
      <c r="D350" s="101"/>
      <c r="E350" s="101"/>
      <c r="F350" s="101"/>
      <c r="G350" s="101"/>
      <c r="H350" s="101"/>
      <c r="I350" s="101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 spans="1:28" ht="15" x14ac:dyDescent="0.2">
      <c r="A351" s="100"/>
      <c r="B351" s="101"/>
      <c r="C351" s="101"/>
      <c r="D351" s="101"/>
      <c r="E351" s="101"/>
      <c r="F351" s="101"/>
      <c r="G351" s="101"/>
      <c r="H351" s="101"/>
      <c r="I351" s="101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 spans="1:28" ht="15" x14ac:dyDescent="0.2">
      <c r="A352" s="100"/>
      <c r="B352" s="101"/>
      <c r="C352" s="101"/>
      <c r="D352" s="101"/>
      <c r="E352" s="101"/>
      <c r="F352" s="101"/>
      <c r="G352" s="101"/>
      <c r="H352" s="101"/>
      <c r="I352" s="101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 spans="1:28" ht="15" x14ac:dyDescent="0.2">
      <c r="A353" s="100"/>
      <c r="B353" s="101"/>
      <c r="C353" s="101"/>
      <c r="D353" s="101"/>
      <c r="E353" s="101"/>
      <c r="F353" s="101"/>
      <c r="G353" s="101"/>
      <c r="H353" s="101"/>
      <c r="I353" s="101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 spans="1:28" ht="15" x14ac:dyDescent="0.2">
      <c r="A354" s="100"/>
      <c r="B354" s="101"/>
      <c r="C354" s="101"/>
      <c r="D354" s="101"/>
      <c r="E354" s="101"/>
      <c r="F354" s="101"/>
      <c r="G354" s="101"/>
      <c r="H354" s="101"/>
      <c r="I354" s="101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 spans="1:28" ht="15" x14ac:dyDescent="0.2">
      <c r="A355" s="100"/>
      <c r="B355" s="101"/>
      <c r="C355" s="101"/>
      <c r="D355" s="101"/>
      <c r="E355" s="101"/>
      <c r="F355" s="101"/>
      <c r="G355" s="101"/>
      <c r="H355" s="101"/>
      <c r="I355" s="101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 spans="1:28" ht="15" x14ac:dyDescent="0.2">
      <c r="A356" s="100"/>
      <c r="B356" s="101"/>
      <c r="C356" s="101"/>
      <c r="D356" s="101"/>
      <c r="E356" s="101"/>
      <c r="F356" s="101"/>
      <c r="G356" s="101"/>
      <c r="H356" s="101"/>
      <c r="I356" s="101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 spans="1:28" ht="15" x14ac:dyDescent="0.2">
      <c r="A357" s="100"/>
      <c r="B357" s="101"/>
      <c r="C357" s="101"/>
      <c r="D357" s="101"/>
      <c r="E357" s="101"/>
      <c r="F357" s="101"/>
      <c r="G357" s="101"/>
      <c r="H357" s="101"/>
      <c r="I357" s="101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 spans="1:28" ht="15" x14ac:dyDescent="0.2">
      <c r="A358" s="100"/>
      <c r="B358" s="101"/>
      <c r="C358" s="101"/>
      <c r="D358" s="101"/>
      <c r="E358" s="101"/>
      <c r="F358" s="101"/>
      <c r="G358" s="101"/>
      <c r="H358" s="101"/>
      <c r="I358" s="101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 spans="1:28" ht="15" x14ac:dyDescent="0.2">
      <c r="A359" s="100"/>
      <c r="B359" s="101"/>
      <c r="C359" s="101"/>
      <c r="D359" s="101"/>
      <c r="E359" s="101"/>
      <c r="F359" s="101"/>
      <c r="G359" s="101"/>
      <c r="H359" s="101"/>
      <c r="I359" s="101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 spans="1:28" ht="15" x14ac:dyDescent="0.2">
      <c r="A360" s="100"/>
      <c r="B360" s="101"/>
      <c r="C360" s="101"/>
      <c r="D360" s="101"/>
      <c r="E360" s="101"/>
      <c r="F360" s="101"/>
      <c r="G360" s="101"/>
      <c r="H360" s="101"/>
      <c r="I360" s="101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 spans="1:28" ht="15" x14ac:dyDescent="0.2">
      <c r="A361" s="100"/>
      <c r="B361" s="101"/>
      <c r="C361" s="101"/>
      <c r="D361" s="101"/>
      <c r="E361" s="101"/>
      <c r="F361" s="101"/>
      <c r="G361" s="101"/>
      <c r="H361" s="101"/>
      <c r="I361" s="101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 spans="1:28" ht="15" x14ac:dyDescent="0.2">
      <c r="A362" s="100"/>
      <c r="B362" s="101"/>
      <c r="C362" s="101"/>
      <c r="D362" s="101"/>
      <c r="E362" s="101"/>
      <c r="F362" s="101"/>
      <c r="G362" s="101"/>
      <c r="H362" s="101"/>
      <c r="I362" s="101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 spans="1:28" ht="15" x14ac:dyDescent="0.2">
      <c r="A363" s="100"/>
      <c r="B363" s="101"/>
      <c r="C363" s="101"/>
      <c r="D363" s="101"/>
      <c r="E363" s="101"/>
      <c r="F363" s="101"/>
      <c r="G363" s="101"/>
      <c r="H363" s="101"/>
      <c r="I363" s="101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 spans="1:28" ht="15" x14ac:dyDescent="0.2">
      <c r="A364" s="100"/>
      <c r="B364" s="101"/>
      <c r="C364" s="101"/>
      <c r="D364" s="101"/>
      <c r="E364" s="101"/>
      <c r="F364" s="101"/>
      <c r="G364" s="101"/>
      <c r="H364" s="101"/>
      <c r="I364" s="101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 spans="1:28" ht="15" x14ac:dyDescent="0.2">
      <c r="A365" s="100"/>
      <c r="B365" s="101"/>
      <c r="C365" s="101"/>
      <c r="D365" s="101"/>
      <c r="E365" s="101"/>
      <c r="F365" s="101"/>
      <c r="G365" s="101"/>
      <c r="H365" s="101"/>
      <c r="I365" s="101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 spans="1:28" ht="15" x14ac:dyDescent="0.2">
      <c r="A366" s="100"/>
      <c r="B366" s="101"/>
      <c r="C366" s="101"/>
      <c r="D366" s="101"/>
      <c r="E366" s="101"/>
      <c r="F366" s="101"/>
      <c r="G366" s="101"/>
      <c r="H366" s="101"/>
      <c r="I366" s="101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 spans="1:28" ht="15" x14ac:dyDescent="0.2">
      <c r="A367" s="100"/>
      <c r="B367" s="101"/>
      <c r="C367" s="101"/>
      <c r="D367" s="101"/>
      <c r="E367" s="101"/>
      <c r="F367" s="101"/>
      <c r="G367" s="101"/>
      <c r="H367" s="101"/>
      <c r="I367" s="101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 spans="1:28" ht="15" x14ac:dyDescent="0.2">
      <c r="A368" s="100"/>
      <c r="B368" s="101"/>
      <c r="C368" s="101"/>
      <c r="D368" s="101"/>
      <c r="E368" s="101"/>
      <c r="F368" s="101"/>
      <c r="G368" s="101"/>
      <c r="H368" s="101"/>
      <c r="I368" s="101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 spans="1:28" ht="15" x14ac:dyDescent="0.2">
      <c r="A369" s="100"/>
      <c r="B369" s="101"/>
      <c r="C369" s="101"/>
      <c r="D369" s="101"/>
      <c r="E369" s="101"/>
      <c r="F369" s="101"/>
      <c r="G369" s="101"/>
      <c r="H369" s="101"/>
      <c r="I369" s="101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 spans="1:28" ht="15" x14ac:dyDescent="0.2">
      <c r="A370" s="100"/>
      <c r="B370" s="101"/>
      <c r="C370" s="101"/>
      <c r="D370" s="101"/>
      <c r="E370" s="101"/>
      <c r="F370" s="101"/>
      <c r="G370" s="101"/>
      <c r="H370" s="101"/>
      <c r="I370" s="101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 spans="1:28" ht="15" x14ac:dyDescent="0.2">
      <c r="A371" s="100"/>
      <c r="B371" s="101"/>
      <c r="C371" s="101"/>
      <c r="D371" s="101"/>
      <c r="E371" s="101"/>
      <c r="F371" s="101"/>
      <c r="G371" s="101"/>
      <c r="H371" s="101"/>
      <c r="I371" s="101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 spans="1:28" ht="15" x14ac:dyDescent="0.2">
      <c r="A372" s="100"/>
      <c r="B372" s="101"/>
      <c r="C372" s="101"/>
      <c r="D372" s="101"/>
      <c r="E372" s="101"/>
      <c r="F372" s="101"/>
      <c r="G372" s="101"/>
      <c r="H372" s="101"/>
      <c r="I372" s="101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 spans="1:28" ht="15" x14ac:dyDescent="0.2">
      <c r="A373" s="100"/>
      <c r="B373" s="101"/>
      <c r="C373" s="101"/>
      <c r="D373" s="101"/>
      <c r="E373" s="101"/>
      <c r="F373" s="101"/>
      <c r="G373" s="101"/>
      <c r="H373" s="101"/>
      <c r="I373" s="101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 spans="1:28" ht="15" x14ac:dyDescent="0.2">
      <c r="A374" s="100"/>
      <c r="B374" s="101"/>
      <c r="C374" s="101"/>
      <c r="D374" s="101"/>
      <c r="E374" s="101"/>
      <c r="F374" s="101"/>
      <c r="G374" s="101"/>
      <c r="H374" s="101"/>
      <c r="I374" s="101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 spans="1:28" ht="15" x14ac:dyDescent="0.2">
      <c r="A375" s="100"/>
      <c r="B375" s="101"/>
      <c r="C375" s="101"/>
      <c r="D375" s="101"/>
      <c r="E375" s="101"/>
      <c r="F375" s="101"/>
      <c r="G375" s="101"/>
      <c r="H375" s="101"/>
      <c r="I375" s="101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 spans="1:28" ht="15" x14ac:dyDescent="0.2">
      <c r="A376" s="100"/>
      <c r="B376" s="101"/>
      <c r="C376" s="101"/>
      <c r="D376" s="101"/>
      <c r="E376" s="101"/>
      <c r="F376" s="101"/>
      <c r="G376" s="101"/>
      <c r="H376" s="101"/>
      <c r="I376" s="101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 spans="1:28" ht="15" x14ac:dyDescent="0.2">
      <c r="A377" s="100"/>
      <c r="B377" s="101"/>
      <c r="C377" s="101"/>
      <c r="D377" s="101"/>
      <c r="E377" s="101"/>
      <c r="F377" s="101"/>
      <c r="G377" s="101"/>
      <c r="H377" s="101"/>
      <c r="I377" s="101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 spans="1:28" ht="15" x14ac:dyDescent="0.2">
      <c r="A378" s="100"/>
      <c r="B378" s="101"/>
      <c r="C378" s="101"/>
      <c r="D378" s="101"/>
      <c r="E378" s="101"/>
      <c r="F378" s="101"/>
      <c r="G378" s="101"/>
      <c r="H378" s="101"/>
      <c r="I378" s="101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 spans="1:28" ht="15" x14ac:dyDescent="0.2">
      <c r="A379" s="100"/>
      <c r="B379" s="101"/>
      <c r="C379" s="101"/>
      <c r="D379" s="101"/>
      <c r="E379" s="101"/>
      <c r="F379" s="101"/>
      <c r="G379" s="101"/>
      <c r="H379" s="101"/>
      <c r="I379" s="101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 spans="1:28" ht="15" x14ac:dyDescent="0.2">
      <c r="A380" s="100"/>
      <c r="B380" s="101"/>
      <c r="C380" s="101"/>
      <c r="D380" s="101"/>
      <c r="E380" s="101"/>
      <c r="F380" s="101"/>
      <c r="G380" s="101"/>
      <c r="H380" s="101"/>
      <c r="I380" s="101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 spans="1:28" ht="15" x14ac:dyDescent="0.2">
      <c r="A381" s="100"/>
      <c r="B381" s="101"/>
      <c r="C381" s="101"/>
      <c r="D381" s="101"/>
      <c r="E381" s="101"/>
      <c r="F381" s="101"/>
      <c r="G381" s="101"/>
      <c r="H381" s="101"/>
      <c r="I381" s="101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 spans="1:28" ht="15" x14ac:dyDescent="0.2">
      <c r="A382" s="100"/>
      <c r="B382" s="101"/>
      <c r="C382" s="101"/>
      <c r="D382" s="101"/>
      <c r="E382" s="101"/>
      <c r="F382" s="101"/>
      <c r="G382" s="101"/>
      <c r="H382" s="101"/>
      <c r="I382" s="101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 spans="1:28" ht="15" x14ac:dyDescent="0.2">
      <c r="A383" s="100"/>
      <c r="B383" s="101"/>
      <c r="C383" s="101"/>
      <c r="D383" s="101"/>
      <c r="E383" s="101"/>
      <c r="F383" s="101"/>
      <c r="G383" s="101"/>
      <c r="H383" s="101"/>
      <c r="I383" s="101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 spans="1:28" ht="15" x14ac:dyDescent="0.2">
      <c r="A384" s="100"/>
      <c r="B384" s="101"/>
      <c r="C384" s="101"/>
      <c r="D384" s="101"/>
      <c r="E384" s="101"/>
      <c r="F384" s="101"/>
      <c r="G384" s="101"/>
      <c r="H384" s="101"/>
      <c r="I384" s="101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 spans="1:28" ht="15" x14ac:dyDescent="0.2">
      <c r="A385" s="100"/>
      <c r="B385" s="101"/>
      <c r="C385" s="101"/>
      <c r="D385" s="101"/>
      <c r="E385" s="101"/>
      <c r="F385" s="101"/>
      <c r="G385" s="101"/>
      <c r="H385" s="101"/>
      <c r="I385" s="101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 spans="1:28" ht="15" x14ac:dyDescent="0.2">
      <c r="A386" s="100"/>
      <c r="B386" s="101"/>
      <c r="C386" s="101"/>
      <c r="D386" s="101"/>
      <c r="E386" s="101"/>
      <c r="F386" s="101"/>
      <c r="G386" s="101"/>
      <c r="H386" s="101"/>
      <c r="I386" s="101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 spans="1:28" ht="15" x14ac:dyDescent="0.2">
      <c r="A387" s="100"/>
      <c r="B387" s="101"/>
      <c r="C387" s="101"/>
      <c r="D387" s="101"/>
      <c r="E387" s="101"/>
      <c r="F387" s="101"/>
      <c r="G387" s="101"/>
      <c r="H387" s="101"/>
      <c r="I387" s="101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 spans="1:28" ht="15" x14ac:dyDescent="0.2">
      <c r="A388" s="100"/>
      <c r="B388" s="101"/>
      <c r="C388" s="101"/>
      <c r="D388" s="101"/>
      <c r="E388" s="101"/>
      <c r="F388" s="101"/>
      <c r="G388" s="101"/>
      <c r="H388" s="101"/>
      <c r="I388" s="101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 spans="1:28" ht="15" x14ac:dyDescent="0.2">
      <c r="A389" s="100"/>
      <c r="B389" s="101"/>
      <c r="C389" s="101"/>
      <c r="D389" s="101"/>
      <c r="E389" s="101"/>
      <c r="F389" s="101"/>
      <c r="G389" s="101"/>
      <c r="H389" s="101"/>
      <c r="I389" s="101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 spans="1:28" ht="15" x14ac:dyDescent="0.2">
      <c r="A390" s="100"/>
      <c r="B390" s="101"/>
      <c r="C390" s="101"/>
      <c r="D390" s="101"/>
      <c r="E390" s="101"/>
      <c r="F390" s="101"/>
      <c r="G390" s="101"/>
      <c r="H390" s="101"/>
      <c r="I390" s="101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 spans="1:28" ht="15" x14ac:dyDescent="0.2">
      <c r="A391" s="100"/>
      <c r="B391" s="101"/>
      <c r="C391" s="101"/>
      <c r="D391" s="101"/>
      <c r="E391" s="101"/>
      <c r="F391" s="101"/>
      <c r="G391" s="101"/>
      <c r="H391" s="101"/>
      <c r="I391" s="101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 spans="1:28" ht="15" x14ac:dyDescent="0.2">
      <c r="A392" s="100"/>
      <c r="B392" s="101"/>
      <c r="C392" s="101"/>
      <c r="D392" s="101"/>
      <c r="E392" s="101"/>
      <c r="F392" s="101"/>
      <c r="G392" s="101"/>
      <c r="H392" s="101"/>
      <c r="I392" s="101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 spans="1:28" ht="15" x14ac:dyDescent="0.2">
      <c r="A393" s="100"/>
      <c r="B393" s="101"/>
      <c r="C393" s="101"/>
      <c r="D393" s="101"/>
      <c r="E393" s="101"/>
      <c r="F393" s="101"/>
      <c r="G393" s="101"/>
      <c r="H393" s="101"/>
      <c r="I393" s="101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 spans="1:28" ht="15" x14ac:dyDescent="0.2">
      <c r="A394" s="100"/>
      <c r="B394" s="101"/>
      <c r="C394" s="101"/>
      <c r="D394" s="101"/>
      <c r="E394" s="101"/>
      <c r="F394" s="101"/>
      <c r="G394" s="101"/>
      <c r="H394" s="101"/>
      <c r="I394" s="101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 spans="1:28" ht="15" x14ac:dyDescent="0.2">
      <c r="A395" s="100"/>
      <c r="B395" s="101"/>
      <c r="C395" s="101"/>
      <c r="D395" s="101"/>
      <c r="E395" s="101"/>
      <c r="F395" s="101"/>
      <c r="G395" s="101"/>
      <c r="H395" s="101"/>
      <c r="I395" s="101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 spans="1:28" ht="15" x14ac:dyDescent="0.2">
      <c r="A396" s="100"/>
      <c r="B396" s="101"/>
      <c r="C396" s="101"/>
      <c r="D396" s="101"/>
      <c r="E396" s="101"/>
      <c r="F396" s="101"/>
      <c r="G396" s="101"/>
      <c r="H396" s="101"/>
      <c r="I396" s="101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 spans="1:28" ht="15" x14ac:dyDescent="0.2">
      <c r="A397" s="100"/>
      <c r="B397" s="101"/>
      <c r="C397" s="101"/>
      <c r="D397" s="101"/>
      <c r="E397" s="101"/>
      <c r="F397" s="101"/>
      <c r="G397" s="101"/>
      <c r="H397" s="101"/>
      <c r="I397" s="101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 spans="1:28" ht="15" x14ac:dyDescent="0.2">
      <c r="A398" s="100"/>
      <c r="B398" s="101"/>
      <c r="C398" s="101"/>
      <c r="D398" s="101"/>
      <c r="E398" s="101"/>
      <c r="F398" s="101"/>
      <c r="G398" s="101"/>
      <c r="H398" s="101"/>
      <c r="I398" s="101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 spans="1:28" ht="15" x14ac:dyDescent="0.2">
      <c r="A399" s="100"/>
      <c r="B399" s="101"/>
      <c r="C399" s="101"/>
      <c r="D399" s="101"/>
      <c r="E399" s="101"/>
      <c r="F399" s="101"/>
      <c r="G399" s="101"/>
      <c r="H399" s="101"/>
      <c r="I399" s="101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 spans="1:28" ht="15" x14ac:dyDescent="0.2">
      <c r="A400" s="100"/>
      <c r="B400" s="101"/>
      <c r="C400" s="101"/>
      <c r="D400" s="101"/>
      <c r="E400" s="101"/>
      <c r="F400" s="101"/>
      <c r="G400" s="101"/>
      <c r="H400" s="101"/>
      <c r="I400" s="101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 spans="1:28" ht="15" x14ac:dyDescent="0.2">
      <c r="A401" s="100"/>
      <c r="B401" s="101"/>
      <c r="C401" s="101"/>
      <c r="D401" s="101"/>
      <c r="E401" s="101"/>
      <c r="F401" s="101"/>
      <c r="G401" s="101"/>
      <c r="H401" s="101"/>
      <c r="I401" s="101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 spans="1:28" ht="15" x14ac:dyDescent="0.2">
      <c r="A402" s="100"/>
      <c r="B402" s="101"/>
      <c r="C402" s="101"/>
      <c r="D402" s="101"/>
      <c r="E402" s="101"/>
      <c r="F402" s="101"/>
      <c r="G402" s="101"/>
      <c r="H402" s="101"/>
      <c r="I402" s="101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 spans="1:28" ht="15" x14ac:dyDescent="0.2">
      <c r="A403" s="100"/>
      <c r="B403" s="101"/>
      <c r="C403" s="101"/>
      <c r="D403" s="101"/>
      <c r="E403" s="101"/>
      <c r="F403" s="101"/>
      <c r="G403" s="101"/>
      <c r="H403" s="101"/>
      <c r="I403" s="101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 spans="1:28" ht="15" x14ac:dyDescent="0.2">
      <c r="A404" s="100"/>
      <c r="B404" s="101"/>
      <c r="C404" s="101"/>
      <c r="D404" s="101"/>
      <c r="E404" s="101"/>
      <c r="F404" s="101"/>
      <c r="G404" s="101"/>
      <c r="H404" s="101"/>
      <c r="I404" s="101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 spans="1:28" ht="15" x14ac:dyDescent="0.2">
      <c r="A405" s="100"/>
      <c r="B405" s="101"/>
      <c r="C405" s="101"/>
      <c r="D405" s="101"/>
      <c r="E405" s="101"/>
      <c r="F405" s="101"/>
      <c r="G405" s="101"/>
      <c r="H405" s="101"/>
      <c r="I405" s="101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 spans="1:28" ht="15" x14ac:dyDescent="0.2">
      <c r="A406" s="100"/>
      <c r="B406" s="101"/>
      <c r="C406" s="101"/>
      <c r="D406" s="101"/>
      <c r="E406" s="101"/>
      <c r="F406" s="101"/>
      <c r="G406" s="101"/>
      <c r="H406" s="101"/>
      <c r="I406" s="101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 spans="1:28" ht="15" x14ac:dyDescent="0.2">
      <c r="A407" s="100"/>
      <c r="B407" s="101"/>
      <c r="C407" s="101"/>
      <c r="D407" s="101"/>
      <c r="E407" s="101"/>
      <c r="F407" s="101"/>
      <c r="G407" s="101"/>
      <c r="H407" s="101"/>
      <c r="I407" s="101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 spans="1:28" ht="15" x14ac:dyDescent="0.2">
      <c r="A408" s="100"/>
      <c r="B408" s="101"/>
      <c r="C408" s="101"/>
      <c r="D408" s="101"/>
      <c r="E408" s="101"/>
      <c r="F408" s="101"/>
      <c r="G408" s="101"/>
      <c r="H408" s="101"/>
      <c r="I408" s="101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 spans="1:28" ht="15" x14ac:dyDescent="0.2">
      <c r="A409" s="100"/>
      <c r="B409" s="101"/>
      <c r="C409" s="101"/>
      <c r="D409" s="101"/>
      <c r="E409" s="101"/>
      <c r="F409" s="101"/>
      <c r="G409" s="101"/>
      <c r="H409" s="101"/>
      <c r="I409" s="101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 spans="1:28" ht="15" x14ac:dyDescent="0.2">
      <c r="A410" s="100"/>
      <c r="B410" s="101"/>
      <c r="C410" s="101"/>
      <c r="D410" s="101"/>
      <c r="E410" s="101"/>
      <c r="F410" s="101"/>
      <c r="G410" s="101"/>
      <c r="H410" s="101"/>
      <c r="I410" s="101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 spans="1:28" ht="15" x14ac:dyDescent="0.2">
      <c r="A411" s="100"/>
      <c r="B411" s="101"/>
      <c r="C411" s="101"/>
      <c r="D411" s="101"/>
      <c r="E411" s="101"/>
      <c r="F411" s="101"/>
      <c r="G411" s="101"/>
      <c r="H411" s="101"/>
      <c r="I411" s="101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 spans="1:28" ht="15" x14ac:dyDescent="0.2">
      <c r="A412" s="100"/>
      <c r="B412" s="101"/>
      <c r="C412" s="101"/>
      <c r="D412" s="101"/>
      <c r="E412" s="101"/>
      <c r="F412" s="101"/>
      <c r="G412" s="101"/>
      <c r="H412" s="101"/>
      <c r="I412" s="101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 spans="1:28" ht="15" x14ac:dyDescent="0.2">
      <c r="A413" s="100"/>
      <c r="B413" s="101"/>
      <c r="C413" s="101"/>
      <c r="D413" s="101"/>
      <c r="E413" s="101"/>
      <c r="F413" s="101"/>
      <c r="G413" s="101"/>
      <c r="H413" s="101"/>
      <c r="I413" s="101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 spans="1:28" ht="15" x14ac:dyDescent="0.2">
      <c r="A414" s="100"/>
      <c r="B414" s="101"/>
      <c r="C414" s="101"/>
      <c r="D414" s="101"/>
      <c r="E414" s="101"/>
      <c r="F414" s="101"/>
      <c r="G414" s="101"/>
      <c r="H414" s="101"/>
      <c r="I414" s="101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 spans="1:28" ht="15" x14ac:dyDescent="0.2">
      <c r="A415" s="100"/>
      <c r="B415" s="101"/>
      <c r="C415" s="101"/>
      <c r="D415" s="101"/>
      <c r="E415" s="101"/>
      <c r="F415" s="101"/>
      <c r="G415" s="101"/>
      <c r="H415" s="101"/>
      <c r="I415" s="101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 spans="1:28" ht="15" x14ac:dyDescent="0.2">
      <c r="A416" s="100"/>
      <c r="B416" s="101"/>
      <c r="C416" s="101"/>
      <c r="D416" s="101"/>
      <c r="E416" s="101"/>
      <c r="F416" s="101"/>
      <c r="G416" s="101"/>
      <c r="H416" s="101"/>
      <c r="I416" s="101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 spans="1:28" ht="15" x14ac:dyDescent="0.2">
      <c r="A417" s="100"/>
      <c r="B417" s="101"/>
      <c r="C417" s="101"/>
      <c r="D417" s="101"/>
      <c r="E417" s="101"/>
      <c r="F417" s="101"/>
      <c r="G417" s="101"/>
      <c r="H417" s="101"/>
      <c r="I417" s="101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 spans="1:28" ht="15" x14ac:dyDescent="0.2">
      <c r="A418" s="100"/>
      <c r="B418" s="101"/>
      <c r="C418" s="101"/>
      <c r="D418" s="101"/>
      <c r="E418" s="101"/>
      <c r="F418" s="101"/>
      <c r="G418" s="101"/>
      <c r="H418" s="101"/>
      <c r="I418" s="101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 spans="1:28" ht="15" x14ac:dyDescent="0.2">
      <c r="A419" s="100"/>
      <c r="B419" s="101"/>
      <c r="C419" s="101"/>
      <c r="D419" s="101"/>
      <c r="E419" s="101"/>
      <c r="F419" s="101"/>
      <c r="G419" s="101"/>
      <c r="H419" s="101"/>
      <c r="I419" s="101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 spans="1:28" ht="15" x14ac:dyDescent="0.2">
      <c r="A420" s="100"/>
      <c r="B420" s="101"/>
      <c r="C420" s="101"/>
      <c r="D420" s="101"/>
      <c r="E420" s="101"/>
      <c r="F420" s="101"/>
      <c r="G420" s="101"/>
      <c r="H420" s="101"/>
      <c r="I420" s="101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 spans="1:28" ht="15" x14ac:dyDescent="0.2">
      <c r="A421" s="100"/>
      <c r="B421" s="101"/>
      <c r="C421" s="101"/>
      <c r="D421" s="101"/>
      <c r="E421" s="101"/>
      <c r="F421" s="101"/>
      <c r="G421" s="101"/>
      <c r="H421" s="101"/>
      <c r="I421" s="101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 spans="1:28" ht="15" x14ac:dyDescent="0.2">
      <c r="A422" s="100"/>
      <c r="B422" s="101"/>
      <c r="C422" s="101"/>
      <c r="D422" s="101"/>
      <c r="E422" s="101"/>
      <c r="F422" s="101"/>
      <c r="G422" s="101"/>
      <c r="H422" s="101"/>
      <c r="I422" s="101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 spans="1:28" ht="15" x14ac:dyDescent="0.2">
      <c r="A423" s="100"/>
      <c r="B423" s="101"/>
      <c r="C423" s="101"/>
      <c r="D423" s="101"/>
      <c r="E423" s="101"/>
      <c r="F423" s="101"/>
      <c r="G423" s="101"/>
      <c r="H423" s="101"/>
      <c r="I423" s="101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 spans="1:28" ht="15" x14ac:dyDescent="0.2">
      <c r="A424" s="100"/>
      <c r="B424" s="101"/>
      <c r="C424" s="101"/>
      <c r="D424" s="101"/>
      <c r="E424" s="101"/>
      <c r="F424" s="101"/>
      <c r="G424" s="101"/>
      <c r="H424" s="101"/>
      <c r="I424" s="101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 spans="1:28" ht="15" x14ac:dyDescent="0.2">
      <c r="A425" s="100"/>
      <c r="B425" s="101"/>
      <c r="C425" s="101"/>
      <c r="D425" s="101"/>
      <c r="E425" s="101"/>
      <c r="F425" s="101"/>
      <c r="G425" s="101"/>
      <c r="H425" s="101"/>
      <c r="I425" s="101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 spans="1:28" ht="15" x14ac:dyDescent="0.2">
      <c r="A426" s="100"/>
      <c r="B426" s="101"/>
      <c r="C426" s="101"/>
      <c r="D426" s="101"/>
      <c r="E426" s="101"/>
      <c r="F426" s="101"/>
      <c r="G426" s="101"/>
      <c r="H426" s="101"/>
      <c r="I426" s="101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 spans="1:28" ht="15" x14ac:dyDescent="0.2">
      <c r="A427" s="100"/>
      <c r="B427" s="101"/>
      <c r="C427" s="101"/>
      <c r="D427" s="101"/>
      <c r="E427" s="101"/>
      <c r="F427" s="101"/>
      <c r="G427" s="101"/>
      <c r="H427" s="101"/>
      <c r="I427" s="101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 spans="1:28" ht="15" x14ac:dyDescent="0.2">
      <c r="A428" s="100"/>
      <c r="B428" s="101"/>
      <c r="C428" s="101"/>
      <c r="D428" s="101"/>
      <c r="E428" s="101"/>
      <c r="F428" s="101"/>
      <c r="G428" s="101"/>
      <c r="H428" s="101"/>
      <c r="I428" s="101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 spans="1:28" ht="15" x14ac:dyDescent="0.2">
      <c r="A429" s="100"/>
      <c r="B429" s="101"/>
      <c r="C429" s="101"/>
      <c r="D429" s="101"/>
      <c r="E429" s="101"/>
      <c r="F429" s="101"/>
      <c r="G429" s="101"/>
      <c r="H429" s="101"/>
      <c r="I429" s="101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 spans="1:28" ht="15" x14ac:dyDescent="0.2">
      <c r="A430" s="100"/>
      <c r="B430" s="101"/>
      <c r="C430" s="101"/>
      <c r="D430" s="101"/>
      <c r="E430" s="101"/>
      <c r="F430" s="101"/>
      <c r="G430" s="101"/>
      <c r="H430" s="101"/>
      <c r="I430" s="101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 spans="1:28" ht="15" x14ac:dyDescent="0.2">
      <c r="A431" s="100"/>
      <c r="B431" s="101"/>
      <c r="C431" s="101"/>
      <c r="D431" s="101"/>
      <c r="E431" s="101"/>
      <c r="F431" s="101"/>
      <c r="G431" s="101"/>
      <c r="H431" s="101"/>
      <c r="I431" s="101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 spans="1:28" ht="15" x14ac:dyDescent="0.2">
      <c r="A432" s="100"/>
      <c r="B432" s="101"/>
      <c r="C432" s="101"/>
      <c r="D432" s="101"/>
      <c r="E432" s="101"/>
      <c r="F432" s="101"/>
      <c r="G432" s="101"/>
      <c r="H432" s="101"/>
      <c r="I432" s="101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 spans="1:28" ht="15" x14ac:dyDescent="0.2">
      <c r="A433" s="100"/>
      <c r="B433" s="101"/>
      <c r="C433" s="101"/>
      <c r="D433" s="101"/>
      <c r="E433" s="101"/>
      <c r="F433" s="101"/>
      <c r="G433" s="101"/>
      <c r="H433" s="101"/>
      <c r="I433" s="101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 spans="1:28" ht="15" x14ac:dyDescent="0.2">
      <c r="A434" s="100"/>
      <c r="B434" s="101"/>
      <c r="C434" s="101"/>
      <c r="D434" s="101"/>
      <c r="E434" s="101"/>
      <c r="F434" s="101"/>
      <c r="G434" s="101"/>
      <c r="H434" s="101"/>
      <c r="I434" s="101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 spans="1:28" ht="15" x14ac:dyDescent="0.2">
      <c r="A435" s="100"/>
      <c r="B435" s="101"/>
      <c r="C435" s="101"/>
      <c r="D435" s="101"/>
      <c r="E435" s="101"/>
      <c r="F435" s="101"/>
      <c r="G435" s="101"/>
      <c r="H435" s="101"/>
      <c r="I435" s="101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 spans="1:28" ht="15" x14ac:dyDescent="0.2">
      <c r="A436" s="100"/>
      <c r="B436" s="101"/>
      <c r="C436" s="101"/>
      <c r="D436" s="101"/>
      <c r="E436" s="101"/>
      <c r="F436" s="101"/>
      <c r="G436" s="101"/>
      <c r="H436" s="101"/>
      <c r="I436" s="101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 spans="1:28" ht="15" x14ac:dyDescent="0.2">
      <c r="A437" s="100"/>
      <c r="B437" s="101"/>
      <c r="C437" s="101"/>
      <c r="D437" s="101"/>
      <c r="E437" s="101"/>
      <c r="F437" s="101"/>
      <c r="G437" s="101"/>
      <c r="H437" s="101"/>
      <c r="I437" s="101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 spans="1:28" ht="15" x14ac:dyDescent="0.2">
      <c r="A438" s="100"/>
      <c r="B438" s="101"/>
      <c r="C438" s="101"/>
      <c r="D438" s="101"/>
      <c r="E438" s="101"/>
      <c r="F438" s="101"/>
      <c r="G438" s="101"/>
      <c r="H438" s="101"/>
      <c r="I438" s="101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 spans="1:28" ht="15" x14ac:dyDescent="0.2">
      <c r="A439" s="100"/>
      <c r="B439" s="101"/>
      <c r="C439" s="101"/>
      <c r="D439" s="101"/>
      <c r="E439" s="101"/>
      <c r="F439" s="101"/>
      <c r="G439" s="101"/>
      <c r="H439" s="101"/>
      <c r="I439" s="101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 spans="1:28" ht="15" x14ac:dyDescent="0.2">
      <c r="A440" s="100"/>
      <c r="B440" s="101"/>
      <c r="C440" s="101"/>
      <c r="D440" s="101"/>
      <c r="E440" s="101"/>
      <c r="F440" s="101"/>
      <c r="G440" s="101"/>
      <c r="H440" s="101"/>
      <c r="I440" s="101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 spans="1:28" ht="15" x14ac:dyDescent="0.2">
      <c r="A441" s="100"/>
      <c r="B441" s="101"/>
      <c r="C441" s="101"/>
      <c r="D441" s="101"/>
      <c r="E441" s="101"/>
      <c r="F441" s="101"/>
      <c r="G441" s="101"/>
      <c r="H441" s="101"/>
      <c r="I441" s="101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 spans="1:28" ht="15" x14ac:dyDescent="0.2">
      <c r="A442" s="100"/>
      <c r="B442" s="101"/>
      <c r="C442" s="101"/>
      <c r="D442" s="101"/>
      <c r="E442" s="101"/>
      <c r="F442" s="101"/>
      <c r="G442" s="101"/>
      <c r="H442" s="101"/>
      <c r="I442" s="101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 spans="1:28" ht="15" x14ac:dyDescent="0.2">
      <c r="A443" s="100"/>
      <c r="B443" s="101"/>
      <c r="C443" s="101"/>
      <c r="D443" s="101"/>
      <c r="E443" s="101"/>
      <c r="F443" s="101"/>
      <c r="G443" s="101"/>
      <c r="H443" s="101"/>
      <c r="I443" s="101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 spans="1:28" ht="15" x14ac:dyDescent="0.2">
      <c r="A444" s="100"/>
      <c r="B444" s="101"/>
      <c r="C444" s="101"/>
      <c r="D444" s="101"/>
      <c r="E444" s="101"/>
      <c r="F444" s="101"/>
      <c r="G444" s="101"/>
      <c r="H444" s="101"/>
      <c r="I444" s="101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 spans="1:28" ht="15" x14ac:dyDescent="0.2">
      <c r="A445" s="100"/>
      <c r="B445" s="101"/>
      <c r="C445" s="101"/>
      <c r="D445" s="101"/>
      <c r="E445" s="101"/>
      <c r="F445" s="101"/>
      <c r="G445" s="101"/>
      <c r="H445" s="101"/>
      <c r="I445" s="101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 spans="1:28" ht="15" x14ac:dyDescent="0.2">
      <c r="A446" s="100"/>
      <c r="B446" s="101"/>
      <c r="C446" s="101"/>
      <c r="D446" s="101"/>
      <c r="E446" s="101"/>
      <c r="F446" s="101"/>
      <c r="G446" s="101"/>
      <c r="H446" s="101"/>
      <c r="I446" s="101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 spans="1:28" ht="15" x14ac:dyDescent="0.2">
      <c r="A447" s="100"/>
      <c r="B447" s="101"/>
      <c r="C447" s="101"/>
      <c r="D447" s="101"/>
      <c r="E447" s="101"/>
      <c r="F447" s="101"/>
      <c r="G447" s="101"/>
      <c r="H447" s="101"/>
      <c r="I447" s="101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 spans="1:28" ht="15" x14ac:dyDescent="0.2">
      <c r="A448" s="100"/>
      <c r="B448" s="101"/>
      <c r="C448" s="101"/>
      <c r="D448" s="101"/>
      <c r="E448" s="101"/>
      <c r="F448" s="101"/>
      <c r="G448" s="101"/>
      <c r="H448" s="101"/>
      <c r="I448" s="101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 spans="1:28" ht="15" x14ac:dyDescent="0.2">
      <c r="A449" s="100"/>
      <c r="B449" s="101"/>
      <c r="C449" s="101"/>
      <c r="D449" s="101"/>
      <c r="E449" s="101"/>
      <c r="F449" s="101"/>
      <c r="G449" s="101"/>
      <c r="H449" s="101"/>
      <c r="I449" s="101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 spans="1:28" ht="15" x14ac:dyDescent="0.2">
      <c r="A450" s="100"/>
      <c r="B450" s="101"/>
      <c r="C450" s="101"/>
      <c r="D450" s="101"/>
      <c r="E450" s="101"/>
      <c r="F450" s="101"/>
      <c r="G450" s="101"/>
      <c r="H450" s="101"/>
      <c r="I450" s="101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 spans="1:28" ht="15" x14ac:dyDescent="0.2">
      <c r="A451" s="100"/>
      <c r="B451" s="101"/>
      <c r="C451" s="101"/>
      <c r="D451" s="101"/>
      <c r="E451" s="101"/>
      <c r="F451" s="101"/>
      <c r="G451" s="101"/>
      <c r="H451" s="101"/>
      <c r="I451" s="101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 spans="1:28" ht="15" x14ac:dyDescent="0.2">
      <c r="A452" s="100"/>
      <c r="B452" s="101"/>
      <c r="C452" s="101"/>
      <c r="D452" s="101"/>
      <c r="E452" s="101"/>
      <c r="F452" s="101"/>
      <c r="G452" s="101"/>
      <c r="H452" s="101"/>
      <c r="I452" s="101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 spans="1:28" ht="15" x14ac:dyDescent="0.2">
      <c r="A453" s="100"/>
      <c r="B453" s="101"/>
      <c r="C453" s="101"/>
      <c r="D453" s="101"/>
      <c r="E453" s="101"/>
      <c r="F453" s="101"/>
      <c r="G453" s="101"/>
      <c r="H453" s="101"/>
      <c r="I453" s="101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 spans="1:28" ht="15" x14ac:dyDescent="0.2">
      <c r="A454" s="100"/>
      <c r="B454" s="101"/>
      <c r="C454" s="101"/>
      <c r="D454" s="101"/>
      <c r="E454" s="101"/>
      <c r="F454" s="101"/>
      <c r="G454" s="101"/>
      <c r="H454" s="101"/>
      <c r="I454" s="101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 spans="1:28" ht="15" x14ac:dyDescent="0.2">
      <c r="A455" s="100"/>
      <c r="B455" s="101"/>
      <c r="C455" s="101"/>
      <c r="D455" s="101"/>
      <c r="E455" s="101"/>
      <c r="F455" s="101"/>
      <c r="G455" s="101"/>
      <c r="H455" s="101"/>
      <c r="I455" s="101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 spans="1:28" ht="15" x14ac:dyDescent="0.2">
      <c r="A456" s="100"/>
      <c r="B456" s="101"/>
      <c r="C456" s="101"/>
      <c r="D456" s="101"/>
      <c r="E456" s="101"/>
      <c r="F456" s="101"/>
      <c r="G456" s="101"/>
      <c r="H456" s="101"/>
      <c r="I456" s="101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 spans="1:28" ht="15" x14ac:dyDescent="0.2">
      <c r="A457" s="100"/>
      <c r="B457" s="101"/>
      <c r="C457" s="101"/>
      <c r="D457" s="101"/>
      <c r="E457" s="101"/>
      <c r="F457" s="101"/>
      <c r="G457" s="101"/>
      <c r="H457" s="101"/>
      <c r="I457" s="101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 spans="1:28" ht="15" x14ac:dyDescent="0.2">
      <c r="A458" s="100"/>
      <c r="B458" s="101"/>
      <c r="C458" s="101"/>
      <c r="D458" s="101"/>
      <c r="E458" s="101"/>
      <c r="F458" s="101"/>
      <c r="G458" s="101"/>
      <c r="H458" s="101"/>
      <c r="I458" s="101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 spans="1:28" ht="15" x14ac:dyDescent="0.2">
      <c r="A459" s="100"/>
      <c r="B459" s="101"/>
      <c r="C459" s="101"/>
      <c r="D459" s="101"/>
      <c r="E459" s="101"/>
      <c r="F459" s="101"/>
      <c r="G459" s="101"/>
      <c r="H459" s="101"/>
      <c r="I459" s="101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 spans="1:28" ht="15" x14ac:dyDescent="0.2">
      <c r="A460" s="100"/>
      <c r="B460" s="101"/>
      <c r="C460" s="101"/>
      <c r="D460" s="101"/>
      <c r="E460" s="101"/>
      <c r="F460" s="101"/>
      <c r="G460" s="101"/>
      <c r="H460" s="101"/>
      <c r="I460" s="101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 spans="1:28" ht="15" x14ac:dyDescent="0.2">
      <c r="A461" s="100"/>
      <c r="B461" s="101"/>
      <c r="C461" s="101"/>
      <c r="D461" s="101"/>
      <c r="E461" s="101"/>
      <c r="F461" s="101"/>
      <c r="G461" s="101"/>
      <c r="H461" s="101"/>
      <c r="I461" s="101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 spans="1:28" ht="15" x14ac:dyDescent="0.2">
      <c r="A462" s="100"/>
      <c r="B462" s="101"/>
      <c r="C462" s="101"/>
      <c r="D462" s="101"/>
      <c r="E462" s="101"/>
      <c r="F462" s="101"/>
      <c r="G462" s="101"/>
      <c r="H462" s="101"/>
      <c r="I462" s="101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 spans="1:28" ht="15" x14ac:dyDescent="0.2">
      <c r="A463" s="100"/>
      <c r="B463" s="101"/>
      <c r="C463" s="101"/>
      <c r="D463" s="101"/>
      <c r="E463" s="101"/>
      <c r="F463" s="101"/>
      <c r="G463" s="101"/>
      <c r="H463" s="101"/>
      <c r="I463" s="101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 spans="1:28" ht="15" x14ac:dyDescent="0.2">
      <c r="A464" s="100"/>
      <c r="B464" s="101"/>
      <c r="C464" s="101"/>
      <c r="D464" s="101"/>
      <c r="E464" s="101"/>
      <c r="F464" s="101"/>
      <c r="G464" s="101"/>
      <c r="H464" s="101"/>
      <c r="I464" s="101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 spans="1:28" ht="15" x14ac:dyDescent="0.2">
      <c r="A465" s="100"/>
      <c r="B465" s="101"/>
      <c r="C465" s="101"/>
      <c r="D465" s="101"/>
      <c r="E465" s="101"/>
      <c r="F465" s="101"/>
      <c r="G465" s="101"/>
      <c r="H465" s="101"/>
      <c r="I465" s="101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 spans="1:28" ht="15" x14ac:dyDescent="0.2">
      <c r="A466" s="100"/>
      <c r="B466" s="101"/>
      <c r="C466" s="101"/>
      <c r="D466" s="101"/>
      <c r="E466" s="101"/>
      <c r="F466" s="101"/>
      <c r="G466" s="101"/>
      <c r="H466" s="101"/>
      <c r="I466" s="101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 spans="1:28" ht="15" x14ac:dyDescent="0.2">
      <c r="A467" s="100"/>
      <c r="B467" s="101"/>
      <c r="C467" s="101"/>
      <c r="D467" s="101"/>
      <c r="E467" s="101"/>
      <c r="F467" s="101"/>
      <c r="G467" s="101"/>
      <c r="H467" s="101"/>
      <c r="I467" s="101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 spans="1:28" ht="15" x14ac:dyDescent="0.2">
      <c r="A468" s="100"/>
      <c r="B468" s="101"/>
      <c r="C468" s="101"/>
      <c r="D468" s="101"/>
      <c r="E468" s="101"/>
      <c r="F468" s="101"/>
      <c r="G468" s="101"/>
      <c r="H468" s="101"/>
      <c r="I468" s="101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 spans="1:28" ht="15" x14ac:dyDescent="0.2">
      <c r="A469" s="100"/>
      <c r="B469" s="101"/>
      <c r="C469" s="101"/>
      <c r="D469" s="101"/>
      <c r="E469" s="101"/>
      <c r="F469" s="101"/>
      <c r="G469" s="101"/>
      <c r="H469" s="101"/>
      <c r="I469" s="101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 spans="1:28" ht="15" x14ac:dyDescent="0.2">
      <c r="A470" s="100"/>
      <c r="B470" s="101"/>
      <c r="C470" s="101"/>
      <c r="D470" s="101"/>
      <c r="E470" s="101"/>
      <c r="F470" s="101"/>
      <c r="G470" s="101"/>
      <c r="H470" s="101"/>
      <c r="I470" s="101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 spans="1:28" ht="15" x14ac:dyDescent="0.2">
      <c r="A471" s="100"/>
      <c r="B471" s="101"/>
      <c r="C471" s="101"/>
      <c r="D471" s="101"/>
      <c r="E471" s="101"/>
      <c r="F471" s="101"/>
      <c r="G471" s="101"/>
      <c r="H471" s="101"/>
      <c r="I471" s="101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 spans="1:28" ht="15" x14ac:dyDescent="0.2">
      <c r="A472" s="100"/>
      <c r="B472" s="101"/>
      <c r="C472" s="101"/>
      <c r="D472" s="101"/>
      <c r="E472" s="101"/>
      <c r="F472" s="101"/>
      <c r="G472" s="101"/>
      <c r="H472" s="101"/>
      <c r="I472" s="101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 spans="1:28" ht="15" x14ac:dyDescent="0.2">
      <c r="A473" s="100"/>
      <c r="B473" s="101"/>
      <c r="C473" s="101"/>
      <c r="D473" s="101"/>
      <c r="E473" s="101"/>
      <c r="F473" s="101"/>
      <c r="G473" s="101"/>
      <c r="H473" s="101"/>
      <c r="I473" s="101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 spans="1:28" ht="15" x14ac:dyDescent="0.2">
      <c r="A474" s="100"/>
      <c r="B474" s="101"/>
      <c r="C474" s="101"/>
      <c r="D474" s="101"/>
      <c r="E474" s="101"/>
      <c r="F474" s="101"/>
      <c r="G474" s="101"/>
      <c r="H474" s="101"/>
      <c r="I474" s="101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 spans="1:28" ht="15" x14ac:dyDescent="0.2">
      <c r="A475" s="100"/>
      <c r="B475" s="101"/>
      <c r="C475" s="101"/>
      <c r="D475" s="101"/>
      <c r="E475" s="101"/>
      <c r="F475" s="101"/>
      <c r="G475" s="101"/>
      <c r="H475" s="101"/>
      <c r="I475" s="101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 spans="1:28" ht="15" x14ac:dyDescent="0.2">
      <c r="A476" s="100"/>
      <c r="B476" s="101"/>
      <c r="C476" s="101"/>
      <c r="D476" s="101"/>
      <c r="E476" s="101"/>
      <c r="F476" s="101"/>
      <c r="G476" s="101"/>
      <c r="H476" s="101"/>
      <c r="I476" s="101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 spans="1:28" ht="15" x14ac:dyDescent="0.2">
      <c r="A477" s="100"/>
      <c r="B477" s="101"/>
      <c r="C477" s="101"/>
      <c r="D477" s="101"/>
      <c r="E477" s="101"/>
      <c r="F477" s="101"/>
      <c r="G477" s="101"/>
      <c r="H477" s="101"/>
      <c r="I477" s="101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 spans="1:28" ht="15" x14ac:dyDescent="0.2">
      <c r="A478" s="100"/>
      <c r="B478" s="101"/>
      <c r="C478" s="101"/>
      <c r="D478" s="101"/>
      <c r="E478" s="101"/>
      <c r="F478" s="101"/>
      <c r="G478" s="101"/>
      <c r="H478" s="101"/>
      <c r="I478" s="101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 spans="1:28" ht="15" x14ac:dyDescent="0.2">
      <c r="A479" s="100"/>
      <c r="B479" s="101"/>
      <c r="C479" s="101"/>
      <c r="D479" s="101"/>
      <c r="E479" s="101"/>
      <c r="F479" s="101"/>
      <c r="G479" s="101"/>
      <c r="H479" s="101"/>
      <c r="I479" s="101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 spans="1:28" ht="15" x14ac:dyDescent="0.2">
      <c r="A480" s="100"/>
      <c r="B480" s="101"/>
      <c r="C480" s="101"/>
      <c r="D480" s="101"/>
      <c r="E480" s="101"/>
      <c r="F480" s="101"/>
      <c r="G480" s="101"/>
      <c r="H480" s="101"/>
      <c r="I480" s="101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 spans="1:28" ht="15" x14ac:dyDescent="0.2">
      <c r="A481" s="100"/>
      <c r="B481" s="101"/>
      <c r="C481" s="101"/>
      <c r="D481" s="101"/>
      <c r="E481" s="101"/>
      <c r="F481" s="101"/>
      <c r="G481" s="101"/>
      <c r="H481" s="101"/>
      <c r="I481" s="101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 spans="1:28" ht="15" x14ac:dyDescent="0.2">
      <c r="A482" s="100"/>
      <c r="B482" s="101"/>
      <c r="C482" s="101"/>
      <c r="D482" s="101"/>
      <c r="E482" s="101"/>
      <c r="F482" s="101"/>
      <c r="G482" s="101"/>
      <c r="H482" s="101"/>
      <c r="I482" s="101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 spans="1:28" ht="15" x14ac:dyDescent="0.2">
      <c r="A483" s="100"/>
      <c r="B483" s="101"/>
      <c r="C483" s="101"/>
      <c r="D483" s="101"/>
      <c r="E483" s="101"/>
      <c r="F483" s="101"/>
      <c r="G483" s="101"/>
      <c r="H483" s="101"/>
      <c r="I483" s="101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 spans="1:28" ht="15" x14ac:dyDescent="0.2">
      <c r="A484" s="100"/>
      <c r="B484" s="101"/>
      <c r="C484" s="101"/>
      <c r="D484" s="101"/>
      <c r="E484" s="101"/>
      <c r="F484" s="101"/>
      <c r="G484" s="101"/>
      <c r="H484" s="101"/>
      <c r="I484" s="101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 spans="1:28" ht="15" x14ac:dyDescent="0.2">
      <c r="A485" s="100"/>
      <c r="B485" s="101"/>
      <c r="C485" s="101"/>
      <c r="D485" s="101"/>
      <c r="E485" s="101"/>
      <c r="F485" s="101"/>
      <c r="G485" s="101"/>
      <c r="H485" s="101"/>
      <c r="I485" s="101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 spans="1:28" ht="15" x14ac:dyDescent="0.2">
      <c r="A486" s="100"/>
      <c r="B486" s="101"/>
      <c r="C486" s="101"/>
      <c r="D486" s="101"/>
      <c r="E486" s="101"/>
      <c r="F486" s="101"/>
      <c r="G486" s="101"/>
      <c r="H486" s="101"/>
      <c r="I486" s="101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 spans="1:28" ht="15" x14ac:dyDescent="0.2">
      <c r="A487" s="100"/>
      <c r="B487" s="101"/>
      <c r="C487" s="101"/>
      <c r="D487" s="101"/>
      <c r="E487" s="101"/>
      <c r="F487" s="101"/>
      <c r="G487" s="101"/>
      <c r="H487" s="101"/>
      <c r="I487" s="101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 spans="1:28" ht="15" x14ac:dyDescent="0.2">
      <c r="A488" s="100"/>
      <c r="B488" s="101"/>
      <c r="C488" s="101"/>
      <c r="D488" s="101"/>
      <c r="E488" s="101"/>
      <c r="F488" s="101"/>
      <c r="G488" s="101"/>
      <c r="H488" s="101"/>
      <c r="I488" s="101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 spans="1:28" ht="15" x14ac:dyDescent="0.2">
      <c r="A489" s="100"/>
      <c r="B489" s="101"/>
      <c r="C489" s="101"/>
      <c r="D489" s="101"/>
      <c r="E489" s="101"/>
      <c r="F489" s="101"/>
      <c r="G489" s="101"/>
      <c r="H489" s="101"/>
      <c r="I489" s="101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 spans="1:28" ht="15" x14ac:dyDescent="0.2">
      <c r="A490" s="100"/>
      <c r="B490" s="101"/>
      <c r="C490" s="101"/>
      <c r="D490" s="101"/>
      <c r="E490" s="101"/>
      <c r="F490" s="101"/>
      <c r="G490" s="101"/>
      <c r="H490" s="101"/>
      <c r="I490" s="101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 spans="1:28" ht="15" x14ac:dyDescent="0.2">
      <c r="A491" s="100"/>
      <c r="B491" s="101"/>
      <c r="C491" s="101"/>
      <c r="D491" s="101"/>
      <c r="E491" s="101"/>
      <c r="F491" s="101"/>
      <c r="G491" s="101"/>
      <c r="H491" s="101"/>
      <c r="I491" s="101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 spans="1:28" ht="15" x14ac:dyDescent="0.2">
      <c r="A492" s="100"/>
      <c r="B492" s="101"/>
      <c r="C492" s="101"/>
      <c r="D492" s="101"/>
      <c r="E492" s="101"/>
      <c r="F492" s="101"/>
      <c r="G492" s="101"/>
      <c r="H492" s="101"/>
      <c r="I492" s="101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 spans="1:28" ht="15" x14ac:dyDescent="0.2">
      <c r="A493" s="100"/>
      <c r="B493" s="101"/>
      <c r="C493" s="101"/>
      <c r="D493" s="101"/>
      <c r="E493" s="101"/>
      <c r="F493" s="101"/>
      <c r="G493" s="101"/>
      <c r="H493" s="101"/>
      <c r="I493" s="101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 spans="1:28" ht="15" x14ac:dyDescent="0.2">
      <c r="A494" s="100"/>
      <c r="B494" s="101"/>
      <c r="C494" s="101"/>
      <c r="D494" s="101"/>
      <c r="E494" s="101"/>
      <c r="F494" s="101"/>
      <c r="G494" s="101"/>
      <c r="H494" s="101"/>
      <c r="I494" s="101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 spans="1:28" ht="15" x14ac:dyDescent="0.2">
      <c r="A495" s="100"/>
      <c r="B495" s="101"/>
      <c r="C495" s="101"/>
      <c r="D495" s="101"/>
      <c r="E495" s="101"/>
      <c r="F495" s="101"/>
      <c r="G495" s="101"/>
      <c r="H495" s="101"/>
      <c r="I495" s="101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 spans="1:28" ht="15" x14ac:dyDescent="0.2">
      <c r="A496" s="100"/>
      <c r="B496" s="101"/>
      <c r="C496" s="101"/>
      <c r="D496" s="101"/>
      <c r="E496" s="101"/>
      <c r="F496" s="101"/>
      <c r="G496" s="101"/>
      <c r="H496" s="101"/>
      <c r="I496" s="101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 spans="1:28" ht="15" x14ac:dyDescent="0.2">
      <c r="A497" s="100"/>
      <c r="B497" s="101"/>
      <c r="C497" s="101"/>
      <c r="D497" s="101"/>
      <c r="E497" s="101"/>
      <c r="F497" s="101"/>
      <c r="G497" s="101"/>
      <c r="H497" s="101"/>
      <c r="I497" s="101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 spans="1:28" ht="15" x14ac:dyDescent="0.2">
      <c r="A498" s="100"/>
      <c r="B498" s="101"/>
      <c r="C498" s="101"/>
      <c r="D498" s="101"/>
      <c r="E498" s="101"/>
      <c r="F498" s="101"/>
      <c r="G498" s="101"/>
      <c r="H498" s="101"/>
      <c r="I498" s="101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 spans="1:28" ht="15" x14ac:dyDescent="0.2">
      <c r="A499" s="100"/>
      <c r="B499" s="101"/>
      <c r="C499" s="101"/>
      <c r="D499" s="101"/>
      <c r="E499" s="101"/>
      <c r="F499" s="101"/>
      <c r="G499" s="101"/>
      <c r="H499" s="101"/>
      <c r="I499" s="101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 spans="1:28" ht="15" x14ac:dyDescent="0.2">
      <c r="A500" s="100"/>
      <c r="B500" s="101"/>
      <c r="C500" s="101"/>
      <c r="D500" s="101"/>
      <c r="E500" s="101"/>
      <c r="F500" s="101"/>
      <c r="G500" s="101"/>
      <c r="H500" s="101"/>
      <c r="I500" s="101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 spans="1:28" ht="15" x14ac:dyDescent="0.2">
      <c r="A501" s="100"/>
      <c r="B501" s="101"/>
      <c r="C501" s="101"/>
      <c r="D501" s="101"/>
      <c r="E501" s="101"/>
      <c r="F501" s="101"/>
      <c r="G501" s="101"/>
      <c r="H501" s="101"/>
      <c r="I501" s="101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 spans="1:28" ht="15" x14ac:dyDescent="0.2">
      <c r="A502" s="100"/>
      <c r="B502" s="101"/>
      <c r="C502" s="101"/>
      <c r="D502" s="101"/>
      <c r="E502" s="101"/>
      <c r="F502" s="101"/>
      <c r="G502" s="101"/>
      <c r="H502" s="101"/>
      <c r="I502" s="101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 spans="1:28" ht="15" x14ac:dyDescent="0.2">
      <c r="A503" s="100"/>
      <c r="B503" s="101"/>
      <c r="C503" s="101"/>
      <c r="D503" s="101"/>
      <c r="E503" s="101"/>
      <c r="F503" s="101"/>
      <c r="G503" s="101"/>
      <c r="H503" s="101"/>
      <c r="I503" s="101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 spans="1:28" ht="15" x14ac:dyDescent="0.2">
      <c r="A504" s="100"/>
      <c r="B504" s="101"/>
      <c r="C504" s="101"/>
      <c r="D504" s="101"/>
      <c r="E504" s="101"/>
      <c r="F504" s="101"/>
      <c r="G504" s="101"/>
      <c r="H504" s="101"/>
      <c r="I504" s="101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 spans="1:28" ht="15" x14ac:dyDescent="0.2">
      <c r="A505" s="100"/>
      <c r="B505" s="101"/>
      <c r="C505" s="101"/>
      <c r="D505" s="101"/>
      <c r="E505" s="101"/>
      <c r="F505" s="101"/>
      <c r="G505" s="101"/>
      <c r="H505" s="101"/>
      <c r="I505" s="101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 spans="1:28" ht="15" x14ac:dyDescent="0.2">
      <c r="A506" s="100"/>
      <c r="B506" s="101"/>
      <c r="C506" s="101"/>
      <c r="D506" s="101"/>
      <c r="E506" s="101"/>
      <c r="F506" s="101"/>
      <c r="G506" s="101"/>
      <c r="H506" s="101"/>
      <c r="I506" s="101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 spans="1:28" ht="15" x14ac:dyDescent="0.2">
      <c r="A507" s="100"/>
      <c r="B507" s="101"/>
      <c r="C507" s="101"/>
      <c r="D507" s="101"/>
      <c r="E507" s="101"/>
      <c r="F507" s="101"/>
      <c r="G507" s="101"/>
      <c r="H507" s="101"/>
      <c r="I507" s="101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 spans="1:28" ht="15" x14ac:dyDescent="0.2">
      <c r="A508" s="100"/>
      <c r="B508" s="101"/>
      <c r="C508" s="101"/>
      <c r="D508" s="101"/>
      <c r="E508" s="101"/>
      <c r="F508" s="101"/>
      <c r="G508" s="101"/>
      <c r="H508" s="101"/>
      <c r="I508" s="101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 spans="1:28" ht="15" x14ac:dyDescent="0.2">
      <c r="A509" s="100"/>
      <c r="B509" s="101"/>
      <c r="C509" s="101"/>
      <c r="D509" s="101"/>
      <c r="E509" s="101"/>
      <c r="F509" s="101"/>
      <c r="G509" s="101"/>
      <c r="H509" s="101"/>
      <c r="I509" s="101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 spans="1:28" ht="15" x14ac:dyDescent="0.2">
      <c r="A510" s="100"/>
      <c r="B510" s="101"/>
      <c r="C510" s="101"/>
      <c r="D510" s="101"/>
      <c r="E510" s="101"/>
      <c r="F510" s="101"/>
      <c r="G510" s="101"/>
      <c r="H510" s="101"/>
      <c r="I510" s="101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 spans="1:28" ht="15" x14ac:dyDescent="0.2">
      <c r="A511" s="100"/>
      <c r="B511" s="101"/>
      <c r="C511" s="101"/>
      <c r="D511" s="101"/>
      <c r="E511" s="101"/>
      <c r="F511" s="101"/>
      <c r="G511" s="101"/>
      <c r="H511" s="101"/>
      <c r="I511" s="101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 spans="1:28" ht="15" x14ac:dyDescent="0.2">
      <c r="A512" s="100"/>
      <c r="B512" s="101"/>
      <c r="C512" s="101"/>
      <c r="D512" s="101"/>
      <c r="E512" s="101"/>
      <c r="F512" s="101"/>
      <c r="G512" s="101"/>
      <c r="H512" s="101"/>
      <c r="I512" s="101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 spans="1:28" ht="15" x14ac:dyDescent="0.2">
      <c r="A513" s="100"/>
      <c r="B513" s="101"/>
      <c r="C513" s="101"/>
      <c r="D513" s="101"/>
      <c r="E513" s="101"/>
      <c r="F513" s="101"/>
      <c r="G513" s="101"/>
      <c r="H513" s="101"/>
      <c r="I513" s="101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 spans="1:28" ht="15" x14ac:dyDescent="0.2">
      <c r="A514" s="100"/>
      <c r="B514" s="101"/>
      <c r="C514" s="101"/>
      <c r="D514" s="101"/>
      <c r="E514" s="101"/>
      <c r="F514" s="101"/>
      <c r="G514" s="101"/>
      <c r="H514" s="101"/>
      <c r="I514" s="101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 spans="1:28" ht="15" x14ac:dyDescent="0.2">
      <c r="A515" s="100"/>
      <c r="B515" s="101"/>
      <c r="C515" s="101"/>
      <c r="D515" s="101"/>
      <c r="E515" s="101"/>
      <c r="F515" s="101"/>
      <c r="G515" s="101"/>
      <c r="H515" s="101"/>
      <c r="I515" s="101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 spans="1:28" ht="15" x14ac:dyDescent="0.2">
      <c r="A516" s="100"/>
      <c r="B516" s="101"/>
      <c r="C516" s="101"/>
      <c r="D516" s="101"/>
      <c r="E516" s="101"/>
      <c r="F516" s="101"/>
      <c r="G516" s="101"/>
      <c r="H516" s="101"/>
      <c r="I516" s="101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 spans="1:28" ht="15" x14ac:dyDescent="0.2">
      <c r="A517" s="100"/>
      <c r="B517" s="101"/>
      <c r="C517" s="101"/>
      <c r="D517" s="101"/>
      <c r="E517" s="101"/>
      <c r="F517" s="101"/>
      <c r="G517" s="101"/>
      <c r="H517" s="101"/>
      <c r="I517" s="101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 spans="1:28" ht="15" x14ac:dyDescent="0.2">
      <c r="A518" s="100"/>
      <c r="B518" s="101"/>
      <c r="C518" s="101"/>
      <c r="D518" s="101"/>
      <c r="E518" s="101"/>
      <c r="F518" s="101"/>
      <c r="G518" s="101"/>
      <c r="H518" s="101"/>
      <c r="I518" s="101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 spans="1:28" ht="15" x14ac:dyDescent="0.2">
      <c r="A519" s="100"/>
      <c r="B519" s="101"/>
      <c r="C519" s="101"/>
      <c r="D519" s="101"/>
      <c r="E519" s="101"/>
      <c r="F519" s="101"/>
      <c r="G519" s="101"/>
      <c r="H519" s="101"/>
      <c r="I519" s="101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 spans="1:28" ht="15" x14ac:dyDescent="0.2">
      <c r="A520" s="100"/>
      <c r="B520" s="101"/>
      <c r="C520" s="101"/>
      <c r="D520" s="101"/>
      <c r="E520" s="101"/>
      <c r="F520" s="101"/>
      <c r="G520" s="101"/>
      <c r="H520" s="101"/>
      <c r="I520" s="101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 spans="1:28" ht="15" x14ac:dyDescent="0.2">
      <c r="A521" s="100"/>
      <c r="B521" s="101"/>
      <c r="C521" s="101"/>
      <c r="D521" s="101"/>
      <c r="E521" s="101"/>
      <c r="F521" s="101"/>
      <c r="G521" s="101"/>
      <c r="H521" s="101"/>
      <c r="I521" s="101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 spans="1:28" ht="15" x14ac:dyDescent="0.2">
      <c r="A522" s="100"/>
      <c r="B522" s="101"/>
      <c r="C522" s="101"/>
      <c r="D522" s="101"/>
      <c r="E522" s="101"/>
      <c r="F522" s="101"/>
      <c r="G522" s="101"/>
      <c r="H522" s="101"/>
      <c r="I522" s="101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 spans="1:28" ht="15" x14ac:dyDescent="0.2">
      <c r="A523" s="100"/>
      <c r="B523" s="101"/>
      <c r="C523" s="101"/>
      <c r="D523" s="101"/>
      <c r="E523" s="101"/>
      <c r="F523" s="101"/>
      <c r="G523" s="101"/>
      <c r="H523" s="101"/>
      <c r="I523" s="101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 spans="1:28" ht="15" x14ac:dyDescent="0.2">
      <c r="A524" s="100"/>
      <c r="B524" s="101"/>
      <c r="C524" s="101"/>
      <c r="D524" s="101"/>
      <c r="E524" s="101"/>
      <c r="F524" s="101"/>
      <c r="G524" s="101"/>
      <c r="H524" s="101"/>
      <c r="I524" s="101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 spans="1:28" ht="15" x14ac:dyDescent="0.2">
      <c r="A525" s="100"/>
      <c r="B525" s="101"/>
      <c r="C525" s="101"/>
      <c r="D525" s="101"/>
      <c r="E525" s="101"/>
      <c r="F525" s="101"/>
      <c r="G525" s="101"/>
      <c r="H525" s="101"/>
      <c r="I525" s="101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 spans="1:28" ht="15" x14ac:dyDescent="0.2">
      <c r="A526" s="100"/>
      <c r="B526" s="101"/>
      <c r="C526" s="101"/>
      <c r="D526" s="101"/>
      <c r="E526" s="101"/>
      <c r="F526" s="101"/>
      <c r="G526" s="101"/>
      <c r="H526" s="101"/>
      <c r="I526" s="101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 spans="1:28" ht="15" x14ac:dyDescent="0.2">
      <c r="A527" s="100"/>
      <c r="B527" s="101"/>
      <c r="C527" s="101"/>
      <c r="D527" s="101"/>
      <c r="E527" s="101"/>
      <c r="F527" s="101"/>
      <c r="G527" s="101"/>
      <c r="H527" s="101"/>
      <c r="I527" s="101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 spans="1:28" ht="15" x14ac:dyDescent="0.2">
      <c r="A528" s="100"/>
      <c r="B528" s="101"/>
      <c r="C528" s="101"/>
      <c r="D528" s="101"/>
      <c r="E528" s="101"/>
      <c r="F528" s="101"/>
      <c r="G528" s="101"/>
      <c r="H528" s="101"/>
      <c r="I528" s="101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 spans="1:28" ht="15" x14ac:dyDescent="0.2">
      <c r="A529" s="100"/>
      <c r="B529" s="101"/>
      <c r="C529" s="101"/>
      <c r="D529" s="101"/>
      <c r="E529" s="101"/>
      <c r="F529" s="101"/>
      <c r="G529" s="101"/>
      <c r="H529" s="101"/>
      <c r="I529" s="101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 spans="1:28" ht="15" x14ac:dyDescent="0.2">
      <c r="A530" s="100"/>
      <c r="B530" s="101"/>
      <c r="C530" s="101"/>
      <c r="D530" s="101"/>
      <c r="E530" s="101"/>
      <c r="F530" s="101"/>
      <c r="G530" s="101"/>
      <c r="H530" s="101"/>
      <c r="I530" s="101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 spans="1:28" ht="15" x14ac:dyDescent="0.2">
      <c r="A531" s="100"/>
      <c r="B531" s="101"/>
      <c r="C531" s="101"/>
      <c r="D531" s="101"/>
      <c r="E531" s="101"/>
      <c r="F531" s="101"/>
      <c r="G531" s="101"/>
      <c r="H531" s="101"/>
      <c r="I531" s="101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 spans="1:28" ht="15" x14ac:dyDescent="0.2">
      <c r="A532" s="100"/>
      <c r="B532" s="101"/>
      <c r="C532" s="101"/>
      <c r="D532" s="101"/>
      <c r="E532" s="101"/>
      <c r="F532" s="101"/>
      <c r="G532" s="101"/>
      <c r="H532" s="101"/>
      <c r="I532" s="101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 spans="1:28" ht="15" x14ac:dyDescent="0.2">
      <c r="A533" s="100"/>
      <c r="B533" s="101"/>
      <c r="C533" s="101"/>
      <c r="D533" s="101"/>
      <c r="E533" s="101"/>
      <c r="F533" s="101"/>
      <c r="G533" s="101"/>
      <c r="H533" s="101"/>
      <c r="I533" s="101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 spans="1:28" ht="15" x14ac:dyDescent="0.2">
      <c r="A534" s="100"/>
      <c r="B534" s="101"/>
      <c r="C534" s="101"/>
      <c r="D534" s="101"/>
      <c r="E534" s="101"/>
      <c r="F534" s="101"/>
      <c r="G534" s="101"/>
      <c r="H534" s="101"/>
      <c r="I534" s="101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 spans="1:28" ht="15" x14ac:dyDescent="0.2">
      <c r="A535" s="100"/>
      <c r="B535" s="101"/>
      <c r="C535" s="101"/>
      <c r="D535" s="101"/>
      <c r="E535" s="101"/>
      <c r="F535" s="101"/>
      <c r="G535" s="101"/>
      <c r="H535" s="101"/>
      <c r="I535" s="101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 spans="1:28" ht="15" x14ac:dyDescent="0.2">
      <c r="A536" s="100"/>
      <c r="B536" s="101"/>
      <c r="C536" s="101"/>
      <c r="D536" s="101"/>
      <c r="E536" s="101"/>
      <c r="F536" s="101"/>
      <c r="G536" s="101"/>
      <c r="H536" s="101"/>
      <c r="I536" s="101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 spans="1:28" ht="15" x14ac:dyDescent="0.2">
      <c r="A537" s="100"/>
      <c r="B537" s="101"/>
      <c r="C537" s="101"/>
      <c r="D537" s="101"/>
      <c r="E537" s="101"/>
      <c r="F537" s="101"/>
      <c r="G537" s="101"/>
      <c r="H537" s="101"/>
      <c r="I537" s="101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 spans="1:28" ht="15" x14ac:dyDescent="0.2">
      <c r="A538" s="100"/>
      <c r="B538" s="101"/>
      <c r="C538" s="101"/>
      <c r="D538" s="101"/>
      <c r="E538" s="101"/>
      <c r="F538" s="101"/>
      <c r="G538" s="101"/>
      <c r="H538" s="101"/>
      <c r="I538" s="101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 spans="1:28" ht="15" x14ac:dyDescent="0.2">
      <c r="A539" s="100"/>
      <c r="B539" s="101"/>
      <c r="C539" s="101"/>
      <c r="D539" s="101"/>
      <c r="E539" s="101"/>
      <c r="F539" s="101"/>
      <c r="G539" s="101"/>
      <c r="H539" s="101"/>
      <c r="I539" s="101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 spans="1:28" ht="15" x14ac:dyDescent="0.2">
      <c r="A540" s="100"/>
      <c r="B540" s="101"/>
      <c r="C540" s="101"/>
      <c r="D540" s="101"/>
      <c r="E540" s="101"/>
      <c r="F540" s="101"/>
      <c r="G540" s="101"/>
      <c r="H540" s="101"/>
      <c r="I540" s="101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 spans="1:28" ht="15" x14ac:dyDescent="0.2">
      <c r="A541" s="100"/>
      <c r="B541" s="101"/>
      <c r="C541" s="101"/>
      <c r="D541" s="101"/>
      <c r="E541" s="101"/>
      <c r="F541" s="101"/>
      <c r="G541" s="101"/>
      <c r="H541" s="101"/>
      <c r="I541" s="101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 spans="1:28" ht="15" x14ac:dyDescent="0.2">
      <c r="A542" s="100"/>
      <c r="B542" s="101"/>
      <c r="C542" s="101"/>
      <c r="D542" s="101"/>
      <c r="E542" s="101"/>
      <c r="F542" s="101"/>
      <c r="G542" s="101"/>
      <c r="H542" s="101"/>
      <c r="I542" s="101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 spans="1:28" ht="15" x14ac:dyDescent="0.2">
      <c r="A543" s="100"/>
      <c r="B543" s="101"/>
      <c r="C543" s="101"/>
      <c r="D543" s="101"/>
      <c r="E543" s="101"/>
      <c r="F543" s="101"/>
      <c r="G543" s="101"/>
      <c r="H543" s="101"/>
      <c r="I543" s="101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 spans="1:28" ht="15" x14ac:dyDescent="0.2">
      <c r="A544" s="100"/>
      <c r="B544" s="101"/>
      <c r="C544" s="101"/>
      <c r="D544" s="101"/>
      <c r="E544" s="101"/>
      <c r="F544" s="101"/>
      <c r="G544" s="101"/>
      <c r="H544" s="101"/>
      <c r="I544" s="101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 spans="1:28" ht="15" x14ac:dyDescent="0.2">
      <c r="A545" s="100"/>
      <c r="B545" s="101"/>
      <c r="C545" s="101"/>
      <c r="D545" s="101"/>
      <c r="E545" s="101"/>
      <c r="F545" s="101"/>
      <c r="G545" s="101"/>
      <c r="H545" s="101"/>
      <c r="I545" s="101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 spans="1:28" ht="15" x14ac:dyDescent="0.2">
      <c r="A546" s="100"/>
      <c r="B546" s="101"/>
      <c r="C546" s="101"/>
      <c r="D546" s="101"/>
      <c r="E546" s="101"/>
      <c r="F546" s="101"/>
      <c r="G546" s="101"/>
      <c r="H546" s="101"/>
      <c r="I546" s="101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 spans="1:28" ht="15" x14ac:dyDescent="0.2">
      <c r="A547" s="100"/>
      <c r="B547" s="101"/>
      <c r="C547" s="101"/>
      <c r="D547" s="101"/>
      <c r="E547" s="101"/>
      <c r="F547" s="101"/>
      <c r="G547" s="101"/>
      <c r="H547" s="101"/>
      <c r="I547" s="101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 spans="1:28" ht="15" x14ac:dyDescent="0.2">
      <c r="A548" s="100"/>
      <c r="B548" s="101"/>
      <c r="C548" s="101"/>
      <c r="D548" s="101"/>
      <c r="E548" s="101"/>
      <c r="F548" s="101"/>
      <c r="G548" s="101"/>
      <c r="H548" s="101"/>
      <c r="I548" s="101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 spans="1:28" ht="15" x14ac:dyDescent="0.2">
      <c r="A549" s="100"/>
      <c r="B549" s="101"/>
      <c r="C549" s="101"/>
      <c r="D549" s="101"/>
      <c r="E549" s="101"/>
      <c r="F549" s="101"/>
      <c r="G549" s="101"/>
      <c r="H549" s="101"/>
      <c r="I549" s="101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 spans="1:28" ht="15" x14ac:dyDescent="0.2">
      <c r="A550" s="100"/>
      <c r="B550" s="101"/>
      <c r="C550" s="101"/>
      <c r="D550" s="101"/>
      <c r="E550" s="101"/>
      <c r="F550" s="101"/>
      <c r="G550" s="101"/>
      <c r="H550" s="101"/>
      <c r="I550" s="101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 spans="1:28" ht="15" x14ac:dyDescent="0.2">
      <c r="A551" s="100"/>
      <c r="B551" s="101"/>
      <c r="C551" s="101"/>
      <c r="D551" s="101"/>
      <c r="E551" s="101"/>
      <c r="F551" s="101"/>
      <c r="G551" s="101"/>
      <c r="H551" s="101"/>
      <c r="I551" s="101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 spans="1:28" ht="15" x14ac:dyDescent="0.2">
      <c r="A552" s="100"/>
      <c r="B552" s="101"/>
      <c r="C552" s="101"/>
      <c r="D552" s="101"/>
      <c r="E552" s="101"/>
      <c r="F552" s="101"/>
      <c r="G552" s="101"/>
      <c r="H552" s="101"/>
      <c r="I552" s="101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 spans="1:28" ht="15" x14ac:dyDescent="0.2">
      <c r="A553" s="100"/>
      <c r="B553" s="101"/>
      <c r="C553" s="101"/>
      <c r="D553" s="101"/>
      <c r="E553" s="101"/>
      <c r="F553" s="101"/>
      <c r="G553" s="101"/>
      <c r="H553" s="101"/>
      <c r="I553" s="101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 spans="1:28" ht="15" x14ac:dyDescent="0.2">
      <c r="A554" s="100"/>
      <c r="B554" s="101"/>
      <c r="C554" s="101"/>
      <c r="D554" s="101"/>
      <c r="E554" s="101"/>
      <c r="F554" s="101"/>
      <c r="G554" s="101"/>
      <c r="H554" s="101"/>
      <c r="I554" s="101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 spans="1:28" ht="15" x14ac:dyDescent="0.2">
      <c r="A555" s="100"/>
      <c r="B555" s="101"/>
      <c r="C555" s="101"/>
      <c r="D555" s="101"/>
      <c r="E555" s="101"/>
      <c r="F555" s="101"/>
      <c r="G555" s="101"/>
      <c r="H555" s="101"/>
      <c r="I555" s="101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 spans="1:28" ht="15" x14ac:dyDescent="0.2">
      <c r="A556" s="100"/>
      <c r="B556" s="101"/>
      <c r="C556" s="101"/>
      <c r="D556" s="101"/>
      <c r="E556" s="101"/>
      <c r="F556" s="101"/>
      <c r="G556" s="101"/>
      <c r="H556" s="101"/>
      <c r="I556" s="101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 spans="1:28" ht="15" x14ac:dyDescent="0.2">
      <c r="A557" s="100"/>
      <c r="B557" s="101"/>
      <c r="C557" s="101"/>
      <c r="D557" s="101"/>
      <c r="E557" s="101"/>
      <c r="F557" s="101"/>
      <c r="G557" s="101"/>
      <c r="H557" s="101"/>
      <c r="I557" s="101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 spans="1:28" ht="15" x14ac:dyDescent="0.2">
      <c r="A558" s="100"/>
      <c r="B558" s="101"/>
      <c r="C558" s="101"/>
      <c r="D558" s="101"/>
      <c r="E558" s="101"/>
      <c r="F558" s="101"/>
      <c r="G558" s="101"/>
      <c r="H558" s="101"/>
      <c r="I558" s="101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 spans="1:28" ht="15" x14ac:dyDescent="0.2">
      <c r="A559" s="100"/>
      <c r="B559" s="101"/>
      <c r="C559" s="101"/>
      <c r="D559" s="101"/>
      <c r="E559" s="101"/>
      <c r="F559" s="101"/>
      <c r="G559" s="101"/>
      <c r="H559" s="101"/>
      <c r="I559" s="101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 spans="1:28" ht="15" x14ac:dyDescent="0.2">
      <c r="A560" s="100"/>
      <c r="B560" s="101"/>
      <c r="C560" s="101"/>
      <c r="D560" s="101"/>
      <c r="E560" s="101"/>
      <c r="F560" s="101"/>
      <c r="G560" s="101"/>
      <c r="H560" s="101"/>
      <c r="I560" s="101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 spans="1:28" ht="15" x14ac:dyDescent="0.2">
      <c r="A561" s="100"/>
      <c r="B561" s="101"/>
      <c r="C561" s="101"/>
      <c r="D561" s="101"/>
      <c r="E561" s="101"/>
      <c r="F561" s="101"/>
      <c r="G561" s="101"/>
      <c r="H561" s="101"/>
      <c r="I561" s="101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 spans="1:28" ht="15" x14ac:dyDescent="0.2">
      <c r="A562" s="100"/>
      <c r="B562" s="101"/>
      <c r="C562" s="101"/>
      <c r="D562" s="101"/>
      <c r="E562" s="101"/>
      <c r="F562" s="101"/>
      <c r="G562" s="101"/>
      <c r="H562" s="101"/>
      <c r="I562" s="101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 spans="1:28" ht="15" x14ac:dyDescent="0.2">
      <c r="A563" s="100"/>
      <c r="B563" s="101"/>
      <c r="C563" s="101"/>
      <c r="D563" s="101"/>
      <c r="E563" s="101"/>
      <c r="F563" s="101"/>
      <c r="G563" s="101"/>
      <c r="H563" s="101"/>
      <c r="I563" s="101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 spans="1:28" ht="15" x14ac:dyDescent="0.2">
      <c r="A564" s="100"/>
      <c r="B564" s="101"/>
      <c r="C564" s="101"/>
      <c r="D564" s="101"/>
      <c r="E564" s="101"/>
      <c r="F564" s="101"/>
      <c r="G564" s="101"/>
      <c r="H564" s="101"/>
      <c r="I564" s="101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 spans="1:28" ht="15" x14ac:dyDescent="0.2">
      <c r="A565" s="100"/>
      <c r="B565" s="101"/>
      <c r="C565" s="101"/>
      <c r="D565" s="101"/>
      <c r="E565" s="101"/>
      <c r="F565" s="101"/>
      <c r="G565" s="101"/>
      <c r="H565" s="101"/>
      <c r="I565" s="101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 spans="1:28" ht="15" x14ac:dyDescent="0.2">
      <c r="A566" s="100"/>
      <c r="B566" s="101"/>
      <c r="C566" s="101"/>
      <c r="D566" s="101"/>
      <c r="E566" s="101"/>
      <c r="F566" s="101"/>
      <c r="G566" s="101"/>
      <c r="H566" s="101"/>
      <c r="I566" s="101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 spans="1:28" ht="15" x14ac:dyDescent="0.2">
      <c r="A567" s="100"/>
      <c r="B567" s="101"/>
      <c r="C567" s="101"/>
      <c r="D567" s="101"/>
      <c r="E567" s="101"/>
      <c r="F567" s="101"/>
      <c r="G567" s="101"/>
      <c r="H567" s="101"/>
      <c r="I567" s="101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 spans="1:28" ht="15" x14ac:dyDescent="0.2">
      <c r="A568" s="100"/>
      <c r="B568" s="101"/>
      <c r="C568" s="101"/>
      <c r="D568" s="101"/>
      <c r="E568" s="101"/>
      <c r="F568" s="101"/>
      <c r="G568" s="101"/>
      <c r="H568" s="101"/>
      <c r="I568" s="101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 spans="1:28" ht="15" x14ac:dyDescent="0.2">
      <c r="A569" s="100"/>
      <c r="B569" s="101"/>
      <c r="C569" s="101"/>
      <c r="D569" s="101"/>
      <c r="E569" s="101"/>
      <c r="F569" s="101"/>
      <c r="G569" s="101"/>
      <c r="H569" s="101"/>
      <c r="I569" s="101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 spans="1:28" ht="15" x14ac:dyDescent="0.2">
      <c r="A570" s="100"/>
      <c r="B570" s="101"/>
      <c r="C570" s="101"/>
      <c r="D570" s="101"/>
      <c r="E570" s="101"/>
      <c r="F570" s="101"/>
      <c r="G570" s="101"/>
      <c r="H570" s="101"/>
      <c r="I570" s="101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 spans="1:28" ht="15" x14ac:dyDescent="0.2">
      <c r="A571" s="100"/>
      <c r="B571" s="101"/>
      <c r="C571" s="101"/>
      <c r="D571" s="101"/>
      <c r="E571" s="101"/>
      <c r="F571" s="101"/>
      <c r="G571" s="101"/>
      <c r="H571" s="101"/>
      <c r="I571" s="101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 spans="1:28" ht="15" x14ac:dyDescent="0.2">
      <c r="A572" s="100"/>
      <c r="B572" s="101"/>
      <c r="C572" s="101"/>
      <c r="D572" s="101"/>
      <c r="E572" s="101"/>
      <c r="F572" s="101"/>
      <c r="G572" s="101"/>
      <c r="H572" s="101"/>
      <c r="I572" s="101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 spans="1:28" ht="15" x14ac:dyDescent="0.2">
      <c r="A573" s="100"/>
      <c r="B573" s="101"/>
      <c r="C573" s="101"/>
      <c r="D573" s="101"/>
      <c r="E573" s="101"/>
      <c r="F573" s="101"/>
      <c r="G573" s="101"/>
      <c r="H573" s="101"/>
      <c r="I573" s="101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 spans="1:28" ht="15" x14ac:dyDescent="0.2">
      <c r="A574" s="100"/>
      <c r="B574" s="101"/>
      <c r="C574" s="101"/>
      <c r="D574" s="101"/>
      <c r="E574" s="101"/>
      <c r="F574" s="101"/>
      <c r="G574" s="101"/>
      <c r="H574" s="101"/>
      <c r="I574" s="101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 spans="1:28" ht="15" x14ac:dyDescent="0.2">
      <c r="A575" s="100"/>
      <c r="B575" s="101"/>
      <c r="C575" s="101"/>
      <c r="D575" s="101"/>
      <c r="E575" s="101"/>
      <c r="F575" s="101"/>
      <c r="G575" s="101"/>
      <c r="H575" s="101"/>
      <c r="I575" s="101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 spans="1:28" ht="15" x14ac:dyDescent="0.2">
      <c r="A576" s="100"/>
      <c r="B576" s="101"/>
      <c r="C576" s="101"/>
      <c r="D576" s="101"/>
      <c r="E576" s="101"/>
      <c r="F576" s="101"/>
      <c r="G576" s="101"/>
      <c r="H576" s="101"/>
      <c r="I576" s="101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 spans="1:28" ht="15" x14ac:dyDescent="0.2">
      <c r="A577" s="100"/>
      <c r="B577" s="101"/>
      <c r="C577" s="101"/>
      <c r="D577" s="101"/>
      <c r="E577" s="101"/>
      <c r="F577" s="101"/>
      <c r="G577" s="101"/>
      <c r="H577" s="101"/>
      <c r="I577" s="101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 spans="1:28" ht="15" x14ac:dyDescent="0.2">
      <c r="A578" s="100"/>
      <c r="B578" s="101"/>
      <c r="C578" s="101"/>
      <c r="D578" s="101"/>
      <c r="E578" s="101"/>
      <c r="F578" s="101"/>
      <c r="G578" s="101"/>
      <c r="H578" s="101"/>
      <c r="I578" s="101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 spans="1:28" ht="15" x14ac:dyDescent="0.2">
      <c r="A579" s="100"/>
      <c r="B579" s="101"/>
      <c r="C579" s="101"/>
      <c r="D579" s="101"/>
      <c r="E579" s="101"/>
      <c r="F579" s="101"/>
      <c r="G579" s="101"/>
      <c r="H579" s="101"/>
      <c r="I579" s="101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 spans="1:28" ht="15" x14ac:dyDescent="0.2">
      <c r="A580" s="100"/>
      <c r="B580" s="101"/>
      <c r="C580" s="101"/>
      <c r="D580" s="101"/>
      <c r="E580" s="101"/>
      <c r="F580" s="101"/>
      <c r="G580" s="101"/>
      <c r="H580" s="101"/>
      <c r="I580" s="101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 spans="1:28" ht="15" x14ac:dyDescent="0.2">
      <c r="A581" s="100"/>
      <c r="B581" s="101"/>
      <c r="C581" s="101"/>
      <c r="D581" s="101"/>
      <c r="E581" s="101"/>
      <c r="F581" s="101"/>
      <c r="G581" s="101"/>
      <c r="H581" s="101"/>
      <c r="I581" s="101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 spans="1:28" ht="15" x14ac:dyDescent="0.2">
      <c r="A582" s="100"/>
      <c r="B582" s="101"/>
      <c r="C582" s="101"/>
      <c r="D582" s="101"/>
      <c r="E582" s="101"/>
      <c r="F582" s="101"/>
      <c r="G582" s="101"/>
      <c r="H582" s="101"/>
      <c r="I582" s="101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 spans="1:28" ht="15" x14ac:dyDescent="0.2">
      <c r="A583" s="100"/>
      <c r="B583" s="101"/>
      <c r="C583" s="101"/>
      <c r="D583" s="101"/>
      <c r="E583" s="101"/>
      <c r="F583" s="101"/>
      <c r="G583" s="101"/>
      <c r="H583" s="101"/>
      <c r="I583" s="101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 spans="1:28" ht="15" x14ac:dyDescent="0.2">
      <c r="A584" s="100"/>
      <c r="B584" s="101"/>
      <c r="C584" s="101"/>
      <c r="D584" s="101"/>
      <c r="E584" s="101"/>
      <c r="F584" s="101"/>
      <c r="G584" s="101"/>
      <c r="H584" s="101"/>
      <c r="I584" s="101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 spans="1:28" ht="15" x14ac:dyDescent="0.2">
      <c r="A585" s="100"/>
      <c r="B585" s="101"/>
      <c r="C585" s="101"/>
      <c r="D585" s="101"/>
      <c r="E585" s="101"/>
      <c r="F585" s="101"/>
      <c r="G585" s="101"/>
      <c r="H585" s="101"/>
      <c r="I585" s="101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 spans="1:28" ht="15" x14ac:dyDescent="0.2">
      <c r="A586" s="100"/>
      <c r="B586" s="101"/>
      <c r="C586" s="101"/>
      <c r="D586" s="101"/>
      <c r="E586" s="101"/>
      <c r="F586" s="101"/>
      <c r="G586" s="101"/>
      <c r="H586" s="101"/>
      <c r="I586" s="101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 spans="1:28" ht="15" x14ac:dyDescent="0.2">
      <c r="A587" s="100"/>
      <c r="B587" s="101"/>
      <c r="C587" s="101"/>
      <c r="D587" s="101"/>
      <c r="E587" s="101"/>
      <c r="F587" s="101"/>
      <c r="G587" s="101"/>
      <c r="H587" s="101"/>
      <c r="I587" s="101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 spans="1:28" ht="15" x14ac:dyDescent="0.2">
      <c r="A588" s="100"/>
      <c r="B588" s="101"/>
      <c r="C588" s="101"/>
      <c r="D588" s="101"/>
      <c r="E588" s="101"/>
      <c r="F588" s="101"/>
      <c r="G588" s="101"/>
      <c r="H588" s="101"/>
      <c r="I588" s="101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 spans="1:28" ht="15" x14ac:dyDescent="0.2">
      <c r="A589" s="100"/>
      <c r="B589" s="101"/>
      <c r="C589" s="101"/>
      <c r="D589" s="101"/>
      <c r="E589" s="101"/>
      <c r="F589" s="101"/>
      <c r="G589" s="101"/>
      <c r="H589" s="101"/>
      <c r="I589" s="101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 spans="1:28" ht="15" x14ac:dyDescent="0.2">
      <c r="A590" s="100"/>
      <c r="B590" s="101"/>
      <c r="C590" s="101"/>
      <c r="D590" s="101"/>
      <c r="E590" s="101"/>
      <c r="F590" s="101"/>
      <c r="G590" s="101"/>
      <c r="H590" s="101"/>
      <c r="I590" s="101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 spans="1:28" ht="15" x14ac:dyDescent="0.2">
      <c r="A591" s="100"/>
      <c r="B591" s="101"/>
      <c r="C591" s="101"/>
      <c r="D591" s="101"/>
      <c r="E591" s="101"/>
      <c r="F591" s="101"/>
      <c r="G591" s="101"/>
      <c r="H591" s="101"/>
      <c r="I591" s="101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 spans="1:28" ht="15" x14ac:dyDescent="0.2">
      <c r="A592" s="100"/>
      <c r="B592" s="101"/>
      <c r="C592" s="101"/>
      <c r="D592" s="101"/>
      <c r="E592" s="101"/>
      <c r="F592" s="101"/>
      <c r="G592" s="101"/>
      <c r="H592" s="101"/>
      <c r="I592" s="101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 spans="1:28" ht="15" x14ac:dyDescent="0.2">
      <c r="A593" s="100"/>
      <c r="B593" s="101"/>
      <c r="C593" s="101"/>
      <c r="D593" s="101"/>
      <c r="E593" s="101"/>
      <c r="F593" s="101"/>
      <c r="G593" s="101"/>
      <c r="H593" s="101"/>
      <c r="I593" s="101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 spans="1:28" ht="15" x14ac:dyDescent="0.2">
      <c r="A594" s="100"/>
      <c r="B594" s="101"/>
      <c r="C594" s="101"/>
      <c r="D594" s="101"/>
      <c r="E594" s="101"/>
      <c r="F594" s="101"/>
      <c r="G594" s="101"/>
      <c r="H594" s="101"/>
      <c r="I594" s="101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 spans="1:28" ht="15" x14ac:dyDescent="0.2">
      <c r="A595" s="100"/>
      <c r="B595" s="101"/>
      <c r="C595" s="101"/>
      <c r="D595" s="101"/>
      <c r="E595" s="101"/>
      <c r="F595" s="101"/>
      <c r="G595" s="101"/>
      <c r="H595" s="101"/>
      <c r="I595" s="101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 spans="1:28" ht="15" x14ac:dyDescent="0.2">
      <c r="A596" s="100"/>
      <c r="B596" s="101"/>
      <c r="C596" s="101"/>
      <c r="D596" s="101"/>
      <c r="E596" s="101"/>
      <c r="F596" s="101"/>
      <c r="G596" s="101"/>
      <c r="H596" s="101"/>
      <c r="I596" s="101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 spans="1:28" ht="15" x14ac:dyDescent="0.2">
      <c r="A597" s="100"/>
      <c r="B597" s="101"/>
      <c r="C597" s="101"/>
      <c r="D597" s="101"/>
      <c r="E597" s="101"/>
      <c r="F597" s="101"/>
      <c r="G597" s="101"/>
      <c r="H597" s="101"/>
      <c r="I597" s="101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 spans="1:28" ht="15" x14ac:dyDescent="0.2">
      <c r="A598" s="100"/>
      <c r="B598" s="101"/>
      <c r="C598" s="101"/>
      <c r="D598" s="101"/>
      <c r="E598" s="101"/>
      <c r="F598" s="101"/>
      <c r="G598" s="101"/>
      <c r="H598" s="101"/>
      <c r="I598" s="101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 spans="1:28" ht="15" x14ac:dyDescent="0.2">
      <c r="A599" s="100"/>
      <c r="B599" s="101"/>
      <c r="C599" s="101"/>
      <c r="D599" s="101"/>
      <c r="E599" s="101"/>
      <c r="F599" s="101"/>
      <c r="G599" s="101"/>
      <c r="H599" s="101"/>
      <c r="I599" s="101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 spans="1:28" ht="15" x14ac:dyDescent="0.2">
      <c r="A600" s="100"/>
      <c r="B600" s="101"/>
      <c r="C600" s="101"/>
      <c r="D600" s="101"/>
      <c r="E600" s="101"/>
      <c r="F600" s="101"/>
      <c r="G600" s="101"/>
      <c r="H600" s="101"/>
      <c r="I600" s="101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 spans="1:28" ht="15" x14ac:dyDescent="0.2">
      <c r="A601" s="100"/>
      <c r="B601" s="101"/>
      <c r="C601" s="101"/>
      <c r="D601" s="101"/>
      <c r="E601" s="101"/>
      <c r="F601" s="101"/>
      <c r="G601" s="101"/>
      <c r="H601" s="101"/>
      <c r="I601" s="101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 spans="1:28" ht="15" x14ac:dyDescent="0.2">
      <c r="A602" s="100"/>
      <c r="B602" s="101"/>
      <c r="C602" s="101"/>
      <c r="D602" s="101"/>
      <c r="E602" s="101"/>
      <c r="F602" s="101"/>
      <c r="G602" s="101"/>
      <c r="H602" s="101"/>
      <c r="I602" s="101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 spans="1:28" ht="15" x14ac:dyDescent="0.2">
      <c r="A603" s="100"/>
      <c r="B603" s="101"/>
      <c r="C603" s="101"/>
      <c r="D603" s="101"/>
      <c r="E603" s="101"/>
      <c r="F603" s="101"/>
      <c r="G603" s="101"/>
      <c r="H603" s="101"/>
      <c r="I603" s="101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 spans="1:28" ht="15" x14ac:dyDescent="0.2">
      <c r="A604" s="100"/>
      <c r="B604" s="101"/>
      <c r="C604" s="101"/>
      <c r="D604" s="101"/>
      <c r="E604" s="101"/>
      <c r="F604" s="101"/>
      <c r="G604" s="101"/>
      <c r="H604" s="101"/>
      <c r="I604" s="101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 spans="1:28" ht="15" x14ac:dyDescent="0.2">
      <c r="A605" s="100"/>
      <c r="B605" s="101"/>
      <c r="C605" s="101"/>
      <c r="D605" s="101"/>
      <c r="E605" s="101"/>
      <c r="F605" s="101"/>
      <c r="G605" s="101"/>
      <c r="H605" s="101"/>
      <c r="I605" s="101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 spans="1:28" ht="15" x14ac:dyDescent="0.2">
      <c r="A606" s="100"/>
      <c r="B606" s="101"/>
      <c r="C606" s="101"/>
      <c r="D606" s="101"/>
      <c r="E606" s="101"/>
      <c r="F606" s="101"/>
      <c r="G606" s="101"/>
      <c r="H606" s="101"/>
      <c r="I606" s="101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 spans="1:28" ht="15" x14ac:dyDescent="0.2">
      <c r="A607" s="100"/>
      <c r="B607" s="101"/>
      <c r="C607" s="101"/>
      <c r="D607" s="101"/>
      <c r="E607" s="101"/>
      <c r="F607" s="101"/>
      <c r="G607" s="101"/>
      <c r="H607" s="101"/>
      <c r="I607" s="101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 spans="1:28" ht="15" x14ac:dyDescent="0.2">
      <c r="A608" s="100"/>
      <c r="B608" s="101"/>
      <c r="C608" s="101"/>
      <c r="D608" s="101"/>
      <c r="E608" s="101"/>
      <c r="F608" s="101"/>
      <c r="G608" s="101"/>
      <c r="H608" s="101"/>
      <c r="I608" s="101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 spans="1:28" ht="15" x14ac:dyDescent="0.2">
      <c r="A609" s="100"/>
      <c r="B609" s="101"/>
      <c r="C609" s="101"/>
      <c r="D609" s="101"/>
      <c r="E609" s="101"/>
      <c r="F609" s="101"/>
      <c r="G609" s="101"/>
      <c r="H609" s="101"/>
      <c r="I609" s="101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 spans="1:28" ht="15" x14ac:dyDescent="0.2">
      <c r="A610" s="100"/>
      <c r="B610" s="101"/>
      <c r="C610" s="101"/>
      <c r="D610" s="101"/>
      <c r="E610" s="101"/>
      <c r="F610" s="101"/>
      <c r="G610" s="101"/>
      <c r="H610" s="101"/>
      <c r="I610" s="101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 spans="1:28" ht="15" x14ac:dyDescent="0.2">
      <c r="A611" s="100"/>
      <c r="B611" s="101"/>
      <c r="C611" s="101"/>
      <c r="D611" s="101"/>
      <c r="E611" s="101"/>
      <c r="F611" s="101"/>
      <c r="G611" s="101"/>
      <c r="H611" s="101"/>
      <c r="I611" s="101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 spans="1:28" ht="15" x14ac:dyDescent="0.2">
      <c r="A612" s="100"/>
      <c r="B612" s="101"/>
      <c r="C612" s="101"/>
      <c r="D612" s="101"/>
      <c r="E612" s="101"/>
      <c r="F612" s="101"/>
      <c r="G612" s="101"/>
      <c r="H612" s="101"/>
      <c r="I612" s="101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 spans="1:28" ht="15" x14ac:dyDescent="0.2">
      <c r="A613" s="100"/>
      <c r="B613" s="101"/>
      <c r="C613" s="101"/>
      <c r="D613" s="101"/>
      <c r="E613" s="101"/>
      <c r="F613" s="101"/>
      <c r="G613" s="101"/>
      <c r="H613" s="101"/>
      <c r="I613" s="101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 spans="1:28" ht="15" x14ac:dyDescent="0.2">
      <c r="A614" s="100"/>
      <c r="B614" s="101"/>
      <c r="C614" s="101"/>
      <c r="D614" s="101"/>
      <c r="E614" s="101"/>
      <c r="F614" s="101"/>
      <c r="G614" s="101"/>
      <c r="H614" s="101"/>
      <c r="I614" s="101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 spans="1:28" ht="15" x14ac:dyDescent="0.2">
      <c r="A615" s="100"/>
      <c r="B615" s="101"/>
      <c r="C615" s="101"/>
      <c r="D615" s="101"/>
      <c r="E615" s="101"/>
      <c r="F615" s="101"/>
      <c r="G615" s="101"/>
      <c r="H615" s="101"/>
      <c r="I615" s="101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 spans="1:28" ht="15" x14ac:dyDescent="0.2">
      <c r="A616" s="100"/>
      <c r="B616" s="101"/>
      <c r="C616" s="101"/>
      <c r="D616" s="101"/>
      <c r="E616" s="101"/>
      <c r="F616" s="101"/>
      <c r="G616" s="101"/>
      <c r="H616" s="101"/>
      <c r="I616" s="101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 spans="1:28" ht="15" x14ac:dyDescent="0.2">
      <c r="A617" s="100"/>
      <c r="B617" s="101"/>
      <c r="C617" s="101"/>
      <c r="D617" s="101"/>
      <c r="E617" s="101"/>
      <c r="F617" s="101"/>
      <c r="G617" s="101"/>
      <c r="H617" s="101"/>
      <c r="I617" s="101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 spans="1:28" ht="15" x14ac:dyDescent="0.2">
      <c r="A618" s="100"/>
      <c r="B618" s="101"/>
      <c r="C618" s="101"/>
      <c r="D618" s="101"/>
      <c r="E618" s="101"/>
      <c r="F618" s="101"/>
      <c r="G618" s="101"/>
      <c r="H618" s="101"/>
      <c r="I618" s="101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 spans="1:28" ht="15" x14ac:dyDescent="0.2">
      <c r="A619" s="100"/>
      <c r="B619" s="101"/>
      <c r="C619" s="101"/>
      <c r="D619" s="101"/>
      <c r="E619" s="101"/>
      <c r="F619" s="101"/>
      <c r="G619" s="101"/>
      <c r="H619" s="101"/>
      <c r="I619" s="101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 spans="1:28" ht="15" x14ac:dyDescent="0.2">
      <c r="A620" s="100"/>
      <c r="B620" s="101"/>
      <c r="C620" s="101"/>
      <c r="D620" s="101"/>
      <c r="E620" s="101"/>
      <c r="F620" s="101"/>
      <c r="G620" s="101"/>
      <c r="H620" s="101"/>
      <c r="I620" s="101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 spans="1:28" ht="15" x14ac:dyDescent="0.2">
      <c r="A621" s="100"/>
      <c r="B621" s="101"/>
      <c r="C621" s="101"/>
      <c r="D621" s="101"/>
      <c r="E621" s="101"/>
      <c r="F621" s="101"/>
      <c r="G621" s="101"/>
      <c r="H621" s="101"/>
      <c r="I621" s="101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 spans="1:28" ht="15" x14ac:dyDescent="0.2">
      <c r="A622" s="100"/>
      <c r="B622" s="101"/>
      <c r="C622" s="101"/>
      <c r="D622" s="101"/>
      <c r="E622" s="101"/>
      <c r="F622" s="101"/>
      <c r="G622" s="101"/>
      <c r="H622" s="101"/>
      <c r="I622" s="101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 spans="1:28" ht="15" x14ac:dyDescent="0.2">
      <c r="A623" s="100"/>
      <c r="B623" s="101"/>
      <c r="C623" s="101"/>
      <c r="D623" s="101"/>
      <c r="E623" s="101"/>
      <c r="F623" s="101"/>
      <c r="G623" s="101"/>
      <c r="H623" s="101"/>
      <c r="I623" s="101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 spans="1:28" ht="15" x14ac:dyDescent="0.2">
      <c r="A624" s="100"/>
      <c r="B624" s="101"/>
      <c r="C624" s="101"/>
      <c r="D624" s="101"/>
      <c r="E624" s="101"/>
      <c r="F624" s="101"/>
      <c r="G624" s="101"/>
      <c r="H624" s="101"/>
      <c r="I624" s="101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 spans="1:28" ht="15" x14ac:dyDescent="0.2">
      <c r="A625" s="100"/>
      <c r="B625" s="101"/>
      <c r="C625" s="101"/>
      <c r="D625" s="101"/>
      <c r="E625" s="101"/>
      <c r="F625" s="101"/>
      <c r="G625" s="101"/>
      <c r="H625" s="101"/>
      <c r="I625" s="101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 spans="1:28" ht="15" x14ac:dyDescent="0.2">
      <c r="A626" s="100"/>
      <c r="B626" s="101"/>
      <c r="C626" s="101"/>
      <c r="D626" s="101"/>
      <c r="E626" s="101"/>
      <c r="F626" s="101"/>
      <c r="G626" s="101"/>
      <c r="H626" s="101"/>
      <c r="I626" s="101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 spans="1:28" ht="15" x14ac:dyDescent="0.2">
      <c r="A627" s="100"/>
      <c r="B627" s="101"/>
      <c r="C627" s="101"/>
      <c r="D627" s="101"/>
      <c r="E627" s="101"/>
      <c r="F627" s="101"/>
      <c r="G627" s="101"/>
      <c r="H627" s="101"/>
      <c r="I627" s="101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 spans="1:28" ht="15" x14ac:dyDescent="0.2">
      <c r="A628" s="100"/>
      <c r="B628" s="101"/>
      <c r="C628" s="101"/>
      <c r="D628" s="101"/>
      <c r="E628" s="101"/>
      <c r="F628" s="101"/>
      <c r="G628" s="101"/>
      <c r="H628" s="101"/>
      <c r="I628" s="101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 spans="1:28" ht="15" x14ac:dyDescent="0.2">
      <c r="A629" s="100"/>
      <c r="B629" s="101"/>
      <c r="C629" s="101"/>
      <c r="D629" s="101"/>
      <c r="E629" s="101"/>
      <c r="F629" s="101"/>
      <c r="G629" s="101"/>
      <c r="H629" s="101"/>
      <c r="I629" s="101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 spans="1:28" ht="15" x14ac:dyDescent="0.2">
      <c r="A630" s="100"/>
      <c r="B630" s="101"/>
      <c r="C630" s="101"/>
      <c r="D630" s="101"/>
      <c r="E630" s="101"/>
      <c r="F630" s="101"/>
      <c r="G630" s="101"/>
      <c r="H630" s="101"/>
      <c r="I630" s="101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 spans="1:28" ht="15" x14ac:dyDescent="0.2">
      <c r="A631" s="100"/>
      <c r="B631" s="101"/>
      <c r="C631" s="101"/>
      <c r="D631" s="101"/>
      <c r="E631" s="101"/>
      <c r="F631" s="101"/>
      <c r="G631" s="101"/>
      <c r="H631" s="101"/>
      <c r="I631" s="101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 spans="1:28" ht="15" x14ac:dyDescent="0.2">
      <c r="A632" s="100"/>
      <c r="B632" s="101"/>
      <c r="C632" s="101"/>
      <c r="D632" s="101"/>
      <c r="E632" s="101"/>
      <c r="F632" s="101"/>
      <c r="G632" s="101"/>
      <c r="H632" s="101"/>
      <c r="I632" s="101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 spans="1:28" ht="15" x14ac:dyDescent="0.2">
      <c r="A633" s="100"/>
      <c r="B633" s="101"/>
      <c r="C633" s="101"/>
      <c r="D633" s="101"/>
      <c r="E633" s="101"/>
      <c r="F633" s="101"/>
      <c r="G633" s="101"/>
      <c r="H633" s="101"/>
      <c r="I633" s="101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 spans="1:28" ht="15" x14ac:dyDescent="0.2">
      <c r="A634" s="100"/>
      <c r="B634" s="101"/>
      <c r="C634" s="101"/>
      <c r="D634" s="101"/>
      <c r="E634" s="101"/>
      <c r="F634" s="101"/>
      <c r="G634" s="101"/>
      <c r="H634" s="101"/>
      <c r="I634" s="101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 spans="1:28" ht="15" x14ac:dyDescent="0.2">
      <c r="A635" s="100"/>
      <c r="B635" s="101"/>
      <c r="C635" s="101"/>
      <c r="D635" s="101"/>
      <c r="E635" s="101"/>
      <c r="F635" s="101"/>
      <c r="G635" s="101"/>
      <c r="H635" s="101"/>
      <c r="I635" s="101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 spans="1:28" ht="15" x14ac:dyDescent="0.2">
      <c r="A636" s="100"/>
      <c r="B636" s="101"/>
      <c r="C636" s="101"/>
      <c r="D636" s="101"/>
      <c r="E636" s="101"/>
      <c r="F636" s="101"/>
      <c r="G636" s="101"/>
      <c r="H636" s="101"/>
      <c r="I636" s="101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 spans="1:28" ht="15" x14ac:dyDescent="0.2">
      <c r="A637" s="100"/>
      <c r="B637" s="101"/>
      <c r="C637" s="101"/>
      <c r="D637" s="101"/>
      <c r="E637" s="101"/>
      <c r="F637" s="101"/>
      <c r="G637" s="101"/>
      <c r="H637" s="101"/>
      <c r="I637" s="101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 spans="1:28" ht="15" x14ac:dyDescent="0.2">
      <c r="A638" s="100"/>
      <c r="B638" s="101"/>
      <c r="C638" s="101"/>
      <c r="D638" s="101"/>
      <c r="E638" s="101"/>
      <c r="F638" s="101"/>
      <c r="G638" s="101"/>
      <c r="H638" s="101"/>
      <c r="I638" s="101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 spans="1:28" ht="15" x14ac:dyDescent="0.2">
      <c r="A639" s="100"/>
      <c r="B639" s="101"/>
      <c r="C639" s="101"/>
      <c r="D639" s="101"/>
      <c r="E639" s="101"/>
      <c r="F639" s="101"/>
      <c r="G639" s="101"/>
      <c r="H639" s="101"/>
      <c r="I639" s="101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 spans="1:28" ht="15" x14ac:dyDescent="0.2">
      <c r="A640" s="100"/>
      <c r="B640" s="101"/>
      <c r="C640" s="101"/>
      <c r="D640" s="101"/>
      <c r="E640" s="101"/>
      <c r="F640" s="101"/>
      <c r="G640" s="101"/>
      <c r="H640" s="101"/>
      <c r="I640" s="101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 spans="1:28" ht="15" x14ac:dyDescent="0.2">
      <c r="A641" s="100"/>
      <c r="B641" s="101"/>
      <c r="C641" s="101"/>
      <c r="D641" s="101"/>
      <c r="E641" s="101"/>
      <c r="F641" s="101"/>
      <c r="G641" s="101"/>
      <c r="H641" s="101"/>
      <c r="I641" s="101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 spans="1:28" ht="15" x14ac:dyDescent="0.2">
      <c r="A642" s="100"/>
      <c r="B642" s="101"/>
      <c r="C642" s="101"/>
      <c r="D642" s="101"/>
      <c r="E642" s="101"/>
      <c r="F642" s="101"/>
      <c r="G642" s="101"/>
      <c r="H642" s="101"/>
      <c r="I642" s="101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 spans="1:28" ht="15" x14ac:dyDescent="0.2">
      <c r="A643" s="100"/>
      <c r="B643" s="101"/>
      <c r="C643" s="101"/>
      <c r="D643" s="101"/>
      <c r="E643" s="101"/>
      <c r="F643" s="101"/>
      <c r="G643" s="101"/>
      <c r="H643" s="101"/>
      <c r="I643" s="101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 spans="1:28" ht="15" x14ac:dyDescent="0.2">
      <c r="A644" s="100"/>
      <c r="B644" s="101"/>
      <c r="C644" s="101"/>
      <c r="D644" s="101"/>
      <c r="E644" s="101"/>
      <c r="F644" s="101"/>
      <c r="G644" s="101"/>
      <c r="H644" s="101"/>
      <c r="I644" s="101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 spans="1:28" ht="15" x14ac:dyDescent="0.2">
      <c r="A645" s="100"/>
      <c r="B645" s="101"/>
      <c r="C645" s="101"/>
      <c r="D645" s="101"/>
      <c r="E645" s="101"/>
      <c r="F645" s="101"/>
      <c r="G645" s="101"/>
      <c r="H645" s="101"/>
      <c r="I645" s="101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 spans="1:28" ht="15" x14ac:dyDescent="0.2">
      <c r="A646" s="100"/>
      <c r="B646" s="101"/>
      <c r="C646" s="101"/>
      <c r="D646" s="101"/>
      <c r="E646" s="101"/>
      <c r="F646" s="101"/>
      <c r="G646" s="101"/>
      <c r="H646" s="101"/>
      <c r="I646" s="101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 spans="1:28" ht="15" x14ac:dyDescent="0.2">
      <c r="A647" s="100"/>
      <c r="B647" s="101"/>
      <c r="C647" s="101"/>
      <c r="D647" s="101"/>
      <c r="E647" s="101"/>
      <c r="F647" s="101"/>
      <c r="G647" s="101"/>
      <c r="H647" s="101"/>
      <c r="I647" s="101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 spans="1:28" ht="15" x14ac:dyDescent="0.2">
      <c r="A648" s="100"/>
      <c r="B648" s="101"/>
      <c r="C648" s="101"/>
      <c r="D648" s="101"/>
      <c r="E648" s="101"/>
      <c r="F648" s="101"/>
      <c r="G648" s="101"/>
      <c r="H648" s="101"/>
      <c r="I648" s="101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 spans="1:28" ht="15" x14ac:dyDescent="0.2">
      <c r="A649" s="100"/>
      <c r="B649" s="101"/>
      <c r="C649" s="101"/>
      <c r="D649" s="101"/>
      <c r="E649" s="101"/>
      <c r="F649" s="101"/>
      <c r="G649" s="101"/>
      <c r="H649" s="101"/>
      <c r="I649" s="101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 spans="1:28" ht="15" x14ac:dyDescent="0.2">
      <c r="A650" s="100"/>
      <c r="B650" s="101"/>
      <c r="C650" s="101"/>
      <c r="D650" s="101"/>
      <c r="E650" s="101"/>
      <c r="F650" s="101"/>
      <c r="G650" s="101"/>
      <c r="H650" s="101"/>
      <c r="I650" s="101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 spans="1:28" ht="15" x14ac:dyDescent="0.2">
      <c r="A651" s="100"/>
      <c r="B651" s="101"/>
      <c r="C651" s="101"/>
      <c r="D651" s="101"/>
      <c r="E651" s="101"/>
      <c r="F651" s="101"/>
      <c r="G651" s="101"/>
      <c r="H651" s="101"/>
      <c r="I651" s="101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 spans="1:28" ht="15" x14ac:dyDescent="0.2">
      <c r="A652" s="100"/>
      <c r="B652" s="101"/>
      <c r="C652" s="101"/>
      <c r="D652" s="101"/>
      <c r="E652" s="101"/>
      <c r="F652" s="101"/>
      <c r="G652" s="101"/>
      <c r="H652" s="101"/>
      <c r="I652" s="101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 spans="1:28" ht="15" x14ac:dyDescent="0.2">
      <c r="A653" s="100"/>
      <c r="B653" s="101"/>
      <c r="C653" s="101"/>
      <c r="D653" s="101"/>
      <c r="E653" s="101"/>
      <c r="F653" s="101"/>
      <c r="G653" s="101"/>
      <c r="H653" s="101"/>
      <c r="I653" s="101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 spans="1:28" ht="15" x14ac:dyDescent="0.2">
      <c r="A654" s="100"/>
      <c r="B654" s="101"/>
      <c r="C654" s="101"/>
      <c r="D654" s="101"/>
      <c r="E654" s="101"/>
      <c r="F654" s="101"/>
      <c r="G654" s="101"/>
      <c r="H654" s="101"/>
      <c r="I654" s="101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 spans="1:28" ht="15" x14ac:dyDescent="0.2">
      <c r="A655" s="100"/>
      <c r="B655" s="101"/>
      <c r="C655" s="101"/>
      <c r="D655" s="101"/>
      <c r="E655" s="101"/>
      <c r="F655" s="101"/>
      <c r="G655" s="101"/>
      <c r="H655" s="101"/>
      <c r="I655" s="101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 spans="1:28" ht="15" x14ac:dyDescent="0.2">
      <c r="A656" s="100"/>
      <c r="B656" s="101"/>
      <c r="C656" s="101"/>
      <c r="D656" s="101"/>
      <c r="E656" s="101"/>
      <c r="F656" s="101"/>
      <c r="G656" s="101"/>
      <c r="H656" s="101"/>
      <c r="I656" s="101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 spans="1:28" ht="15" x14ac:dyDescent="0.2">
      <c r="A657" s="100"/>
      <c r="B657" s="101"/>
      <c r="C657" s="101"/>
      <c r="D657" s="101"/>
      <c r="E657" s="101"/>
      <c r="F657" s="101"/>
      <c r="G657" s="101"/>
      <c r="H657" s="101"/>
      <c r="I657" s="101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 spans="1:28" ht="15" x14ac:dyDescent="0.2">
      <c r="A658" s="100"/>
      <c r="B658" s="101"/>
      <c r="C658" s="101"/>
      <c r="D658" s="101"/>
      <c r="E658" s="101"/>
      <c r="F658" s="101"/>
      <c r="G658" s="101"/>
      <c r="H658" s="101"/>
      <c r="I658" s="101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 spans="1:28" ht="15" x14ac:dyDescent="0.2">
      <c r="A659" s="100"/>
      <c r="B659" s="101"/>
      <c r="C659" s="101"/>
      <c r="D659" s="101"/>
      <c r="E659" s="101"/>
      <c r="F659" s="101"/>
      <c r="G659" s="101"/>
      <c r="H659" s="101"/>
      <c r="I659" s="101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 spans="1:28" ht="15" x14ac:dyDescent="0.2">
      <c r="A660" s="100"/>
      <c r="B660" s="101"/>
      <c r="C660" s="101"/>
      <c r="D660" s="101"/>
      <c r="E660" s="101"/>
      <c r="F660" s="101"/>
      <c r="G660" s="101"/>
      <c r="H660" s="101"/>
      <c r="I660" s="101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 spans="1:28" ht="15" x14ac:dyDescent="0.2">
      <c r="A661" s="100"/>
      <c r="B661" s="101"/>
      <c r="C661" s="101"/>
      <c r="D661" s="101"/>
      <c r="E661" s="101"/>
      <c r="F661" s="101"/>
      <c r="G661" s="101"/>
      <c r="H661" s="101"/>
      <c r="I661" s="101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 spans="1:28" ht="15" x14ac:dyDescent="0.2">
      <c r="A662" s="100"/>
      <c r="B662" s="101"/>
      <c r="C662" s="101"/>
      <c r="D662" s="101"/>
      <c r="E662" s="101"/>
      <c r="F662" s="101"/>
      <c r="G662" s="101"/>
      <c r="H662" s="101"/>
      <c r="I662" s="101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 spans="1:28" ht="15" x14ac:dyDescent="0.2">
      <c r="A663" s="100"/>
      <c r="B663" s="101"/>
      <c r="C663" s="101"/>
      <c r="D663" s="101"/>
      <c r="E663" s="101"/>
      <c r="F663" s="101"/>
      <c r="G663" s="101"/>
      <c r="H663" s="101"/>
      <c r="I663" s="101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 spans="1:28" ht="15" x14ac:dyDescent="0.2">
      <c r="A664" s="100"/>
      <c r="B664" s="101"/>
      <c r="C664" s="101"/>
      <c r="D664" s="101"/>
      <c r="E664" s="101"/>
      <c r="F664" s="101"/>
      <c r="G664" s="101"/>
      <c r="H664" s="101"/>
      <c r="I664" s="101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 spans="1:28" ht="15" x14ac:dyDescent="0.2">
      <c r="A665" s="100"/>
      <c r="B665" s="101"/>
      <c r="C665" s="101"/>
      <c r="D665" s="101"/>
      <c r="E665" s="101"/>
      <c r="F665" s="101"/>
      <c r="G665" s="101"/>
      <c r="H665" s="101"/>
      <c r="I665" s="101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 spans="1:28" ht="15" x14ac:dyDescent="0.2">
      <c r="A666" s="100"/>
      <c r="B666" s="101"/>
      <c r="C666" s="101"/>
      <c r="D666" s="101"/>
      <c r="E666" s="101"/>
      <c r="F666" s="101"/>
      <c r="G666" s="101"/>
      <c r="H666" s="101"/>
      <c r="I666" s="101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 spans="1:28" ht="15" x14ac:dyDescent="0.2">
      <c r="A667" s="100"/>
      <c r="B667" s="101"/>
      <c r="C667" s="101"/>
      <c r="D667" s="101"/>
      <c r="E667" s="101"/>
      <c r="F667" s="101"/>
      <c r="G667" s="101"/>
      <c r="H667" s="101"/>
      <c r="I667" s="101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 spans="1:28" ht="15" x14ac:dyDescent="0.2">
      <c r="A668" s="100"/>
      <c r="B668" s="101"/>
      <c r="C668" s="101"/>
      <c r="D668" s="101"/>
      <c r="E668" s="101"/>
      <c r="F668" s="101"/>
      <c r="G668" s="101"/>
      <c r="H668" s="101"/>
      <c r="I668" s="101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 spans="1:28" ht="15" x14ac:dyDescent="0.2">
      <c r="A669" s="100"/>
      <c r="B669" s="101"/>
      <c r="C669" s="101"/>
      <c r="D669" s="101"/>
      <c r="E669" s="101"/>
      <c r="F669" s="101"/>
      <c r="G669" s="101"/>
      <c r="H669" s="101"/>
      <c r="I669" s="101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 spans="1:28" ht="15" x14ac:dyDescent="0.2">
      <c r="A670" s="100"/>
      <c r="B670" s="101"/>
      <c r="C670" s="101"/>
      <c r="D670" s="101"/>
      <c r="E670" s="101"/>
      <c r="F670" s="101"/>
      <c r="G670" s="101"/>
      <c r="H670" s="101"/>
      <c r="I670" s="101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 spans="1:28" ht="15" x14ac:dyDescent="0.2">
      <c r="A671" s="100"/>
      <c r="B671" s="101"/>
      <c r="C671" s="101"/>
      <c r="D671" s="101"/>
      <c r="E671" s="101"/>
      <c r="F671" s="101"/>
      <c r="G671" s="101"/>
      <c r="H671" s="101"/>
      <c r="I671" s="101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 spans="1:28" ht="15" x14ac:dyDescent="0.2">
      <c r="A672" s="100"/>
      <c r="B672" s="101"/>
      <c r="C672" s="101"/>
      <c r="D672" s="101"/>
      <c r="E672" s="101"/>
      <c r="F672" s="101"/>
      <c r="G672" s="101"/>
      <c r="H672" s="101"/>
      <c r="I672" s="101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 spans="1:28" ht="15" x14ac:dyDescent="0.2">
      <c r="A673" s="100"/>
      <c r="B673" s="101"/>
      <c r="C673" s="101"/>
      <c r="D673" s="101"/>
      <c r="E673" s="101"/>
      <c r="F673" s="101"/>
      <c r="G673" s="101"/>
      <c r="H673" s="101"/>
      <c r="I673" s="101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 spans="1:28" ht="15" x14ac:dyDescent="0.2">
      <c r="A674" s="100"/>
      <c r="B674" s="101"/>
      <c r="C674" s="101"/>
      <c r="D674" s="101"/>
      <c r="E674" s="101"/>
      <c r="F674" s="101"/>
      <c r="G674" s="101"/>
      <c r="H674" s="101"/>
      <c r="I674" s="101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 spans="1:28" ht="15" x14ac:dyDescent="0.2">
      <c r="A675" s="100"/>
      <c r="B675" s="101"/>
      <c r="C675" s="101"/>
      <c r="D675" s="101"/>
      <c r="E675" s="101"/>
      <c r="F675" s="101"/>
      <c r="G675" s="101"/>
      <c r="H675" s="101"/>
      <c r="I675" s="101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 spans="1:28" ht="15" x14ac:dyDescent="0.2">
      <c r="A676" s="100"/>
      <c r="B676" s="101"/>
      <c r="C676" s="101"/>
      <c r="D676" s="101"/>
      <c r="E676" s="101"/>
      <c r="F676" s="101"/>
      <c r="G676" s="101"/>
      <c r="H676" s="101"/>
      <c r="I676" s="101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 spans="1:28" ht="15" x14ac:dyDescent="0.2">
      <c r="A677" s="100"/>
      <c r="B677" s="101"/>
      <c r="C677" s="101"/>
      <c r="D677" s="101"/>
      <c r="E677" s="101"/>
      <c r="F677" s="101"/>
      <c r="G677" s="101"/>
      <c r="H677" s="101"/>
      <c r="I677" s="101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 spans="1:28" ht="15" x14ac:dyDescent="0.2">
      <c r="A678" s="100"/>
      <c r="B678" s="101"/>
      <c r="C678" s="101"/>
      <c r="D678" s="101"/>
      <c r="E678" s="101"/>
      <c r="F678" s="101"/>
      <c r="G678" s="101"/>
      <c r="H678" s="101"/>
      <c r="I678" s="101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 spans="1:28" ht="15" x14ac:dyDescent="0.2">
      <c r="A679" s="100"/>
      <c r="B679" s="101"/>
      <c r="C679" s="101"/>
      <c r="D679" s="101"/>
      <c r="E679" s="101"/>
      <c r="F679" s="101"/>
      <c r="G679" s="101"/>
      <c r="H679" s="101"/>
      <c r="I679" s="101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 spans="1:28" ht="15" x14ac:dyDescent="0.2">
      <c r="A680" s="100"/>
      <c r="B680" s="101"/>
      <c r="C680" s="101"/>
      <c r="D680" s="101"/>
      <c r="E680" s="101"/>
      <c r="F680" s="101"/>
      <c r="G680" s="101"/>
      <c r="H680" s="101"/>
      <c r="I680" s="101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 spans="1:28" ht="15" x14ac:dyDescent="0.2">
      <c r="A681" s="100"/>
      <c r="B681" s="101"/>
      <c r="C681" s="101"/>
      <c r="D681" s="101"/>
      <c r="E681" s="101"/>
      <c r="F681" s="101"/>
      <c r="G681" s="101"/>
      <c r="H681" s="101"/>
      <c r="I681" s="101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 spans="1:28" ht="15" x14ac:dyDescent="0.2">
      <c r="A682" s="100"/>
      <c r="B682" s="101"/>
      <c r="C682" s="101"/>
      <c r="D682" s="101"/>
      <c r="E682" s="101"/>
      <c r="F682" s="101"/>
      <c r="G682" s="101"/>
      <c r="H682" s="101"/>
      <c r="I682" s="101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 spans="1:28" ht="15" x14ac:dyDescent="0.2">
      <c r="A683" s="100"/>
      <c r="B683" s="101"/>
      <c r="C683" s="101"/>
      <c r="D683" s="101"/>
      <c r="E683" s="101"/>
      <c r="F683" s="101"/>
      <c r="G683" s="101"/>
      <c r="H683" s="101"/>
      <c r="I683" s="101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 spans="1:28" ht="15" x14ac:dyDescent="0.2">
      <c r="A684" s="100"/>
      <c r="B684" s="101"/>
      <c r="C684" s="101"/>
      <c r="D684" s="101"/>
      <c r="E684" s="101"/>
      <c r="F684" s="101"/>
      <c r="G684" s="101"/>
      <c r="H684" s="101"/>
      <c r="I684" s="101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 spans="1:28" ht="15" x14ac:dyDescent="0.2">
      <c r="A685" s="100"/>
      <c r="B685" s="101"/>
      <c r="C685" s="101"/>
      <c r="D685" s="101"/>
      <c r="E685" s="101"/>
      <c r="F685" s="101"/>
      <c r="G685" s="101"/>
      <c r="H685" s="101"/>
      <c r="I685" s="101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 spans="1:28" ht="15" x14ac:dyDescent="0.2">
      <c r="A686" s="100"/>
      <c r="B686" s="101"/>
      <c r="C686" s="101"/>
      <c r="D686" s="101"/>
      <c r="E686" s="101"/>
      <c r="F686" s="101"/>
      <c r="G686" s="101"/>
      <c r="H686" s="101"/>
      <c r="I686" s="101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 spans="1:28" ht="15" x14ac:dyDescent="0.2">
      <c r="A687" s="100"/>
      <c r="B687" s="101"/>
      <c r="C687" s="101"/>
      <c r="D687" s="101"/>
      <c r="E687" s="101"/>
      <c r="F687" s="101"/>
      <c r="G687" s="101"/>
      <c r="H687" s="101"/>
      <c r="I687" s="101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 spans="1:28" ht="15" x14ac:dyDescent="0.2">
      <c r="A688" s="100"/>
      <c r="B688" s="101"/>
      <c r="C688" s="101"/>
      <c r="D688" s="101"/>
      <c r="E688" s="101"/>
      <c r="F688" s="101"/>
      <c r="G688" s="101"/>
      <c r="H688" s="101"/>
      <c r="I688" s="101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 spans="1:28" ht="15" x14ac:dyDescent="0.2">
      <c r="A689" s="100"/>
      <c r="B689" s="101"/>
      <c r="C689" s="101"/>
      <c r="D689" s="101"/>
      <c r="E689" s="101"/>
      <c r="F689" s="101"/>
      <c r="G689" s="101"/>
      <c r="H689" s="101"/>
      <c r="I689" s="101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 spans="1:28" ht="15" x14ac:dyDescent="0.2">
      <c r="A690" s="100"/>
      <c r="B690" s="101"/>
      <c r="C690" s="101"/>
      <c r="D690" s="101"/>
      <c r="E690" s="101"/>
      <c r="F690" s="101"/>
      <c r="G690" s="101"/>
      <c r="H690" s="101"/>
      <c r="I690" s="101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 spans="1:28" ht="15" x14ac:dyDescent="0.2">
      <c r="A691" s="100"/>
      <c r="B691" s="101"/>
      <c r="C691" s="101"/>
      <c r="D691" s="101"/>
      <c r="E691" s="101"/>
      <c r="F691" s="101"/>
      <c r="G691" s="101"/>
      <c r="H691" s="101"/>
      <c r="I691" s="101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 spans="1:28" ht="15" x14ac:dyDescent="0.2">
      <c r="A692" s="100"/>
      <c r="B692" s="101"/>
      <c r="C692" s="101"/>
      <c r="D692" s="101"/>
      <c r="E692" s="101"/>
      <c r="F692" s="101"/>
      <c r="G692" s="101"/>
      <c r="H692" s="101"/>
      <c r="I692" s="101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 spans="1:28" ht="15" x14ac:dyDescent="0.2">
      <c r="A693" s="100"/>
      <c r="B693" s="101"/>
      <c r="C693" s="101"/>
      <c r="D693" s="101"/>
      <c r="E693" s="101"/>
      <c r="F693" s="101"/>
      <c r="G693" s="101"/>
      <c r="H693" s="101"/>
      <c r="I693" s="101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 spans="1:28" ht="15" x14ac:dyDescent="0.2">
      <c r="A694" s="100"/>
      <c r="B694" s="101"/>
      <c r="C694" s="101"/>
      <c r="D694" s="101"/>
      <c r="E694" s="101"/>
      <c r="F694" s="101"/>
      <c r="G694" s="101"/>
      <c r="H694" s="101"/>
      <c r="I694" s="101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 spans="1:28" ht="15" x14ac:dyDescent="0.2">
      <c r="A695" s="100"/>
      <c r="B695" s="101"/>
      <c r="C695" s="101"/>
      <c r="D695" s="101"/>
      <c r="E695" s="101"/>
      <c r="F695" s="101"/>
      <c r="G695" s="101"/>
      <c r="H695" s="101"/>
      <c r="I695" s="101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 spans="1:28" ht="15" x14ac:dyDescent="0.2">
      <c r="A696" s="100"/>
      <c r="B696" s="101"/>
      <c r="C696" s="101"/>
      <c r="D696" s="101"/>
      <c r="E696" s="101"/>
      <c r="F696" s="101"/>
      <c r="G696" s="101"/>
      <c r="H696" s="101"/>
      <c r="I696" s="101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 spans="1:28" ht="15" x14ac:dyDescent="0.2">
      <c r="A697" s="100"/>
      <c r="B697" s="101"/>
      <c r="C697" s="101"/>
      <c r="D697" s="101"/>
      <c r="E697" s="101"/>
      <c r="F697" s="101"/>
      <c r="G697" s="101"/>
      <c r="H697" s="101"/>
      <c r="I697" s="101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 spans="1:28" ht="15" x14ac:dyDescent="0.2">
      <c r="A698" s="100"/>
      <c r="B698" s="101"/>
      <c r="C698" s="101"/>
      <c r="D698" s="101"/>
      <c r="E698" s="101"/>
      <c r="F698" s="101"/>
      <c r="G698" s="101"/>
      <c r="H698" s="101"/>
      <c r="I698" s="101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 spans="1:28" ht="15" x14ac:dyDescent="0.2">
      <c r="A699" s="100"/>
      <c r="B699" s="101"/>
      <c r="C699" s="101"/>
      <c r="D699" s="101"/>
      <c r="E699" s="101"/>
      <c r="F699" s="101"/>
      <c r="G699" s="101"/>
      <c r="H699" s="101"/>
      <c r="I699" s="101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 spans="1:28" ht="15" x14ac:dyDescent="0.2">
      <c r="A700" s="100"/>
      <c r="B700" s="101"/>
      <c r="C700" s="101"/>
      <c r="D700" s="101"/>
      <c r="E700" s="101"/>
      <c r="F700" s="101"/>
      <c r="G700" s="101"/>
      <c r="H700" s="101"/>
      <c r="I700" s="101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 spans="1:28" ht="15" x14ac:dyDescent="0.2">
      <c r="A701" s="100"/>
      <c r="B701" s="101"/>
      <c r="C701" s="101"/>
      <c r="D701" s="101"/>
      <c r="E701" s="101"/>
      <c r="F701" s="101"/>
      <c r="G701" s="101"/>
      <c r="H701" s="101"/>
      <c r="I701" s="101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 spans="1:28" ht="15" x14ac:dyDescent="0.2">
      <c r="A702" s="100"/>
      <c r="B702" s="101"/>
      <c r="C702" s="101"/>
      <c r="D702" s="101"/>
      <c r="E702" s="101"/>
      <c r="F702" s="101"/>
      <c r="G702" s="101"/>
      <c r="H702" s="101"/>
      <c r="I702" s="101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 spans="1:28" ht="15" x14ac:dyDescent="0.2">
      <c r="A703" s="100"/>
      <c r="B703" s="101"/>
      <c r="C703" s="101"/>
      <c r="D703" s="101"/>
      <c r="E703" s="101"/>
      <c r="F703" s="101"/>
      <c r="G703" s="101"/>
      <c r="H703" s="101"/>
      <c r="I703" s="101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 spans="1:28" ht="15" x14ac:dyDescent="0.2">
      <c r="A704" s="100"/>
      <c r="B704" s="101"/>
      <c r="C704" s="101"/>
      <c r="D704" s="101"/>
      <c r="E704" s="101"/>
      <c r="F704" s="101"/>
      <c r="G704" s="101"/>
      <c r="H704" s="101"/>
      <c r="I704" s="101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 spans="1:28" ht="15" x14ac:dyDescent="0.2">
      <c r="A705" s="100"/>
      <c r="B705" s="101"/>
      <c r="C705" s="101"/>
      <c r="D705" s="101"/>
      <c r="E705" s="101"/>
      <c r="F705" s="101"/>
      <c r="G705" s="101"/>
      <c r="H705" s="101"/>
      <c r="I705" s="101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 spans="1:28" ht="15" x14ac:dyDescent="0.2">
      <c r="A706" s="100"/>
      <c r="B706" s="101"/>
      <c r="C706" s="101"/>
      <c r="D706" s="101"/>
      <c r="E706" s="101"/>
      <c r="F706" s="101"/>
      <c r="G706" s="101"/>
      <c r="H706" s="101"/>
      <c r="I706" s="101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 spans="1:28" ht="15" x14ac:dyDescent="0.2">
      <c r="A707" s="100"/>
      <c r="B707" s="101"/>
      <c r="C707" s="101"/>
      <c r="D707" s="101"/>
      <c r="E707" s="101"/>
      <c r="F707" s="101"/>
      <c r="G707" s="101"/>
      <c r="H707" s="101"/>
      <c r="I707" s="101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 spans="1:28" ht="15" x14ac:dyDescent="0.2">
      <c r="A708" s="100"/>
      <c r="B708" s="101"/>
      <c r="C708" s="101"/>
      <c r="D708" s="101"/>
      <c r="E708" s="101"/>
      <c r="F708" s="101"/>
      <c r="G708" s="101"/>
      <c r="H708" s="101"/>
      <c r="I708" s="101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 spans="1:28" ht="15" x14ac:dyDescent="0.2">
      <c r="A709" s="100"/>
      <c r="B709" s="101"/>
      <c r="C709" s="101"/>
      <c r="D709" s="101"/>
      <c r="E709" s="101"/>
      <c r="F709" s="101"/>
      <c r="G709" s="101"/>
      <c r="H709" s="101"/>
      <c r="I709" s="101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 spans="1:28" ht="15" x14ac:dyDescent="0.2">
      <c r="A710" s="100"/>
      <c r="B710" s="101"/>
      <c r="C710" s="101"/>
      <c r="D710" s="101"/>
      <c r="E710" s="101"/>
      <c r="F710" s="101"/>
      <c r="G710" s="101"/>
      <c r="H710" s="101"/>
      <c r="I710" s="101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 spans="1:28" ht="15" x14ac:dyDescent="0.2">
      <c r="A711" s="100"/>
      <c r="B711" s="101"/>
      <c r="C711" s="101"/>
      <c r="D711" s="101"/>
      <c r="E711" s="101"/>
      <c r="F711" s="101"/>
      <c r="G711" s="101"/>
      <c r="H711" s="101"/>
      <c r="I711" s="101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 spans="1:28" ht="15" x14ac:dyDescent="0.2">
      <c r="A712" s="100"/>
      <c r="B712" s="101"/>
      <c r="C712" s="101"/>
      <c r="D712" s="101"/>
      <c r="E712" s="101"/>
      <c r="F712" s="101"/>
      <c r="G712" s="101"/>
      <c r="H712" s="101"/>
      <c r="I712" s="101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 spans="1:28" ht="15" x14ac:dyDescent="0.2">
      <c r="A713" s="100"/>
      <c r="B713" s="101"/>
      <c r="C713" s="101"/>
      <c r="D713" s="101"/>
      <c r="E713" s="101"/>
      <c r="F713" s="101"/>
      <c r="G713" s="101"/>
      <c r="H713" s="101"/>
      <c r="I713" s="101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 spans="1:28" ht="15" x14ac:dyDescent="0.2">
      <c r="A714" s="100"/>
      <c r="B714" s="101"/>
      <c r="C714" s="101"/>
      <c r="D714" s="101"/>
      <c r="E714" s="101"/>
      <c r="F714" s="101"/>
      <c r="G714" s="101"/>
      <c r="H714" s="101"/>
      <c r="I714" s="101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 spans="1:28" ht="15" x14ac:dyDescent="0.2">
      <c r="A715" s="100"/>
      <c r="B715" s="101"/>
      <c r="C715" s="101"/>
      <c r="D715" s="101"/>
      <c r="E715" s="101"/>
      <c r="F715" s="101"/>
      <c r="G715" s="101"/>
      <c r="H715" s="101"/>
      <c r="I715" s="101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 spans="1:28" ht="15" x14ac:dyDescent="0.2">
      <c r="A716" s="100"/>
      <c r="B716" s="101"/>
      <c r="C716" s="101"/>
      <c r="D716" s="101"/>
      <c r="E716" s="101"/>
      <c r="F716" s="101"/>
      <c r="G716" s="101"/>
      <c r="H716" s="101"/>
      <c r="I716" s="101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 spans="1:28" ht="15" x14ac:dyDescent="0.2">
      <c r="A717" s="100"/>
      <c r="B717" s="101"/>
      <c r="C717" s="101"/>
      <c r="D717" s="101"/>
      <c r="E717" s="101"/>
      <c r="F717" s="101"/>
      <c r="G717" s="101"/>
      <c r="H717" s="101"/>
      <c r="I717" s="101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 spans="1:28" ht="15" x14ac:dyDescent="0.2">
      <c r="A718" s="100"/>
      <c r="B718" s="101"/>
      <c r="C718" s="101"/>
      <c r="D718" s="101"/>
      <c r="E718" s="101"/>
      <c r="F718" s="101"/>
      <c r="G718" s="101"/>
      <c r="H718" s="101"/>
      <c r="I718" s="101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 spans="1:28" ht="15" x14ac:dyDescent="0.2">
      <c r="A719" s="100"/>
      <c r="B719" s="101"/>
      <c r="C719" s="101"/>
      <c r="D719" s="101"/>
      <c r="E719" s="101"/>
      <c r="F719" s="101"/>
      <c r="G719" s="101"/>
      <c r="H719" s="101"/>
      <c r="I719" s="101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 spans="1:28" ht="15" x14ac:dyDescent="0.2">
      <c r="A720" s="100"/>
      <c r="B720" s="101"/>
      <c r="C720" s="101"/>
      <c r="D720" s="101"/>
      <c r="E720" s="101"/>
      <c r="F720" s="101"/>
      <c r="G720" s="101"/>
      <c r="H720" s="101"/>
      <c r="I720" s="101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 spans="1:28" ht="15" x14ac:dyDescent="0.2">
      <c r="A721" s="100"/>
      <c r="B721" s="101"/>
      <c r="C721" s="101"/>
      <c r="D721" s="101"/>
      <c r="E721" s="101"/>
      <c r="F721" s="101"/>
      <c r="G721" s="101"/>
      <c r="H721" s="101"/>
      <c r="I721" s="101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 spans="1:28" ht="15" x14ac:dyDescent="0.2">
      <c r="A722" s="100"/>
      <c r="B722" s="101"/>
      <c r="C722" s="101"/>
      <c r="D722" s="101"/>
      <c r="E722" s="101"/>
      <c r="F722" s="101"/>
      <c r="G722" s="101"/>
      <c r="H722" s="101"/>
      <c r="I722" s="101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 spans="1:28" ht="15" x14ac:dyDescent="0.2">
      <c r="A723" s="100"/>
      <c r="B723" s="101"/>
      <c r="C723" s="101"/>
      <c r="D723" s="101"/>
      <c r="E723" s="101"/>
      <c r="F723" s="101"/>
      <c r="G723" s="101"/>
      <c r="H723" s="101"/>
      <c r="I723" s="101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 spans="1:28" ht="15" x14ac:dyDescent="0.2">
      <c r="A724" s="100"/>
      <c r="B724" s="101"/>
      <c r="C724" s="101"/>
      <c r="D724" s="101"/>
      <c r="E724" s="101"/>
      <c r="F724" s="101"/>
      <c r="G724" s="101"/>
      <c r="H724" s="101"/>
      <c r="I724" s="101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 spans="1:28" ht="15" x14ac:dyDescent="0.2">
      <c r="A725" s="100"/>
      <c r="B725" s="101"/>
      <c r="C725" s="101"/>
      <c r="D725" s="101"/>
      <c r="E725" s="101"/>
      <c r="F725" s="101"/>
      <c r="G725" s="101"/>
      <c r="H725" s="101"/>
      <c r="I725" s="101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 spans="1:28" ht="15" x14ac:dyDescent="0.2">
      <c r="A726" s="100"/>
      <c r="B726" s="101"/>
      <c r="C726" s="101"/>
      <c r="D726" s="101"/>
      <c r="E726" s="101"/>
      <c r="F726" s="101"/>
      <c r="G726" s="101"/>
      <c r="H726" s="101"/>
      <c r="I726" s="101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 spans="1:28" ht="15" x14ac:dyDescent="0.2">
      <c r="A727" s="100"/>
      <c r="B727" s="101"/>
      <c r="C727" s="101"/>
      <c r="D727" s="101"/>
      <c r="E727" s="101"/>
      <c r="F727" s="101"/>
      <c r="G727" s="101"/>
      <c r="H727" s="101"/>
      <c r="I727" s="101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 spans="1:28" ht="15" x14ac:dyDescent="0.2">
      <c r="A728" s="100"/>
      <c r="B728" s="101"/>
      <c r="C728" s="101"/>
      <c r="D728" s="101"/>
      <c r="E728" s="101"/>
      <c r="F728" s="101"/>
      <c r="G728" s="101"/>
      <c r="H728" s="101"/>
      <c r="I728" s="101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 spans="1:28" ht="15" x14ac:dyDescent="0.2">
      <c r="A729" s="100"/>
      <c r="B729" s="101"/>
      <c r="C729" s="101"/>
      <c r="D729" s="101"/>
      <c r="E729" s="101"/>
      <c r="F729" s="101"/>
      <c r="G729" s="101"/>
      <c r="H729" s="101"/>
      <c r="I729" s="101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 spans="1:28" ht="15" x14ac:dyDescent="0.2">
      <c r="A730" s="100"/>
      <c r="B730" s="101"/>
      <c r="C730" s="101"/>
      <c r="D730" s="101"/>
      <c r="E730" s="101"/>
      <c r="F730" s="101"/>
      <c r="G730" s="101"/>
      <c r="H730" s="101"/>
      <c r="I730" s="101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 spans="1:28" ht="15" x14ac:dyDescent="0.2">
      <c r="A731" s="100"/>
      <c r="B731" s="101"/>
      <c r="C731" s="101"/>
      <c r="D731" s="101"/>
      <c r="E731" s="101"/>
      <c r="F731" s="101"/>
      <c r="G731" s="101"/>
      <c r="H731" s="101"/>
      <c r="I731" s="101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 spans="1:28" ht="15" x14ac:dyDescent="0.2">
      <c r="A732" s="100"/>
      <c r="B732" s="101"/>
      <c r="C732" s="101"/>
      <c r="D732" s="101"/>
      <c r="E732" s="101"/>
      <c r="F732" s="101"/>
      <c r="G732" s="101"/>
      <c r="H732" s="101"/>
      <c r="I732" s="101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 spans="1:28" ht="15" x14ac:dyDescent="0.2">
      <c r="A733" s="100"/>
      <c r="B733" s="101"/>
      <c r="C733" s="101"/>
      <c r="D733" s="101"/>
      <c r="E733" s="101"/>
      <c r="F733" s="101"/>
      <c r="G733" s="101"/>
      <c r="H733" s="101"/>
      <c r="I733" s="101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 spans="1:28" ht="15" x14ac:dyDescent="0.2">
      <c r="A734" s="100"/>
      <c r="B734" s="101"/>
      <c r="C734" s="101"/>
      <c r="D734" s="101"/>
      <c r="E734" s="101"/>
      <c r="F734" s="101"/>
      <c r="G734" s="101"/>
      <c r="H734" s="101"/>
      <c r="I734" s="101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 spans="1:28" ht="15" x14ac:dyDescent="0.2">
      <c r="A735" s="100"/>
      <c r="B735" s="101"/>
      <c r="C735" s="101"/>
      <c r="D735" s="101"/>
      <c r="E735" s="101"/>
      <c r="F735" s="101"/>
      <c r="G735" s="101"/>
      <c r="H735" s="101"/>
      <c r="I735" s="101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 spans="1:28" ht="15" x14ac:dyDescent="0.2">
      <c r="A736" s="100"/>
      <c r="B736" s="101"/>
      <c r="C736" s="101"/>
      <c r="D736" s="101"/>
      <c r="E736" s="101"/>
      <c r="F736" s="101"/>
      <c r="G736" s="101"/>
      <c r="H736" s="101"/>
      <c r="I736" s="101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 spans="1:28" ht="15" x14ac:dyDescent="0.2">
      <c r="A737" s="100"/>
      <c r="B737" s="101"/>
      <c r="C737" s="101"/>
      <c r="D737" s="101"/>
      <c r="E737" s="101"/>
      <c r="F737" s="101"/>
      <c r="G737" s="101"/>
      <c r="H737" s="101"/>
      <c r="I737" s="101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 spans="1:28" ht="15" x14ac:dyDescent="0.2">
      <c r="A738" s="100"/>
      <c r="B738" s="101"/>
      <c r="C738" s="101"/>
      <c r="D738" s="101"/>
      <c r="E738" s="101"/>
      <c r="F738" s="101"/>
      <c r="G738" s="101"/>
      <c r="H738" s="101"/>
      <c r="I738" s="101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 spans="1:28" ht="15" x14ac:dyDescent="0.2">
      <c r="A739" s="100"/>
      <c r="B739" s="101"/>
      <c r="C739" s="101"/>
      <c r="D739" s="101"/>
      <c r="E739" s="101"/>
      <c r="F739" s="101"/>
      <c r="G739" s="101"/>
      <c r="H739" s="101"/>
      <c r="I739" s="101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 spans="1:28" ht="15" x14ac:dyDescent="0.2">
      <c r="A740" s="100"/>
      <c r="B740" s="101"/>
      <c r="C740" s="101"/>
      <c r="D740" s="101"/>
      <c r="E740" s="101"/>
      <c r="F740" s="101"/>
      <c r="G740" s="101"/>
      <c r="H740" s="101"/>
      <c r="I740" s="101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 spans="1:28" ht="15" x14ac:dyDescent="0.2">
      <c r="A741" s="100"/>
      <c r="B741" s="101"/>
      <c r="C741" s="101"/>
      <c r="D741" s="101"/>
      <c r="E741" s="101"/>
      <c r="F741" s="101"/>
      <c r="G741" s="101"/>
      <c r="H741" s="101"/>
      <c r="I741" s="101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 spans="1:28" ht="15" x14ac:dyDescent="0.2">
      <c r="A742" s="100"/>
      <c r="B742" s="101"/>
      <c r="C742" s="101"/>
      <c r="D742" s="101"/>
      <c r="E742" s="101"/>
      <c r="F742" s="101"/>
      <c r="G742" s="101"/>
      <c r="H742" s="101"/>
      <c r="I742" s="101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 spans="1:28" ht="15" x14ac:dyDescent="0.2">
      <c r="A743" s="100"/>
      <c r="B743" s="101"/>
      <c r="C743" s="101"/>
      <c r="D743" s="101"/>
      <c r="E743" s="101"/>
      <c r="F743" s="101"/>
      <c r="G743" s="101"/>
      <c r="H743" s="101"/>
      <c r="I743" s="101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 spans="1:28" ht="15" x14ac:dyDescent="0.2">
      <c r="A744" s="100"/>
      <c r="B744" s="101"/>
      <c r="C744" s="101"/>
      <c r="D744" s="101"/>
      <c r="E744" s="101"/>
      <c r="F744" s="101"/>
      <c r="G744" s="101"/>
      <c r="H744" s="101"/>
      <c r="I744" s="101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 spans="1:28" ht="15" x14ac:dyDescent="0.2">
      <c r="A745" s="100"/>
      <c r="B745" s="101"/>
      <c r="C745" s="101"/>
      <c r="D745" s="101"/>
      <c r="E745" s="101"/>
      <c r="F745" s="101"/>
      <c r="G745" s="101"/>
      <c r="H745" s="101"/>
      <c r="I745" s="101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 spans="1:28" ht="15" x14ac:dyDescent="0.2">
      <c r="A746" s="100"/>
      <c r="B746" s="101"/>
      <c r="C746" s="101"/>
      <c r="D746" s="101"/>
      <c r="E746" s="101"/>
      <c r="F746" s="101"/>
      <c r="G746" s="101"/>
      <c r="H746" s="101"/>
      <c r="I746" s="101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 spans="1:28" ht="15" x14ac:dyDescent="0.2">
      <c r="A747" s="100"/>
      <c r="B747" s="101"/>
      <c r="C747" s="101"/>
      <c r="D747" s="101"/>
      <c r="E747" s="101"/>
      <c r="F747" s="101"/>
      <c r="G747" s="101"/>
      <c r="H747" s="101"/>
      <c r="I747" s="101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 spans="1:28" ht="15" x14ac:dyDescent="0.2">
      <c r="A748" s="100"/>
      <c r="B748" s="101"/>
      <c r="C748" s="101"/>
      <c r="D748" s="101"/>
      <c r="E748" s="101"/>
      <c r="F748" s="101"/>
      <c r="G748" s="101"/>
      <c r="H748" s="101"/>
      <c r="I748" s="101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 spans="1:28" ht="15" x14ac:dyDescent="0.2">
      <c r="A749" s="100"/>
      <c r="B749" s="101"/>
      <c r="C749" s="101"/>
      <c r="D749" s="101"/>
      <c r="E749" s="101"/>
      <c r="F749" s="101"/>
      <c r="G749" s="101"/>
      <c r="H749" s="101"/>
      <c r="I749" s="101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 spans="1:28" ht="15" x14ac:dyDescent="0.2">
      <c r="A750" s="100"/>
      <c r="B750" s="101"/>
      <c r="C750" s="101"/>
      <c r="D750" s="101"/>
      <c r="E750" s="101"/>
      <c r="F750" s="101"/>
      <c r="G750" s="101"/>
      <c r="H750" s="101"/>
      <c r="I750" s="101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 spans="1:28" ht="15" x14ac:dyDescent="0.2">
      <c r="A751" s="100"/>
      <c r="B751" s="101"/>
      <c r="C751" s="101"/>
      <c r="D751" s="101"/>
      <c r="E751" s="101"/>
      <c r="F751" s="101"/>
      <c r="G751" s="101"/>
      <c r="H751" s="101"/>
      <c r="I751" s="101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 spans="1:28" ht="15" x14ac:dyDescent="0.2">
      <c r="A752" s="100"/>
      <c r="B752" s="101"/>
      <c r="C752" s="101"/>
      <c r="D752" s="101"/>
      <c r="E752" s="101"/>
      <c r="F752" s="101"/>
      <c r="G752" s="101"/>
      <c r="H752" s="101"/>
      <c r="I752" s="101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 spans="1:28" ht="15" x14ac:dyDescent="0.2">
      <c r="A753" s="100"/>
      <c r="B753" s="101"/>
      <c r="C753" s="101"/>
      <c r="D753" s="101"/>
      <c r="E753" s="101"/>
      <c r="F753" s="101"/>
      <c r="G753" s="101"/>
      <c r="H753" s="101"/>
      <c r="I753" s="101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 spans="1:28" ht="15" x14ac:dyDescent="0.2">
      <c r="A754" s="100"/>
      <c r="B754" s="101"/>
      <c r="C754" s="101"/>
      <c r="D754" s="101"/>
      <c r="E754" s="101"/>
      <c r="F754" s="101"/>
      <c r="G754" s="101"/>
      <c r="H754" s="101"/>
      <c r="I754" s="101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 spans="1:28" ht="15" x14ac:dyDescent="0.2">
      <c r="A755" s="100"/>
      <c r="B755" s="101"/>
      <c r="C755" s="101"/>
      <c r="D755" s="101"/>
      <c r="E755" s="101"/>
      <c r="F755" s="101"/>
      <c r="G755" s="101"/>
      <c r="H755" s="101"/>
      <c r="I755" s="101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 spans="1:28" ht="15" x14ac:dyDescent="0.2">
      <c r="A756" s="100"/>
      <c r="B756" s="101"/>
      <c r="C756" s="101"/>
      <c r="D756" s="101"/>
      <c r="E756" s="101"/>
      <c r="F756" s="101"/>
      <c r="G756" s="101"/>
      <c r="H756" s="101"/>
      <c r="I756" s="101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 spans="1:28" ht="15" x14ac:dyDescent="0.2">
      <c r="A757" s="100"/>
      <c r="B757" s="101"/>
      <c r="C757" s="101"/>
      <c r="D757" s="101"/>
      <c r="E757" s="101"/>
      <c r="F757" s="101"/>
      <c r="G757" s="101"/>
      <c r="H757" s="101"/>
      <c r="I757" s="101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 spans="1:28" ht="15" x14ac:dyDescent="0.2">
      <c r="A758" s="100"/>
      <c r="B758" s="101"/>
      <c r="C758" s="101"/>
      <c r="D758" s="101"/>
      <c r="E758" s="101"/>
      <c r="F758" s="101"/>
      <c r="G758" s="101"/>
      <c r="H758" s="101"/>
      <c r="I758" s="101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 spans="1:28" ht="15" x14ac:dyDescent="0.2">
      <c r="A759" s="100"/>
      <c r="B759" s="101"/>
      <c r="C759" s="101"/>
      <c r="D759" s="101"/>
      <c r="E759" s="101"/>
      <c r="F759" s="101"/>
      <c r="G759" s="101"/>
      <c r="H759" s="101"/>
      <c r="I759" s="101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 spans="1:28" ht="15" x14ac:dyDescent="0.2">
      <c r="A760" s="100"/>
      <c r="B760" s="101"/>
      <c r="C760" s="101"/>
      <c r="D760" s="101"/>
      <c r="E760" s="101"/>
      <c r="F760" s="101"/>
      <c r="G760" s="101"/>
      <c r="H760" s="101"/>
      <c r="I760" s="101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 spans="1:28" ht="15" x14ac:dyDescent="0.2">
      <c r="A761" s="100"/>
      <c r="B761" s="101"/>
      <c r="C761" s="101"/>
      <c r="D761" s="101"/>
      <c r="E761" s="101"/>
      <c r="F761" s="101"/>
      <c r="G761" s="101"/>
      <c r="H761" s="101"/>
      <c r="I761" s="101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 spans="1:28" ht="15" x14ac:dyDescent="0.2">
      <c r="A762" s="100"/>
      <c r="B762" s="101"/>
      <c r="C762" s="101"/>
      <c r="D762" s="101"/>
      <c r="E762" s="101"/>
      <c r="F762" s="101"/>
      <c r="G762" s="101"/>
      <c r="H762" s="101"/>
      <c r="I762" s="101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 spans="1:28" ht="15" x14ac:dyDescent="0.2">
      <c r="A763" s="100"/>
      <c r="B763" s="101"/>
      <c r="C763" s="101"/>
      <c r="D763" s="101"/>
      <c r="E763" s="101"/>
      <c r="F763" s="101"/>
      <c r="G763" s="101"/>
      <c r="H763" s="101"/>
      <c r="I763" s="101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 spans="1:28" ht="15" x14ac:dyDescent="0.2">
      <c r="A764" s="100"/>
      <c r="B764" s="101"/>
      <c r="C764" s="101"/>
      <c r="D764" s="101"/>
      <c r="E764" s="101"/>
      <c r="F764" s="101"/>
      <c r="G764" s="101"/>
      <c r="H764" s="101"/>
      <c r="I764" s="101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 spans="1:28" ht="15" x14ac:dyDescent="0.2">
      <c r="A765" s="100"/>
      <c r="B765" s="101"/>
      <c r="C765" s="101"/>
      <c r="D765" s="101"/>
      <c r="E765" s="101"/>
      <c r="F765" s="101"/>
      <c r="G765" s="101"/>
      <c r="H765" s="101"/>
      <c r="I765" s="101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 spans="1:28" ht="15" x14ac:dyDescent="0.2">
      <c r="A766" s="100"/>
      <c r="B766" s="101"/>
      <c r="C766" s="101"/>
      <c r="D766" s="101"/>
      <c r="E766" s="101"/>
      <c r="F766" s="101"/>
      <c r="G766" s="101"/>
      <c r="H766" s="101"/>
      <c r="I766" s="101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 spans="1:28" ht="15" x14ac:dyDescent="0.2">
      <c r="A767" s="100"/>
      <c r="B767" s="101"/>
      <c r="C767" s="101"/>
      <c r="D767" s="101"/>
      <c r="E767" s="101"/>
      <c r="F767" s="101"/>
      <c r="G767" s="101"/>
      <c r="H767" s="101"/>
      <c r="I767" s="101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 spans="1:28" ht="15" x14ac:dyDescent="0.2">
      <c r="A768" s="100"/>
      <c r="B768" s="101"/>
      <c r="C768" s="101"/>
      <c r="D768" s="101"/>
      <c r="E768" s="101"/>
      <c r="F768" s="101"/>
      <c r="G768" s="101"/>
      <c r="H768" s="101"/>
      <c r="I768" s="101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 spans="1:28" ht="15" x14ac:dyDescent="0.2">
      <c r="A769" s="100"/>
      <c r="B769" s="101"/>
      <c r="C769" s="101"/>
      <c r="D769" s="101"/>
      <c r="E769" s="101"/>
      <c r="F769" s="101"/>
      <c r="G769" s="101"/>
      <c r="H769" s="101"/>
      <c r="I769" s="101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 spans="1:28" ht="15" x14ac:dyDescent="0.2">
      <c r="A770" s="100"/>
      <c r="B770" s="101"/>
      <c r="C770" s="101"/>
      <c r="D770" s="101"/>
      <c r="E770" s="101"/>
      <c r="F770" s="101"/>
      <c r="G770" s="101"/>
      <c r="H770" s="101"/>
      <c r="I770" s="101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 spans="1:28" ht="15" x14ac:dyDescent="0.2">
      <c r="A771" s="100"/>
      <c r="B771" s="101"/>
      <c r="C771" s="101"/>
      <c r="D771" s="101"/>
      <c r="E771" s="101"/>
      <c r="F771" s="101"/>
      <c r="G771" s="101"/>
      <c r="H771" s="101"/>
      <c r="I771" s="101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 spans="1:28" ht="15" x14ac:dyDescent="0.2">
      <c r="A772" s="100"/>
      <c r="B772" s="101"/>
      <c r="C772" s="101"/>
      <c r="D772" s="101"/>
      <c r="E772" s="101"/>
      <c r="F772" s="101"/>
      <c r="G772" s="101"/>
      <c r="H772" s="101"/>
      <c r="I772" s="101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 spans="1:28" ht="15" x14ac:dyDescent="0.2">
      <c r="A773" s="100"/>
      <c r="B773" s="101"/>
      <c r="C773" s="101"/>
      <c r="D773" s="101"/>
      <c r="E773" s="101"/>
      <c r="F773" s="101"/>
      <c r="G773" s="101"/>
      <c r="H773" s="101"/>
      <c r="I773" s="101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 spans="1:28" ht="15" x14ac:dyDescent="0.2">
      <c r="A774" s="100"/>
      <c r="B774" s="101"/>
      <c r="C774" s="101"/>
      <c r="D774" s="101"/>
      <c r="E774" s="101"/>
      <c r="F774" s="101"/>
      <c r="G774" s="101"/>
      <c r="H774" s="101"/>
      <c r="I774" s="101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 spans="1:28" ht="15" x14ac:dyDescent="0.2">
      <c r="A775" s="100"/>
      <c r="B775" s="101"/>
      <c r="C775" s="101"/>
      <c r="D775" s="101"/>
      <c r="E775" s="101"/>
      <c r="F775" s="101"/>
      <c r="G775" s="101"/>
      <c r="H775" s="101"/>
      <c r="I775" s="101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 spans="1:28" ht="15" x14ac:dyDescent="0.2">
      <c r="A776" s="100"/>
      <c r="B776" s="101"/>
      <c r="C776" s="101"/>
      <c r="D776" s="101"/>
      <c r="E776" s="101"/>
      <c r="F776" s="101"/>
      <c r="G776" s="101"/>
      <c r="H776" s="101"/>
      <c r="I776" s="101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 spans="1:28" ht="15" x14ac:dyDescent="0.2">
      <c r="A777" s="100"/>
      <c r="B777" s="101"/>
      <c r="C777" s="101"/>
      <c r="D777" s="101"/>
      <c r="E777" s="101"/>
      <c r="F777" s="101"/>
      <c r="G777" s="101"/>
      <c r="H777" s="101"/>
      <c r="I777" s="101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 spans="1:28" ht="15" x14ac:dyDescent="0.2">
      <c r="A778" s="100"/>
      <c r="B778" s="101"/>
      <c r="C778" s="101"/>
      <c r="D778" s="101"/>
      <c r="E778" s="101"/>
      <c r="F778" s="101"/>
      <c r="G778" s="101"/>
      <c r="H778" s="101"/>
      <c r="I778" s="101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 spans="1:28" ht="15" x14ac:dyDescent="0.2">
      <c r="A779" s="100"/>
      <c r="B779" s="101"/>
      <c r="C779" s="101"/>
      <c r="D779" s="101"/>
      <c r="E779" s="101"/>
      <c r="F779" s="101"/>
      <c r="G779" s="101"/>
      <c r="H779" s="101"/>
      <c r="I779" s="101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 spans="1:28" ht="15" x14ac:dyDescent="0.2">
      <c r="A780" s="100"/>
      <c r="B780" s="101"/>
      <c r="C780" s="101"/>
      <c r="D780" s="101"/>
      <c r="E780" s="101"/>
      <c r="F780" s="101"/>
      <c r="G780" s="101"/>
      <c r="H780" s="101"/>
      <c r="I780" s="101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 spans="1:28" ht="15" x14ac:dyDescent="0.2">
      <c r="A781" s="100"/>
      <c r="B781" s="101"/>
      <c r="C781" s="101"/>
      <c r="D781" s="101"/>
      <c r="E781" s="101"/>
      <c r="F781" s="101"/>
      <c r="G781" s="101"/>
      <c r="H781" s="101"/>
      <c r="I781" s="101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 spans="1:28" ht="15" x14ac:dyDescent="0.2">
      <c r="A782" s="100"/>
      <c r="B782" s="101"/>
      <c r="C782" s="101"/>
      <c r="D782" s="101"/>
      <c r="E782" s="101"/>
      <c r="F782" s="101"/>
      <c r="G782" s="101"/>
      <c r="H782" s="101"/>
      <c r="I782" s="101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 spans="1:28" ht="15" x14ac:dyDescent="0.2">
      <c r="A783" s="100"/>
      <c r="B783" s="101"/>
      <c r="C783" s="101"/>
      <c r="D783" s="101"/>
      <c r="E783" s="101"/>
      <c r="F783" s="101"/>
      <c r="G783" s="101"/>
      <c r="H783" s="101"/>
      <c r="I783" s="101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 spans="1:28" ht="15" x14ac:dyDescent="0.2">
      <c r="A784" s="100"/>
      <c r="B784" s="101"/>
      <c r="C784" s="101"/>
      <c r="D784" s="101"/>
      <c r="E784" s="101"/>
      <c r="F784" s="101"/>
      <c r="G784" s="101"/>
      <c r="H784" s="101"/>
      <c r="I784" s="101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 spans="1:28" ht="15" x14ac:dyDescent="0.2">
      <c r="A785" s="100"/>
      <c r="B785" s="101"/>
      <c r="C785" s="101"/>
      <c r="D785" s="101"/>
      <c r="E785" s="101"/>
      <c r="F785" s="101"/>
      <c r="G785" s="101"/>
      <c r="H785" s="101"/>
      <c r="I785" s="101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 spans="1:28" ht="15" x14ac:dyDescent="0.2">
      <c r="A786" s="100"/>
      <c r="B786" s="101"/>
      <c r="C786" s="101"/>
      <c r="D786" s="101"/>
      <c r="E786" s="101"/>
      <c r="F786" s="101"/>
      <c r="G786" s="101"/>
      <c r="H786" s="101"/>
      <c r="I786" s="101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 spans="1:28" ht="15" x14ac:dyDescent="0.2">
      <c r="A787" s="100"/>
      <c r="B787" s="101"/>
      <c r="C787" s="101"/>
      <c r="D787" s="101"/>
      <c r="E787" s="101"/>
      <c r="F787" s="101"/>
      <c r="G787" s="101"/>
      <c r="H787" s="101"/>
      <c r="I787" s="101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 spans="1:28" ht="15" x14ac:dyDescent="0.2">
      <c r="A788" s="100"/>
      <c r="B788" s="101"/>
      <c r="C788" s="101"/>
      <c r="D788" s="101"/>
      <c r="E788" s="101"/>
      <c r="F788" s="101"/>
      <c r="G788" s="101"/>
      <c r="H788" s="101"/>
      <c r="I788" s="101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 spans="1:28" ht="15" x14ac:dyDescent="0.2">
      <c r="A789" s="100"/>
      <c r="B789" s="101"/>
      <c r="C789" s="101"/>
      <c r="D789" s="101"/>
      <c r="E789" s="101"/>
      <c r="F789" s="101"/>
      <c r="G789" s="101"/>
      <c r="H789" s="101"/>
      <c r="I789" s="101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 spans="1:28" ht="15" x14ac:dyDescent="0.2">
      <c r="A790" s="100"/>
      <c r="B790" s="101"/>
      <c r="C790" s="101"/>
      <c r="D790" s="101"/>
      <c r="E790" s="101"/>
      <c r="F790" s="101"/>
      <c r="G790" s="101"/>
      <c r="H790" s="101"/>
      <c r="I790" s="101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 spans="1:28" ht="15" x14ac:dyDescent="0.2">
      <c r="A791" s="100"/>
      <c r="B791" s="101"/>
      <c r="C791" s="101"/>
      <c r="D791" s="101"/>
      <c r="E791" s="101"/>
      <c r="F791" s="101"/>
      <c r="G791" s="101"/>
      <c r="H791" s="101"/>
      <c r="I791" s="101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 spans="1:28" ht="15" x14ac:dyDescent="0.2">
      <c r="A792" s="100"/>
      <c r="B792" s="101"/>
      <c r="C792" s="101"/>
      <c r="D792" s="101"/>
      <c r="E792" s="101"/>
      <c r="F792" s="101"/>
      <c r="G792" s="101"/>
      <c r="H792" s="101"/>
      <c r="I792" s="101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 spans="1:28" ht="15" x14ac:dyDescent="0.2">
      <c r="A793" s="100"/>
      <c r="B793" s="101"/>
      <c r="C793" s="101"/>
      <c r="D793" s="101"/>
      <c r="E793" s="101"/>
      <c r="F793" s="101"/>
      <c r="G793" s="101"/>
      <c r="H793" s="101"/>
      <c r="I793" s="101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 spans="1:28" ht="15" x14ac:dyDescent="0.2">
      <c r="A794" s="100"/>
      <c r="B794" s="101"/>
      <c r="C794" s="101"/>
      <c r="D794" s="101"/>
      <c r="E794" s="101"/>
      <c r="F794" s="101"/>
      <c r="G794" s="101"/>
      <c r="H794" s="101"/>
      <c r="I794" s="101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 spans="1:28" ht="15" x14ac:dyDescent="0.2">
      <c r="A795" s="100"/>
      <c r="B795" s="101"/>
      <c r="C795" s="101"/>
      <c r="D795" s="101"/>
      <c r="E795" s="101"/>
      <c r="F795" s="101"/>
      <c r="G795" s="101"/>
      <c r="H795" s="101"/>
      <c r="I795" s="101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 spans="1:28" ht="15" x14ac:dyDescent="0.2">
      <c r="A796" s="100"/>
      <c r="B796" s="101"/>
      <c r="C796" s="101"/>
      <c r="D796" s="101"/>
      <c r="E796" s="101"/>
      <c r="F796" s="101"/>
      <c r="G796" s="101"/>
      <c r="H796" s="101"/>
      <c r="I796" s="101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 spans="1:28" ht="15" x14ac:dyDescent="0.2">
      <c r="A797" s="100"/>
      <c r="B797" s="101"/>
      <c r="C797" s="101"/>
      <c r="D797" s="101"/>
      <c r="E797" s="101"/>
      <c r="F797" s="101"/>
      <c r="G797" s="101"/>
      <c r="H797" s="101"/>
      <c r="I797" s="101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 spans="1:28" ht="15" x14ac:dyDescent="0.2">
      <c r="A798" s="100"/>
      <c r="B798" s="101"/>
      <c r="C798" s="101"/>
      <c r="D798" s="101"/>
      <c r="E798" s="101"/>
      <c r="F798" s="101"/>
      <c r="G798" s="101"/>
      <c r="H798" s="101"/>
      <c r="I798" s="101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 spans="1:28" ht="15" x14ac:dyDescent="0.2">
      <c r="A799" s="100"/>
      <c r="B799" s="101"/>
      <c r="C799" s="101"/>
      <c r="D799" s="101"/>
      <c r="E799" s="101"/>
      <c r="F799" s="101"/>
      <c r="G799" s="101"/>
      <c r="H799" s="101"/>
      <c r="I799" s="101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 spans="1:28" ht="15" x14ac:dyDescent="0.2">
      <c r="A800" s="100"/>
      <c r="B800" s="101"/>
      <c r="C800" s="101"/>
      <c r="D800" s="101"/>
      <c r="E800" s="101"/>
      <c r="F800" s="101"/>
      <c r="G800" s="101"/>
      <c r="H800" s="101"/>
      <c r="I800" s="101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 spans="1:28" ht="15" x14ac:dyDescent="0.2">
      <c r="A801" s="100"/>
      <c r="B801" s="101"/>
      <c r="C801" s="101"/>
      <c r="D801" s="101"/>
      <c r="E801" s="101"/>
      <c r="F801" s="101"/>
      <c r="G801" s="101"/>
      <c r="H801" s="101"/>
      <c r="I801" s="101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 spans="1:28" ht="15" x14ac:dyDescent="0.2">
      <c r="A802" s="100"/>
      <c r="B802" s="101"/>
      <c r="C802" s="101"/>
      <c r="D802" s="101"/>
      <c r="E802" s="101"/>
      <c r="F802" s="101"/>
      <c r="G802" s="101"/>
      <c r="H802" s="101"/>
      <c r="I802" s="101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 spans="1:28" ht="15" x14ac:dyDescent="0.2">
      <c r="A803" s="100"/>
      <c r="B803" s="101"/>
      <c r="C803" s="101"/>
      <c r="D803" s="101"/>
      <c r="E803" s="101"/>
      <c r="F803" s="101"/>
      <c r="G803" s="101"/>
      <c r="H803" s="101"/>
      <c r="I803" s="101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 spans="1:28" ht="15" x14ac:dyDescent="0.2">
      <c r="A804" s="100"/>
      <c r="B804" s="101"/>
      <c r="C804" s="101"/>
      <c r="D804" s="101"/>
      <c r="E804" s="101"/>
      <c r="F804" s="101"/>
      <c r="G804" s="101"/>
      <c r="H804" s="101"/>
      <c r="I804" s="101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 spans="1:28" ht="15" x14ac:dyDescent="0.2">
      <c r="A805" s="100"/>
      <c r="B805" s="101"/>
      <c r="C805" s="101"/>
      <c r="D805" s="101"/>
      <c r="E805" s="101"/>
      <c r="F805" s="101"/>
      <c r="G805" s="101"/>
      <c r="H805" s="101"/>
      <c r="I805" s="101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 spans="1:28" ht="15" x14ac:dyDescent="0.2">
      <c r="A806" s="100"/>
      <c r="B806" s="101"/>
      <c r="C806" s="101"/>
      <c r="D806" s="101"/>
      <c r="E806" s="101"/>
      <c r="F806" s="101"/>
      <c r="G806" s="101"/>
      <c r="H806" s="101"/>
      <c r="I806" s="101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 spans="1:28" ht="15" x14ac:dyDescent="0.2">
      <c r="A807" s="100"/>
      <c r="B807" s="101"/>
      <c r="C807" s="101"/>
      <c r="D807" s="101"/>
      <c r="E807" s="101"/>
      <c r="F807" s="101"/>
      <c r="G807" s="101"/>
      <c r="H807" s="101"/>
      <c r="I807" s="101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 spans="1:28" ht="15" x14ac:dyDescent="0.2">
      <c r="A808" s="100"/>
      <c r="B808" s="101"/>
      <c r="C808" s="101"/>
      <c r="D808" s="101"/>
      <c r="E808" s="101"/>
      <c r="F808" s="101"/>
      <c r="G808" s="101"/>
      <c r="H808" s="101"/>
      <c r="I808" s="101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 spans="1:28" ht="15" x14ac:dyDescent="0.2">
      <c r="A809" s="100"/>
      <c r="B809" s="101"/>
      <c r="C809" s="101"/>
      <c r="D809" s="101"/>
      <c r="E809" s="101"/>
      <c r="F809" s="101"/>
      <c r="G809" s="101"/>
      <c r="H809" s="101"/>
      <c r="I809" s="101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 spans="1:28" ht="15" x14ac:dyDescent="0.2">
      <c r="A810" s="100"/>
      <c r="B810" s="101"/>
      <c r="C810" s="101"/>
      <c r="D810" s="101"/>
      <c r="E810" s="101"/>
      <c r="F810" s="101"/>
      <c r="G810" s="101"/>
      <c r="H810" s="101"/>
      <c r="I810" s="101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 spans="1:28" ht="15" x14ac:dyDescent="0.2">
      <c r="A811" s="100"/>
      <c r="B811" s="101"/>
      <c r="C811" s="101"/>
      <c r="D811" s="101"/>
      <c r="E811" s="101"/>
      <c r="F811" s="101"/>
      <c r="G811" s="101"/>
      <c r="H811" s="101"/>
      <c r="I811" s="101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 spans="1:28" ht="15" x14ac:dyDescent="0.2">
      <c r="A812" s="100"/>
      <c r="B812" s="101"/>
      <c r="C812" s="101"/>
      <c r="D812" s="101"/>
      <c r="E812" s="101"/>
      <c r="F812" s="101"/>
      <c r="G812" s="101"/>
      <c r="H812" s="101"/>
      <c r="I812" s="101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 spans="1:28" ht="15" x14ac:dyDescent="0.2">
      <c r="A813" s="100"/>
      <c r="B813" s="101"/>
      <c r="C813" s="101"/>
      <c r="D813" s="101"/>
      <c r="E813" s="101"/>
      <c r="F813" s="101"/>
      <c r="G813" s="101"/>
      <c r="H813" s="101"/>
      <c r="I813" s="101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 spans="1:28" ht="15" x14ac:dyDescent="0.2">
      <c r="A814" s="100"/>
      <c r="B814" s="101"/>
      <c r="C814" s="101"/>
      <c r="D814" s="101"/>
      <c r="E814" s="101"/>
      <c r="F814" s="101"/>
      <c r="G814" s="101"/>
      <c r="H814" s="101"/>
      <c r="I814" s="101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 spans="1:28" ht="15" x14ac:dyDescent="0.2">
      <c r="A815" s="100"/>
      <c r="B815" s="101"/>
      <c r="C815" s="101"/>
      <c r="D815" s="101"/>
      <c r="E815" s="101"/>
      <c r="F815" s="101"/>
      <c r="G815" s="101"/>
      <c r="H815" s="101"/>
      <c r="I815" s="101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 spans="1:28" ht="15" x14ac:dyDescent="0.2">
      <c r="A816" s="100"/>
      <c r="B816" s="101"/>
      <c r="C816" s="101"/>
      <c r="D816" s="101"/>
      <c r="E816" s="101"/>
      <c r="F816" s="101"/>
      <c r="G816" s="101"/>
      <c r="H816" s="101"/>
      <c r="I816" s="101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 spans="1:28" ht="15" x14ac:dyDescent="0.2">
      <c r="A817" s="100"/>
      <c r="B817" s="101"/>
      <c r="C817" s="101"/>
      <c r="D817" s="101"/>
      <c r="E817" s="101"/>
      <c r="F817" s="101"/>
      <c r="G817" s="101"/>
      <c r="H817" s="101"/>
      <c r="I817" s="101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 spans="1:28" ht="15" x14ac:dyDescent="0.2">
      <c r="A818" s="100"/>
      <c r="B818" s="101"/>
      <c r="C818" s="101"/>
      <c r="D818" s="101"/>
      <c r="E818" s="101"/>
      <c r="F818" s="101"/>
      <c r="G818" s="101"/>
      <c r="H818" s="101"/>
      <c r="I818" s="101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 spans="1:28" ht="15" x14ac:dyDescent="0.2">
      <c r="A819" s="100"/>
      <c r="B819" s="101"/>
      <c r="C819" s="101"/>
      <c r="D819" s="101"/>
      <c r="E819" s="101"/>
      <c r="F819" s="101"/>
      <c r="G819" s="101"/>
      <c r="H819" s="101"/>
      <c r="I819" s="101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 spans="1:28" ht="15" x14ac:dyDescent="0.2">
      <c r="A820" s="100"/>
      <c r="B820" s="101"/>
      <c r="C820" s="101"/>
      <c r="D820" s="101"/>
      <c r="E820" s="101"/>
      <c r="F820" s="101"/>
      <c r="G820" s="101"/>
      <c r="H820" s="101"/>
      <c r="I820" s="101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 spans="1:28" ht="15" x14ac:dyDescent="0.2">
      <c r="A821" s="100"/>
      <c r="B821" s="101"/>
      <c r="C821" s="101"/>
      <c r="D821" s="101"/>
      <c r="E821" s="101"/>
      <c r="F821" s="101"/>
      <c r="G821" s="101"/>
      <c r="H821" s="101"/>
      <c r="I821" s="101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 spans="1:28" ht="15" x14ac:dyDescent="0.2">
      <c r="A822" s="100"/>
      <c r="B822" s="101"/>
      <c r="C822" s="101"/>
      <c r="D822" s="101"/>
      <c r="E822" s="101"/>
      <c r="F822" s="101"/>
      <c r="G822" s="101"/>
      <c r="H822" s="101"/>
      <c r="I822" s="101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 spans="1:28" ht="15" x14ac:dyDescent="0.2">
      <c r="A823" s="100"/>
      <c r="B823" s="101"/>
      <c r="C823" s="101"/>
      <c r="D823" s="101"/>
      <c r="E823" s="101"/>
      <c r="F823" s="101"/>
      <c r="G823" s="101"/>
      <c r="H823" s="101"/>
      <c r="I823" s="101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 spans="1:28" ht="15" x14ac:dyDescent="0.2">
      <c r="A824" s="100"/>
      <c r="B824" s="101"/>
      <c r="C824" s="101"/>
      <c r="D824" s="101"/>
      <c r="E824" s="101"/>
      <c r="F824" s="101"/>
      <c r="G824" s="101"/>
      <c r="H824" s="101"/>
      <c r="I824" s="101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 spans="1:28" ht="15" x14ac:dyDescent="0.2">
      <c r="A825" s="100"/>
      <c r="B825" s="101"/>
      <c r="C825" s="101"/>
      <c r="D825" s="101"/>
      <c r="E825" s="101"/>
      <c r="F825" s="101"/>
      <c r="G825" s="101"/>
      <c r="H825" s="101"/>
      <c r="I825" s="101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 spans="1:28" ht="15" x14ac:dyDescent="0.2">
      <c r="A826" s="100"/>
      <c r="B826" s="101"/>
      <c r="C826" s="101"/>
      <c r="D826" s="101"/>
      <c r="E826" s="101"/>
      <c r="F826" s="101"/>
      <c r="G826" s="101"/>
      <c r="H826" s="101"/>
      <c r="I826" s="101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 spans="1:28" ht="15" x14ac:dyDescent="0.2">
      <c r="A827" s="100"/>
      <c r="B827" s="101"/>
      <c r="C827" s="101"/>
      <c r="D827" s="101"/>
      <c r="E827" s="101"/>
      <c r="F827" s="101"/>
      <c r="G827" s="101"/>
      <c r="H827" s="101"/>
      <c r="I827" s="101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 spans="1:28" ht="15" x14ac:dyDescent="0.2">
      <c r="A828" s="100"/>
      <c r="B828" s="101"/>
      <c r="C828" s="101"/>
      <c r="D828" s="101"/>
      <c r="E828" s="101"/>
      <c r="F828" s="101"/>
      <c r="G828" s="101"/>
      <c r="H828" s="101"/>
      <c r="I828" s="101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 spans="1:28" ht="15" x14ac:dyDescent="0.2">
      <c r="A829" s="100"/>
      <c r="B829" s="101"/>
      <c r="C829" s="101"/>
      <c r="D829" s="101"/>
      <c r="E829" s="101"/>
      <c r="F829" s="101"/>
      <c r="G829" s="101"/>
      <c r="H829" s="101"/>
      <c r="I829" s="101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 spans="1:28" ht="15" x14ac:dyDescent="0.2">
      <c r="A830" s="100"/>
      <c r="B830" s="101"/>
      <c r="C830" s="101"/>
      <c r="D830" s="101"/>
      <c r="E830" s="101"/>
      <c r="F830" s="101"/>
      <c r="G830" s="101"/>
      <c r="H830" s="101"/>
      <c r="I830" s="101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 spans="1:28" ht="15" x14ac:dyDescent="0.2">
      <c r="A831" s="100"/>
      <c r="B831" s="101"/>
      <c r="C831" s="101"/>
      <c r="D831" s="101"/>
      <c r="E831" s="101"/>
      <c r="F831" s="101"/>
      <c r="G831" s="101"/>
      <c r="H831" s="101"/>
      <c r="I831" s="101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 spans="1:28" ht="15" x14ac:dyDescent="0.2">
      <c r="A832" s="100"/>
      <c r="B832" s="101"/>
      <c r="C832" s="101"/>
      <c r="D832" s="101"/>
      <c r="E832" s="101"/>
      <c r="F832" s="101"/>
      <c r="G832" s="101"/>
      <c r="H832" s="101"/>
      <c r="I832" s="101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 spans="1:28" ht="15" x14ac:dyDescent="0.2">
      <c r="A833" s="100"/>
      <c r="B833" s="101"/>
      <c r="C833" s="101"/>
      <c r="D833" s="101"/>
      <c r="E833" s="101"/>
      <c r="F833" s="101"/>
      <c r="G833" s="101"/>
      <c r="H833" s="101"/>
      <c r="I833" s="101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 spans="1:28" ht="15" x14ac:dyDescent="0.2">
      <c r="A834" s="100"/>
      <c r="B834" s="101"/>
      <c r="C834" s="101"/>
      <c r="D834" s="101"/>
      <c r="E834" s="101"/>
      <c r="F834" s="101"/>
      <c r="G834" s="101"/>
      <c r="H834" s="101"/>
      <c r="I834" s="101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 spans="1:28" ht="15" x14ac:dyDescent="0.2">
      <c r="A835" s="100"/>
      <c r="B835" s="101"/>
      <c r="C835" s="101"/>
      <c r="D835" s="101"/>
      <c r="E835" s="101"/>
      <c r="F835" s="101"/>
      <c r="G835" s="101"/>
      <c r="H835" s="101"/>
      <c r="I835" s="101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 spans="1:28" ht="15" x14ac:dyDescent="0.2">
      <c r="A836" s="100"/>
      <c r="B836" s="101"/>
      <c r="C836" s="101"/>
      <c r="D836" s="101"/>
      <c r="E836" s="101"/>
      <c r="F836" s="101"/>
      <c r="G836" s="101"/>
      <c r="H836" s="101"/>
      <c r="I836" s="101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 spans="1:28" ht="15" x14ac:dyDescent="0.2">
      <c r="A837" s="100"/>
      <c r="B837" s="101"/>
      <c r="C837" s="101"/>
      <c r="D837" s="101"/>
      <c r="E837" s="101"/>
      <c r="F837" s="101"/>
      <c r="G837" s="101"/>
      <c r="H837" s="101"/>
      <c r="I837" s="101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 spans="1:28" ht="15" x14ac:dyDescent="0.2">
      <c r="A838" s="100"/>
      <c r="B838" s="101"/>
      <c r="C838" s="101"/>
      <c r="D838" s="101"/>
      <c r="E838" s="101"/>
      <c r="F838" s="101"/>
      <c r="G838" s="101"/>
      <c r="H838" s="101"/>
      <c r="I838" s="101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 spans="1:28" ht="15" x14ac:dyDescent="0.2">
      <c r="A839" s="100"/>
      <c r="B839" s="101"/>
      <c r="C839" s="101"/>
      <c r="D839" s="101"/>
      <c r="E839" s="101"/>
      <c r="F839" s="101"/>
      <c r="G839" s="101"/>
      <c r="H839" s="101"/>
      <c r="I839" s="101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 spans="1:28" ht="15" x14ac:dyDescent="0.2">
      <c r="A840" s="100"/>
      <c r="B840" s="101"/>
      <c r="C840" s="101"/>
      <c r="D840" s="101"/>
      <c r="E840" s="101"/>
      <c r="F840" s="101"/>
      <c r="G840" s="101"/>
      <c r="H840" s="101"/>
      <c r="I840" s="101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 spans="1:28" ht="15" x14ac:dyDescent="0.2">
      <c r="A841" s="100"/>
      <c r="B841" s="101"/>
      <c r="C841" s="101"/>
      <c r="D841" s="101"/>
      <c r="E841" s="101"/>
      <c r="F841" s="101"/>
      <c r="G841" s="101"/>
      <c r="H841" s="101"/>
      <c r="I841" s="101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 spans="1:28" ht="15" x14ac:dyDescent="0.2">
      <c r="A842" s="100"/>
      <c r="B842" s="101"/>
      <c r="C842" s="101"/>
      <c r="D842" s="101"/>
      <c r="E842" s="101"/>
      <c r="F842" s="101"/>
      <c r="G842" s="101"/>
      <c r="H842" s="101"/>
      <c r="I842" s="101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 spans="1:28" ht="15" x14ac:dyDescent="0.2">
      <c r="A843" s="100"/>
      <c r="B843" s="101"/>
      <c r="C843" s="101"/>
      <c r="D843" s="101"/>
      <c r="E843" s="101"/>
      <c r="F843" s="101"/>
      <c r="G843" s="101"/>
      <c r="H843" s="101"/>
      <c r="I843" s="101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 spans="1:28" ht="15" x14ac:dyDescent="0.2">
      <c r="A844" s="100"/>
      <c r="B844" s="101"/>
      <c r="C844" s="101"/>
      <c r="D844" s="101"/>
      <c r="E844" s="101"/>
      <c r="F844" s="101"/>
      <c r="G844" s="101"/>
      <c r="H844" s="101"/>
      <c r="I844" s="101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 spans="1:28" ht="15" x14ac:dyDescent="0.2">
      <c r="A845" s="100"/>
      <c r="B845" s="101"/>
      <c r="C845" s="101"/>
      <c r="D845" s="101"/>
      <c r="E845" s="101"/>
      <c r="F845" s="101"/>
      <c r="G845" s="101"/>
      <c r="H845" s="101"/>
      <c r="I845" s="101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 spans="1:28" ht="15" x14ac:dyDescent="0.2">
      <c r="A846" s="100"/>
      <c r="B846" s="101"/>
      <c r="C846" s="101"/>
      <c r="D846" s="101"/>
      <c r="E846" s="101"/>
      <c r="F846" s="101"/>
      <c r="G846" s="101"/>
      <c r="H846" s="101"/>
      <c r="I846" s="101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 spans="1:28" ht="15" x14ac:dyDescent="0.2">
      <c r="A847" s="100"/>
      <c r="B847" s="101"/>
      <c r="C847" s="101"/>
      <c r="D847" s="101"/>
      <c r="E847" s="101"/>
      <c r="F847" s="101"/>
      <c r="G847" s="101"/>
      <c r="H847" s="101"/>
      <c r="I847" s="101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 spans="1:28" ht="15" x14ac:dyDescent="0.2">
      <c r="A848" s="100"/>
      <c r="B848" s="101"/>
      <c r="C848" s="101"/>
      <c r="D848" s="101"/>
      <c r="E848" s="101"/>
      <c r="F848" s="101"/>
      <c r="G848" s="101"/>
      <c r="H848" s="101"/>
      <c r="I848" s="101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 spans="1:28" ht="15" x14ac:dyDescent="0.2">
      <c r="A849" s="100"/>
      <c r="B849" s="101"/>
      <c r="C849" s="101"/>
      <c r="D849" s="101"/>
      <c r="E849" s="101"/>
      <c r="F849" s="101"/>
      <c r="G849" s="101"/>
      <c r="H849" s="101"/>
      <c r="I849" s="101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 spans="1:28" ht="15" x14ac:dyDescent="0.2">
      <c r="A850" s="100"/>
      <c r="B850" s="101"/>
      <c r="C850" s="101"/>
      <c r="D850" s="101"/>
      <c r="E850" s="101"/>
      <c r="F850" s="101"/>
      <c r="G850" s="101"/>
      <c r="H850" s="101"/>
      <c r="I850" s="101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 spans="1:28" ht="15" x14ac:dyDescent="0.2">
      <c r="A851" s="100"/>
      <c r="B851" s="101"/>
      <c r="C851" s="101"/>
      <c r="D851" s="101"/>
      <c r="E851" s="101"/>
      <c r="F851" s="101"/>
      <c r="G851" s="101"/>
      <c r="H851" s="101"/>
      <c r="I851" s="101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 spans="1:28" ht="15" x14ac:dyDescent="0.2">
      <c r="A852" s="100"/>
      <c r="B852" s="101"/>
      <c r="C852" s="101"/>
      <c r="D852" s="101"/>
      <c r="E852" s="101"/>
      <c r="F852" s="101"/>
      <c r="G852" s="101"/>
      <c r="H852" s="101"/>
      <c r="I852" s="101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 spans="1:28" ht="15" x14ac:dyDescent="0.2">
      <c r="A853" s="100"/>
      <c r="B853" s="101"/>
      <c r="C853" s="101"/>
      <c r="D853" s="101"/>
      <c r="E853" s="101"/>
      <c r="F853" s="101"/>
      <c r="G853" s="101"/>
      <c r="H853" s="101"/>
      <c r="I853" s="101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 spans="1:28" ht="15" x14ac:dyDescent="0.2">
      <c r="A854" s="100"/>
      <c r="B854" s="101"/>
      <c r="C854" s="101"/>
      <c r="D854" s="101"/>
      <c r="E854" s="101"/>
      <c r="F854" s="101"/>
      <c r="G854" s="101"/>
      <c r="H854" s="101"/>
      <c r="I854" s="101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 spans="1:28" ht="15" x14ac:dyDescent="0.2">
      <c r="A855" s="100"/>
      <c r="B855" s="101"/>
      <c r="C855" s="101"/>
      <c r="D855" s="101"/>
      <c r="E855" s="101"/>
      <c r="F855" s="101"/>
      <c r="G855" s="101"/>
      <c r="H855" s="101"/>
      <c r="I855" s="101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 spans="1:28" ht="15" x14ac:dyDescent="0.2">
      <c r="A856" s="100"/>
      <c r="B856" s="101"/>
      <c r="C856" s="101"/>
      <c r="D856" s="101"/>
      <c r="E856" s="101"/>
      <c r="F856" s="101"/>
      <c r="G856" s="101"/>
      <c r="H856" s="101"/>
      <c r="I856" s="101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 spans="1:28" ht="15" x14ac:dyDescent="0.2">
      <c r="A857" s="100"/>
      <c r="B857" s="101"/>
      <c r="C857" s="101"/>
      <c r="D857" s="101"/>
      <c r="E857" s="101"/>
      <c r="F857" s="101"/>
      <c r="G857" s="101"/>
      <c r="H857" s="101"/>
      <c r="I857" s="101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 spans="1:28" ht="15" x14ac:dyDescent="0.2">
      <c r="A858" s="100"/>
      <c r="B858" s="101"/>
      <c r="C858" s="101"/>
      <c r="D858" s="101"/>
      <c r="E858" s="101"/>
      <c r="F858" s="101"/>
      <c r="G858" s="101"/>
      <c r="H858" s="101"/>
      <c r="I858" s="101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 spans="1:28" ht="15" x14ac:dyDescent="0.2">
      <c r="A859" s="100"/>
      <c r="B859" s="101"/>
      <c r="C859" s="101"/>
      <c r="D859" s="101"/>
      <c r="E859" s="101"/>
      <c r="F859" s="101"/>
      <c r="G859" s="101"/>
      <c r="H859" s="101"/>
      <c r="I859" s="101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 spans="1:28" ht="15" x14ac:dyDescent="0.2">
      <c r="A860" s="100"/>
      <c r="B860" s="101"/>
      <c r="C860" s="101"/>
      <c r="D860" s="101"/>
      <c r="E860" s="101"/>
      <c r="F860" s="101"/>
      <c r="G860" s="101"/>
      <c r="H860" s="101"/>
      <c r="I860" s="101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 spans="1:28" ht="15" x14ac:dyDescent="0.2">
      <c r="A861" s="100"/>
      <c r="B861" s="101"/>
      <c r="C861" s="101"/>
      <c r="D861" s="101"/>
      <c r="E861" s="101"/>
      <c r="F861" s="101"/>
      <c r="G861" s="101"/>
      <c r="H861" s="101"/>
      <c r="I861" s="101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 spans="1:28" ht="15" x14ac:dyDescent="0.2">
      <c r="A862" s="100"/>
      <c r="B862" s="101"/>
      <c r="C862" s="101"/>
      <c r="D862" s="101"/>
      <c r="E862" s="101"/>
      <c r="F862" s="101"/>
      <c r="G862" s="101"/>
      <c r="H862" s="101"/>
      <c r="I862" s="101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 spans="1:28" ht="15" x14ac:dyDescent="0.2">
      <c r="A863" s="100"/>
      <c r="B863" s="101"/>
      <c r="C863" s="101"/>
      <c r="D863" s="101"/>
      <c r="E863" s="101"/>
      <c r="F863" s="101"/>
      <c r="G863" s="101"/>
      <c r="H863" s="101"/>
      <c r="I863" s="101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 spans="1:28" ht="15" x14ac:dyDescent="0.2">
      <c r="A864" s="100"/>
      <c r="B864" s="101"/>
      <c r="C864" s="101"/>
      <c r="D864" s="101"/>
      <c r="E864" s="101"/>
      <c r="F864" s="101"/>
      <c r="G864" s="101"/>
      <c r="H864" s="101"/>
      <c r="I864" s="101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 spans="1:28" ht="15" x14ac:dyDescent="0.2">
      <c r="A865" s="100"/>
      <c r="B865" s="101"/>
      <c r="C865" s="101"/>
      <c r="D865" s="101"/>
      <c r="E865" s="101"/>
      <c r="F865" s="101"/>
      <c r="G865" s="101"/>
      <c r="H865" s="101"/>
      <c r="I865" s="101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 spans="1:28" ht="15" x14ac:dyDescent="0.2">
      <c r="A866" s="100"/>
      <c r="B866" s="101"/>
      <c r="C866" s="101"/>
      <c r="D866" s="101"/>
      <c r="E866" s="101"/>
      <c r="F866" s="101"/>
      <c r="G866" s="101"/>
      <c r="H866" s="101"/>
      <c r="I866" s="101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 spans="1:28" ht="15" x14ac:dyDescent="0.2">
      <c r="A867" s="100"/>
      <c r="B867" s="101"/>
      <c r="C867" s="101"/>
      <c r="D867" s="101"/>
      <c r="E867" s="101"/>
      <c r="F867" s="101"/>
      <c r="G867" s="101"/>
      <c r="H867" s="101"/>
      <c r="I867" s="101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 spans="1:28" ht="15" x14ac:dyDescent="0.2">
      <c r="A868" s="100"/>
      <c r="B868" s="101"/>
      <c r="C868" s="101"/>
      <c r="D868" s="101"/>
      <c r="E868" s="101"/>
      <c r="F868" s="101"/>
      <c r="G868" s="101"/>
      <c r="H868" s="101"/>
      <c r="I868" s="101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 spans="1:28" ht="15" x14ac:dyDescent="0.2">
      <c r="A869" s="100"/>
      <c r="B869" s="101"/>
      <c r="C869" s="101"/>
      <c r="D869" s="101"/>
      <c r="E869" s="101"/>
      <c r="F869" s="101"/>
      <c r="G869" s="101"/>
      <c r="H869" s="101"/>
      <c r="I869" s="101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 spans="1:28" ht="15" x14ac:dyDescent="0.2">
      <c r="A870" s="100"/>
      <c r="B870" s="101"/>
      <c r="C870" s="101"/>
      <c r="D870" s="101"/>
      <c r="E870" s="101"/>
      <c r="F870" s="101"/>
      <c r="G870" s="101"/>
      <c r="H870" s="101"/>
      <c r="I870" s="101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 spans="1:28" ht="15" x14ac:dyDescent="0.2">
      <c r="A871" s="100"/>
      <c r="B871" s="101"/>
      <c r="C871" s="101"/>
      <c r="D871" s="101"/>
      <c r="E871" s="101"/>
      <c r="F871" s="101"/>
      <c r="G871" s="101"/>
      <c r="H871" s="101"/>
      <c r="I871" s="101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 spans="1:28" ht="15" x14ac:dyDescent="0.2">
      <c r="A872" s="100"/>
      <c r="B872" s="101"/>
      <c r="C872" s="101"/>
      <c r="D872" s="101"/>
      <c r="E872" s="101"/>
      <c r="F872" s="101"/>
      <c r="G872" s="101"/>
      <c r="H872" s="101"/>
      <c r="I872" s="101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 spans="1:28" ht="15" x14ac:dyDescent="0.2">
      <c r="A873" s="100"/>
      <c r="B873" s="101"/>
      <c r="C873" s="101"/>
      <c r="D873" s="101"/>
      <c r="E873" s="101"/>
      <c r="F873" s="101"/>
      <c r="G873" s="101"/>
      <c r="H873" s="101"/>
      <c r="I873" s="101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 spans="1:28" ht="15" x14ac:dyDescent="0.2">
      <c r="A874" s="100"/>
      <c r="B874" s="101"/>
      <c r="C874" s="101"/>
      <c r="D874" s="101"/>
      <c r="E874" s="101"/>
      <c r="F874" s="101"/>
      <c r="G874" s="101"/>
      <c r="H874" s="101"/>
      <c r="I874" s="101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 spans="1:28" ht="15" x14ac:dyDescent="0.2">
      <c r="A875" s="100"/>
      <c r="B875" s="101"/>
      <c r="C875" s="101"/>
      <c r="D875" s="101"/>
      <c r="E875" s="101"/>
      <c r="F875" s="101"/>
      <c r="G875" s="101"/>
      <c r="H875" s="101"/>
      <c r="I875" s="101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 spans="1:28" ht="15" x14ac:dyDescent="0.2">
      <c r="A876" s="100"/>
      <c r="B876" s="101"/>
      <c r="C876" s="101"/>
      <c r="D876" s="101"/>
      <c r="E876" s="101"/>
      <c r="F876" s="101"/>
      <c r="G876" s="101"/>
      <c r="H876" s="101"/>
      <c r="I876" s="101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 spans="1:28" ht="15" x14ac:dyDescent="0.2">
      <c r="A877" s="100"/>
      <c r="B877" s="101"/>
      <c r="C877" s="101"/>
      <c r="D877" s="101"/>
      <c r="E877" s="101"/>
      <c r="F877" s="101"/>
      <c r="G877" s="101"/>
      <c r="H877" s="101"/>
      <c r="I877" s="101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 spans="1:28" ht="15" x14ac:dyDescent="0.2">
      <c r="A878" s="100"/>
      <c r="B878" s="101"/>
      <c r="C878" s="101"/>
      <c r="D878" s="101"/>
      <c r="E878" s="101"/>
      <c r="F878" s="101"/>
      <c r="G878" s="101"/>
      <c r="H878" s="101"/>
      <c r="I878" s="101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 spans="1:28" ht="15" x14ac:dyDescent="0.2">
      <c r="A879" s="100"/>
      <c r="B879" s="101"/>
      <c r="C879" s="101"/>
      <c r="D879" s="101"/>
      <c r="E879" s="101"/>
      <c r="F879" s="101"/>
      <c r="G879" s="101"/>
      <c r="H879" s="101"/>
      <c r="I879" s="101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 spans="1:28" ht="15" x14ac:dyDescent="0.2">
      <c r="A880" s="100"/>
      <c r="B880" s="101"/>
      <c r="C880" s="101"/>
      <c r="D880" s="101"/>
      <c r="E880" s="101"/>
      <c r="F880" s="101"/>
      <c r="G880" s="101"/>
      <c r="H880" s="101"/>
      <c r="I880" s="101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 spans="1:28" ht="15" x14ac:dyDescent="0.2">
      <c r="A881" s="100"/>
      <c r="B881" s="101"/>
      <c r="C881" s="101"/>
      <c r="D881" s="101"/>
      <c r="E881" s="101"/>
      <c r="F881" s="101"/>
      <c r="G881" s="101"/>
      <c r="H881" s="101"/>
      <c r="I881" s="101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 spans="1:28" ht="15" x14ac:dyDescent="0.2">
      <c r="A882" s="100"/>
      <c r="B882" s="101"/>
      <c r="C882" s="101"/>
      <c r="D882" s="101"/>
      <c r="E882" s="101"/>
      <c r="F882" s="101"/>
      <c r="G882" s="101"/>
      <c r="H882" s="101"/>
      <c r="I882" s="101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 spans="1:28" ht="15" x14ac:dyDescent="0.2">
      <c r="A883" s="100"/>
      <c r="B883" s="101"/>
      <c r="C883" s="101"/>
      <c r="D883" s="101"/>
      <c r="E883" s="101"/>
      <c r="F883" s="101"/>
      <c r="G883" s="101"/>
      <c r="H883" s="101"/>
      <c r="I883" s="101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 spans="1:28" ht="15" x14ac:dyDescent="0.2">
      <c r="A884" s="100"/>
      <c r="B884" s="101"/>
      <c r="C884" s="101"/>
      <c r="D884" s="101"/>
      <c r="E884" s="101"/>
      <c r="F884" s="101"/>
      <c r="G884" s="101"/>
      <c r="H884" s="101"/>
      <c r="I884" s="101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 spans="1:28" ht="15" x14ac:dyDescent="0.2">
      <c r="A885" s="100"/>
      <c r="B885" s="101"/>
      <c r="C885" s="101"/>
      <c r="D885" s="101"/>
      <c r="E885" s="101"/>
      <c r="F885" s="101"/>
      <c r="G885" s="101"/>
      <c r="H885" s="101"/>
      <c r="I885" s="101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 spans="1:28" ht="15" x14ac:dyDescent="0.2">
      <c r="A886" s="100"/>
      <c r="B886" s="101"/>
      <c r="C886" s="101"/>
      <c r="D886" s="101"/>
      <c r="E886" s="101"/>
      <c r="F886" s="101"/>
      <c r="G886" s="101"/>
      <c r="H886" s="101"/>
      <c r="I886" s="101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 spans="1:28" ht="15" x14ac:dyDescent="0.2">
      <c r="A887" s="100"/>
      <c r="B887" s="101"/>
      <c r="C887" s="101"/>
      <c r="D887" s="101"/>
      <c r="E887" s="101"/>
      <c r="F887" s="101"/>
      <c r="G887" s="101"/>
      <c r="H887" s="101"/>
      <c r="I887" s="101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 spans="1:28" ht="15" x14ac:dyDescent="0.2">
      <c r="A888" s="100"/>
      <c r="B888" s="101"/>
      <c r="C888" s="101"/>
      <c r="D888" s="101"/>
      <c r="E888" s="101"/>
      <c r="F888" s="101"/>
      <c r="G888" s="101"/>
      <c r="H888" s="101"/>
      <c r="I888" s="101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 spans="1:28" ht="15" x14ac:dyDescent="0.2">
      <c r="A889" s="100"/>
      <c r="B889" s="101"/>
      <c r="C889" s="101"/>
      <c r="D889" s="101"/>
      <c r="E889" s="101"/>
      <c r="F889" s="101"/>
      <c r="G889" s="101"/>
      <c r="H889" s="101"/>
      <c r="I889" s="101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 spans="1:28" ht="15" x14ac:dyDescent="0.2">
      <c r="A890" s="100"/>
      <c r="B890" s="101"/>
      <c r="C890" s="101"/>
      <c r="D890" s="101"/>
      <c r="E890" s="101"/>
      <c r="F890" s="101"/>
      <c r="G890" s="101"/>
      <c r="H890" s="101"/>
      <c r="I890" s="101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 spans="1:28" ht="15" x14ac:dyDescent="0.2">
      <c r="A891" s="100"/>
      <c r="B891" s="101"/>
      <c r="C891" s="101"/>
      <c r="D891" s="101"/>
      <c r="E891" s="101"/>
      <c r="F891" s="101"/>
      <c r="G891" s="101"/>
      <c r="H891" s="101"/>
      <c r="I891" s="101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 spans="1:28" ht="15" x14ac:dyDescent="0.2">
      <c r="A892" s="100"/>
      <c r="B892" s="101"/>
      <c r="C892" s="101"/>
      <c r="D892" s="101"/>
      <c r="E892" s="101"/>
      <c r="F892" s="101"/>
      <c r="G892" s="101"/>
      <c r="H892" s="101"/>
      <c r="I892" s="101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 spans="1:28" ht="15" x14ac:dyDescent="0.2">
      <c r="A893" s="100"/>
      <c r="B893" s="101"/>
      <c r="C893" s="101"/>
      <c r="D893" s="101"/>
      <c r="E893" s="101"/>
      <c r="F893" s="101"/>
      <c r="G893" s="101"/>
      <c r="H893" s="101"/>
      <c r="I893" s="101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 spans="1:28" ht="15" x14ac:dyDescent="0.2">
      <c r="A894" s="100"/>
      <c r="B894" s="101"/>
      <c r="C894" s="101"/>
      <c r="D894" s="101"/>
      <c r="E894" s="101"/>
      <c r="F894" s="101"/>
      <c r="G894" s="101"/>
      <c r="H894" s="101"/>
      <c r="I894" s="101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 spans="1:28" ht="15" x14ac:dyDescent="0.2">
      <c r="A895" s="100"/>
      <c r="B895" s="101"/>
      <c r="C895" s="101"/>
      <c r="D895" s="101"/>
      <c r="E895" s="101"/>
      <c r="F895" s="101"/>
      <c r="G895" s="101"/>
      <c r="H895" s="101"/>
      <c r="I895" s="101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 spans="1:28" ht="15" x14ac:dyDescent="0.2">
      <c r="A896" s="100"/>
      <c r="B896" s="101"/>
      <c r="C896" s="101"/>
      <c r="D896" s="101"/>
      <c r="E896" s="101"/>
      <c r="F896" s="101"/>
      <c r="G896" s="101"/>
      <c r="H896" s="101"/>
      <c r="I896" s="101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 spans="1:28" ht="15" x14ac:dyDescent="0.2">
      <c r="A897" s="100"/>
      <c r="B897" s="101"/>
      <c r="C897" s="101"/>
      <c r="D897" s="101"/>
      <c r="E897" s="101"/>
      <c r="F897" s="101"/>
      <c r="G897" s="101"/>
      <c r="H897" s="101"/>
      <c r="I897" s="101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 spans="1:28" ht="15" x14ac:dyDescent="0.2">
      <c r="A898" s="100"/>
      <c r="B898" s="101"/>
      <c r="C898" s="101"/>
      <c r="D898" s="101"/>
      <c r="E898" s="101"/>
      <c r="F898" s="101"/>
      <c r="G898" s="101"/>
      <c r="H898" s="101"/>
      <c r="I898" s="101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 spans="1:28" ht="15" x14ac:dyDescent="0.2">
      <c r="A899" s="100"/>
      <c r="B899" s="101"/>
      <c r="C899" s="101"/>
      <c r="D899" s="101"/>
      <c r="E899" s="101"/>
      <c r="F899" s="101"/>
      <c r="G899" s="101"/>
      <c r="H899" s="101"/>
      <c r="I899" s="101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 spans="1:28" ht="15" x14ac:dyDescent="0.2">
      <c r="A900" s="100"/>
      <c r="B900" s="101"/>
      <c r="C900" s="101"/>
      <c r="D900" s="101"/>
      <c r="E900" s="101"/>
      <c r="F900" s="101"/>
      <c r="G900" s="101"/>
      <c r="H900" s="101"/>
      <c r="I900" s="101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 spans="1:28" ht="15" x14ac:dyDescent="0.2">
      <c r="A901" s="100"/>
      <c r="B901" s="101"/>
      <c r="C901" s="101"/>
      <c r="D901" s="101"/>
      <c r="E901" s="101"/>
      <c r="F901" s="101"/>
      <c r="G901" s="101"/>
      <c r="H901" s="101"/>
      <c r="I901" s="101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 spans="1:28" ht="15" x14ac:dyDescent="0.2">
      <c r="A902" s="100"/>
      <c r="B902" s="101"/>
      <c r="C902" s="101"/>
      <c r="D902" s="101"/>
      <c r="E902" s="101"/>
      <c r="F902" s="101"/>
      <c r="G902" s="101"/>
      <c r="H902" s="101"/>
      <c r="I902" s="101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 spans="1:28" ht="15" x14ac:dyDescent="0.2">
      <c r="A903" s="100"/>
      <c r="B903" s="101"/>
      <c r="C903" s="101"/>
      <c r="D903" s="101"/>
      <c r="E903" s="101"/>
      <c r="F903" s="101"/>
      <c r="G903" s="101"/>
      <c r="H903" s="101"/>
      <c r="I903" s="101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 spans="1:28" ht="15" x14ac:dyDescent="0.2">
      <c r="A904" s="100"/>
      <c r="B904" s="101"/>
      <c r="C904" s="101"/>
      <c r="D904" s="101"/>
      <c r="E904" s="101"/>
      <c r="F904" s="101"/>
      <c r="G904" s="101"/>
      <c r="H904" s="101"/>
      <c r="I904" s="101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 spans="1:28" ht="15" x14ac:dyDescent="0.2">
      <c r="A905" s="100"/>
      <c r="B905" s="101"/>
      <c r="C905" s="101"/>
      <c r="D905" s="101"/>
      <c r="E905" s="101"/>
      <c r="F905" s="101"/>
      <c r="G905" s="101"/>
      <c r="H905" s="101"/>
      <c r="I905" s="101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 spans="1:28" ht="15" x14ac:dyDescent="0.2">
      <c r="A906" s="100"/>
      <c r="B906" s="101"/>
      <c r="C906" s="101"/>
      <c r="D906" s="101"/>
      <c r="E906" s="101"/>
      <c r="F906" s="101"/>
      <c r="G906" s="101"/>
      <c r="H906" s="101"/>
      <c r="I906" s="101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 spans="1:28" ht="15" x14ac:dyDescent="0.2">
      <c r="A907" s="100"/>
      <c r="B907" s="101"/>
      <c r="C907" s="101"/>
      <c r="D907" s="101"/>
      <c r="E907" s="101"/>
      <c r="F907" s="101"/>
      <c r="G907" s="101"/>
      <c r="H907" s="101"/>
      <c r="I907" s="101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 spans="1:28" ht="15" x14ac:dyDescent="0.2">
      <c r="A908" s="100"/>
      <c r="B908" s="101"/>
      <c r="C908" s="101"/>
      <c r="D908" s="101"/>
      <c r="E908" s="101"/>
      <c r="F908" s="101"/>
      <c r="G908" s="101"/>
      <c r="H908" s="101"/>
      <c r="I908" s="101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 spans="1:28" ht="15" x14ac:dyDescent="0.2">
      <c r="A909" s="100"/>
      <c r="B909" s="101"/>
      <c r="C909" s="101"/>
      <c r="D909" s="101"/>
      <c r="E909" s="101"/>
      <c r="F909" s="101"/>
      <c r="G909" s="101"/>
      <c r="H909" s="101"/>
      <c r="I909" s="101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 spans="1:28" ht="15" x14ac:dyDescent="0.2">
      <c r="A910" s="100"/>
      <c r="B910" s="101"/>
      <c r="C910" s="101"/>
      <c r="D910" s="101"/>
      <c r="E910" s="101"/>
      <c r="F910" s="101"/>
      <c r="G910" s="101"/>
      <c r="H910" s="101"/>
      <c r="I910" s="101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 spans="1:28" ht="15" x14ac:dyDescent="0.2">
      <c r="A911" s="100"/>
      <c r="B911" s="101"/>
      <c r="C911" s="101"/>
      <c r="D911" s="101"/>
      <c r="E911" s="101"/>
      <c r="F911" s="101"/>
      <c r="G911" s="101"/>
      <c r="H911" s="101"/>
      <c r="I911" s="101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 spans="1:28" ht="15" x14ac:dyDescent="0.2">
      <c r="A912" s="100"/>
      <c r="B912" s="101"/>
      <c r="C912" s="101"/>
      <c r="D912" s="101"/>
      <c r="E912" s="101"/>
      <c r="F912" s="101"/>
      <c r="G912" s="101"/>
      <c r="H912" s="101"/>
      <c r="I912" s="101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 spans="1:28" ht="15" x14ac:dyDescent="0.2">
      <c r="A913" s="100"/>
      <c r="B913" s="101"/>
      <c r="C913" s="101"/>
      <c r="D913" s="101"/>
      <c r="E913" s="101"/>
      <c r="F913" s="101"/>
      <c r="G913" s="101"/>
      <c r="H913" s="101"/>
      <c r="I913" s="101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 spans="1:28" ht="15" x14ac:dyDescent="0.2">
      <c r="A914" s="100"/>
      <c r="B914" s="101"/>
      <c r="C914" s="101"/>
      <c r="D914" s="101"/>
      <c r="E914" s="101"/>
      <c r="F914" s="101"/>
      <c r="G914" s="101"/>
      <c r="H914" s="101"/>
      <c r="I914" s="101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 spans="1:28" ht="15" x14ac:dyDescent="0.2">
      <c r="A915" s="100"/>
      <c r="B915" s="101"/>
      <c r="C915" s="101"/>
      <c r="D915" s="101"/>
      <c r="E915" s="101"/>
      <c r="F915" s="101"/>
      <c r="G915" s="101"/>
      <c r="H915" s="101"/>
      <c r="I915" s="101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 spans="1:28" ht="15" x14ac:dyDescent="0.2">
      <c r="A916" s="100"/>
      <c r="B916" s="101"/>
      <c r="C916" s="101"/>
      <c r="D916" s="101"/>
      <c r="E916" s="101"/>
      <c r="F916" s="101"/>
      <c r="G916" s="101"/>
      <c r="H916" s="101"/>
      <c r="I916" s="101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 spans="1:28" ht="15" x14ac:dyDescent="0.2">
      <c r="A917" s="100"/>
      <c r="B917" s="101"/>
      <c r="C917" s="101"/>
      <c r="D917" s="101"/>
      <c r="E917" s="101"/>
      <c r="F917" s="101"/>
      <c r="G917" s="101"/>
      <c r="H917" s="101"/>
      <c r="I917" s="101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 spans="1:28" ht="15" x14ac:dyDescent="0.2">
      <c r="A918" s="100"/>
      <c r="B918" s="101"/>
      <c r="C918" s="101"/>
      <c r="D918" s="101"/>
      <c r="E918" s="101"/>
      <c r="F918" s="101"/>
      <c r="G918" s="101"/>
      <c r="H918" s="101"/>
      <c r="I918" s="101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 spans="1:28" ht="15" x14ac:dyDescent="0.2">
      <c r="A919" s="100"/>
      <c r="B919" s="101"/>
      <c r="C919" s="101"/>
      <c r="D919" s="101"/>
      <c r="E919" s="101"/>
      <c r="F919" s="101"/>
      <c r="G919" s="101"/>
      <c r="H919" s="101"/>
      <c r="I919" s="101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 spans="1:28" ht="15" x14ac:dyDescent="0.2">
      <c r="A920" s="100"/>
      <c r="B920" s="101"/>
      <c r="C920" s="101"/>
      <c r="D920" s="101"/>
      <c r="E920" s="101"/>
      <c r="F920" s="101"/>
      <c r="G920" s="101"/>
      <c r="H920" s="101"/>
      <c r="I920" s="101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 spans="1:28" ht="15" x14ac:dyDescent="0.2">
      <c r="A921" s="100"/>
      <c r="B921" s="101"/>
      <c r="C921" s="101"/>
      <c r="D921" s="101"/>
      <c r="E921" s="101"/>
      <c r="F921" s="101"/>
      <c r="G921" s="101"/>
      <c r="H921" s="101"/>
      <c r="I921" s="101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 spans="1:28" ht="15" x14ac:dyDescent="0.2">
      <c r="A922" s="100"/>
      <c r="B922" s="101"/>
      <c r="C922" s="101"/>
      <c r="D922" s="101"/>
      <c r="E922" s="101"/>
      <c r="F922" s="101"/>
      <c r="G922" s="101"/>
      <c r="H922" s="101"/>
      <c r="I922" s="101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 spans="1:28" ht="15" x14ac:dyDescent="0.2">
      <c r="A923" s="100"/>
      <c r="B923" s="101"/>
      <c r="C923" s="101"/>
      <c r="D923" s="101"/>
      <c r="E923" s="101"/>
      <c r="F923" s="101"/>
      <c r="G923" s="101"/>
      <c r="H923" s="101"/>
      <c r="I923" s="101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 spans="1:28" ht="15" x14ac:dyDescent="0.2">
      <c r="A924" s="100"/>
      <c r="B924" s="101"/>
      <c r="C924" s="101"/>
      <c r="D924" s="101"/>
      <c r="E924" s="101"/>
      <c r="F924" s="101"/>
      <c r="G924" s="101"/>
      <c r="H924" s="101"/>
      <c r="I924" s="101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 spans="1:28" ht="15" x14ac:dyDescent="0.2">
      <c r="A925" s="100"/>
      <c r="B925" s="101"/>
      <c r="C925" s="101"/>
      <c r="D925" s="101"/>
      <c r="E925" s="101"/>
      <c r="F925" s="101"/>
      <c r="G925" s="101"/>
      <c r="H925" s="101"/>
      <c r="I925" s="101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 spans="1:28" ht="15" x14ac:dyDescent="0.2">
      <c r="A926" s="100"/>
      <c r="B926" s="101"/>
      <c r="C926" s="101"/>
      <c r="D926" s="101"/>
      <c r="E926" s="101"/>
      <c r="F926" s="101"/>
      <c r="G926" s="101"/>
      <c r="H926" s="101"/>
      <c r="I926" s="101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 spans="1:28" ht="15" x14ac:dyDescent="0.2">
      <c r="A927" s="100"/>
      <c r="B927" s="101"/>
      <c r="C927" s="101"/>
      <c r="D927" s="101"/>
      <c r="E927" s="101"/>
      <c r="F927" s="101"/>
      <c r="G927" s="101"/>
      <c r="H927" s="101"/>
      <c r="I927" s="101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 spans="1:28" ht="15" x14ac:dyDescent="0.2">
      <c r="A928" s="100"/>
      <c r="B928" s="101"/>
      <c r="C928" s="101"/>
      <c r="D928" s="101"/>
      <c r="E928" s="101"/>
      <c r="F928" s="101"/>
      <c r="G928" s="101"/>
      <c r="H928" s="101"/>
      <c r="I928" s="101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 spans="1:28" ht="15" x14ac:dyDescent="0.2">
      <c r="A929" s="100"/>
      <c r="B929" s="101"/>
      <c r="C929" s="101"/>
      <c r="D929" s="101"/>
      <c r="E929" s="101"/>
      <c r="F929" s="101"/>
      <c r="G929" s="101"/>
      <c r="H929" s="101"/>
      <c r="I929" s="101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 spans="1:28" ht="15" x14ac:dyDescent="0.2">
      <c r="A930" s="100"/>
      <c r="B930" s="101"/>
      <c r="C930" s="101"/>
      <c r="D930" s="101"/>
      <c r="E930" s="101"/>
      <c r="F930" s="101"/>
      <c r="G930" s="101"/>
      <c r="H930" s="101"/>
      <c r="I930" s="101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 spans="1:28" ht="15" x14ac:dyDescent="0.2">
      <c r="A931" s="100"/>
      <c r="B931" s="101"/>
      <c r="C931" s="101"/>
      <c r="D931" s="101"/>
      <c r="E931" s="101"/>
      <c r="F931" s="101"/>
      <c r="G931" s="101"/>
      <c r="H931" s="101"/>
      <c r="I931" s="101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 spans="1:28" ht="15" x14ac:dyDescent="0.2">
      <c r="A932" s="100"/>
      <c r="B932" s="101"/>
      <c r="C932" s="101"/>
      <c r="D932" s="101"/>
      <c r="E932" s="101"/>
      <c r="F932" s="101"/>
      <c r="G932" s="101"/>
      <c r="H932" s="101"/>
      <c r="I932" s="101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 spans="1:28" ht="15" x14ac:dyDescent="0.2">
      <c r="A933" s="100"/>
      <c r="B933" s="101"/>
      <c r="C933" s="101"/>
      <c r="D933" s="101"/>
      <c r="E933" s="101"/>
      <c r="F933" s="101"/>
      <c r="G933" s="101"/>
      <c r="H933" s="101"/>
      <c r="I933" s="101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 spans="1:28" ht="15" x14ac:dyDescent="0.2">
      <c r="A934" s="100"/>
      <c r="B934" s="101"/>
      <c r="C934" s="101"/>
      <c r="D934" s="101"/>
      <c r="E934" s="101"/>
      <c r="F934" s="101"/>
      <c r="G934" s="101"/>
      <c r="H934" s="101"/>
      <c r="I934" s="101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 spans="1:28" ht="15" x14ac:dyDescent="0.2">
      <c r="A935" s="100"/>
      <c r="B935" s="101"/>
      <c r="C935" s="101"/>
      <c r="D935" s="101"/>
      <c r="E935" s="101"/>
      <c r="F935" s="101"/>
      <c r="G935" s="101"/>
      <c r="H935" s="101"/>
      <c r="I935" s="101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 spans="1:28" ht="15" x14ac:dyDescent="0.2">
      <c r="A936" s="100"/>
      <c r="B936" s="101"/>
      <c r="C936" s="101"/>
      <c r="D936" s="101"/>
      <c r="E936" s="101"/>
      <c r="F936" s="101"/>
      <c r="G936" s="101"/>
      <c r="H936" s="101"/>
      <c r="I936" s="101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 spans="1:28" ht="15" x14ac:dyDescent="0.2">
      <c r="A937" s="100"/>
      <c r="B937" s="101"/>
      <c r="C937" s="101"/>
      <c r="D937" s="101"/>
      <c r="E937" s="101"/>
      <c r="F937" s="101"/>
      <c r="G937" s="101"/>
      <c r="H937" s="101"/>
      <c r="I937" s="101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 spans="1:28" ht="15" x14ac:dyDescent="0.2">
      <c r="A938" s="100"/>
      <c r="B938" s="101"/>
      <c r="C938" s="101"/>
      <c r="D938" s="101"/>
      <c r="E938" s="101"/>
      <c r="F938" s="101"/>
      <c r="G938" s="101"/>
      <c r="H938" s="101"/>
      <c r="I938" s="101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 spans="1:28" ht="15" x14ac:dyDescent="0.2">
      <c r="A939" s="100"/>
      <c r="B939" s="101"/>
      <c r="C939" s="101"/>
      <c r="D939" s="101"/>
      <c r="E939" s="101"/>
      <c r="F939" s="101"/>
      <c r="G939" s="101"/>
      <c r="H939" s="101"/>
      <c r="I939" s="101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 spans="1:28" ht="15" x14ac:dyDescent="0.2">
      <c r="A940" s="100"/>
      <c r="B940" s="101"/>
      <c r="C940" s="101"/>
      <c r="D940" s="101"/>
      <c r="E940" s="101"/>
      <c r="F940" s="101"/>
      <c r="G940" s="101"/>
      <c r="H940" s="101"/>
      <c r="I940" s="101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 spans="1:28" ht="15" x14ac:dyDescent="0.2">
      <c r="A941" s="100"/>
      <c r="B941" s="101"/>
      <c r="C941" s="101"/>
      <c r="D941" s="101"/>
      <c r="E941" s="101"/>
      <c r="F941" s="101"/>
      <c r="G941" s="101"/>
      <c r="H941" s="101"/>
      <c r="I941" s="101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 spans="1:28" ht="15" x14ac:dyDescent="0.2">
      <c r="A942" s="100"/>
      <c r="B942" s="101"/>
      <c r="C942" s="101"/>
      <c r="D942" s="101"/>
      <c r="E942" s="101"/>
      <c r="F942" s="101"/>
      <c r="G942" s="101"/>
      <c r="H942" s="101"/>
      <c r="I942" s="101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 spans="1:28" ht="15" x14ac:dyDescent="0.2">
      <c r="A943" s="100"/>
      <c r="B943" s="101"/>
      <c r="C943" s="101"/>
      <c r="D943" s="101"/>
      <c r="E943" s="101"/>
      <c r="F943" s="101"/>
      <c r="G943" s="101"/>
      <c r="H943" s="101"/>
      <c r="I943" s="101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 spans="1:28" ht="15" x14ac:dyDescent="0.2">
      <c r="A944" s="100"/>
      <c r="B944" s="101"/>
      <c r="C944" s="101"/>
      <c r="D944" s="101"/>
      <c r="E944" s="101"/>
      <c r="F944" s="101"/>
      <c r="G944" s="101"/>
      <c r="H944" s="101"/>
      <c r="I944" s="101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 spans="1:28" ht="15" x14ac:dyDescent="0.2">
      <c r="A945" s="100"/>
      <c r="B945" s="101"/>
      <c r="C945" s="101"/>
      <c r="D945" s="101"/>
      <c r="E945" s="101"/>
      <c r="F945" s="101"/>
      <c r="G945" s="101"/>
      <c r="H945" s="101"/>
      <c r="I945" s="101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 spans="1:28" ht="15" x14ac:dyDescent="0.2">
      <c r="A946" s="100"/>
      <c r="B946" s="101"/>
      <c r="C946" s="101"/>
      <c r="D946" s="101"/>
      <c r="E946" s="101"/>
      <c r="F946" s="101"/>
      <c r="G946" s="101"/>
      <c r="H946" s="101"/>
      <c r="I946" s="101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 spans="1:28" ht="15" x14ac:dyDescent="0.2">
      <c r="A947" s="100"/>
      <c r="B947" s="101"/>
      <c r="C947" s="101"/>
      <c r="D947" s="101"/>
      <c r="E947" s="101"/>
      <c r="F947" s="101"/>
      <c r="G947" s="101"/>
      <c r="H947" s="101"/>
      <c r="I947" s="101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 spans="1:28" ht="15" x14ac:dyDescent="0.2">
      <c r="A948" s="100"/>
      <c r="B948" s="101"/>
      <c r="C948" s="101"/>
      <c r="D948" s="101"/>
      <c r="E948" s="101"/>
      <c r="F948" s="101"/>
      <c r="G948" s="101"/>
      <c r="H948" s="101"/>
      <c r="I948" s="101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 spans="1:28" ht="15" x14ac:dyDescent="0.2">
      <c r="A949" s="100"/>
      <c r="B949" s="101"/>
      <c r="C949" s="101"/>
      <c r="D949" s="101"/>
      <c r="E949" s="101"/>
      <c r="F949" s="101"/>
      <c r="G949" s="101"/>
      <c r="H949" s="101"/>
      <c r="I949" s="101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 spans="1:28" ht="15" x14ac:dyDescent="0.2">
      <c r="A950" s="100"/>
      <c r="B950" s="101"/>
      <c r="C950" s="101"/>
      <c r="D950" s="101"/>
      <c r="E950" s="101"/>
      <c r="F950" s="101"/>
      <c r="G950" s="101"/>
      <c r="H950" s="101"/>
      <c r="I950" s="101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 spans="1:28" ht="15" x14ac:dyDescent="0.2">
      <c r="A951" s="100"/>
      <c r="B951" s="101"/>
      <c r="C951" s="101"/>
      <c r="D951" s="101"/>
      <c r="E951" s="101"/>
      <c r="F951" s="101"/>
      <c r="G951" s="101"/>
      <c r="H951" s="101"/>
      <c r="I951" s="101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 spans="1:28" ht="15" x14ac:dyDescent="0.2">
      <c r="A952" s="100"/>
      <c r="B952" s="101"/>
      <c r="C952" s="101"/>
      <c r="D952" s="101"/>
      <c r="E952" s="101"/>
      <c r="F952" s="101"/>
      <c r="G952" s="101"/>
      <c r="H952" s="101"/>
      <c r="I952" s="101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 spans="1:28" ht="15" x14ac:dyDescent="0.2">
      <c r="A953" s="100"/>
      <c r="B953" s="101"/>
      <c r="C953" s="101"/>
      <c r="D953" s="101"/>
      <c r="E953" s="101"/>
      <c r="F953" s="101"/>
      <c r="G953" s="101"/>
      <c r="H953" s="101"/>
      <c r="I953" s="101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 spans="1:28" ht="15" x14ac:dyDescent="0.2">
      <c r="A954" s="100"/>
      <c r="B954" s="101"/>
      <c r="C954" s="101"/>
      <c r="D954" s="101"/>
      <c r="E954" s="101"/>
      <c r="F954" s="101"/>
      <c r="G954" s="101"/>
      <c r="H954" s="101"/>
      <c r="I954" s="101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 spans="1:28" ht="15" x14ac:dyDescent="0.2">
      <c r="A955" s="100"/>
      <c r="B955" s="101"/>
      <c r="C955" s="101"/>
      <c r="D955" s="101"/>
      <c r="E955" s="101"/>
      <c r="F955" s="101"/>
      <c r="G955" s="101"/>
      <c r="H955" s="101"/>
      <c r="I955" s="101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 spans="1:28" ht="15" x14ac:dyDescent="0.2">
      <c r="A956" s="100"/>
      <c r="B956" s="101"/>
      <c r="C956" s="101"/>
      <c r="D956" s="101"/>
      <c r="E956" s="101"/>
      <c r="F956" s="101"/>
      <c r="G956" s="101"/>
      <c r="H956" s="101"/>
      <c r="I956" s="101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 spans="1:28" ht="15" x14ac:dyDescent="0.2">
      <c r="A957" s="100"/>
      <c r="B957" s="101"/>
      <c r="C957" s="101"/>
      <c r="D957" s="101"/>
      <c r="E957" s="101"/>
      <c r="F957" s="101"/>
      <c r="G957" s="101"/>
      <c r="H957" s="101"/>
      <c r="I957" s="101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 spans="1:28" ht="15" x14ac:dyDescent="0.2">
      <c r="A958" s="100"/>
      <c r="B958" s="101"/>
      <c r="C958" s="101"/>
      <c r="D958" s="101"/>
      <c r="E958" s="101"/>
      <c r="F958" s="101"/>
      <c r="G958" s="101"/>
      <c r="H958" s="101"/>
      <c r="I958" s="101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 spans="1:28" ht="15" x14ac:dyDescent="0.2">
      <c r="A959" s="100"/>
      <c r="B959" s="101"/>
      <c r="C959" s="101"/>
      <c r="D959" s="101"/>
      <c r="E959" s="101"/>
      <c r="F959" s="101"/>
      <c r="G959" s="101"/>
      <c r="H959" s="101"/>
      <c r="I959" s="101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 spans="1:28" ht="15" x14ac:dyDescent="0.2">
      <c r="A960" s="100"/>
      <c r="B960" s="101"/>
      <c r="C960" s="101"/>
      <c r="D960" s="101"/>
      <c r="E960" s="101"/>
      <c r="F960" s="101"/>
      <c r="G960" s="101"/>
      <c r="H960" s="101"/>
      <c r="I960" s="101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 spans="1:28" ht="15" x14ac:dyDescent="0.2">
      <c r="A961" s="100"/>
      <c r="B961" s="101"/>
      <c r="C961" s="101"/>
      <c r="D961" s="101"/>
      <c r="E961" s="101"/>
      <c r="F961" s="101"/>
      <c r="G961" s="101"/>
      <c r="H961" s="101"/>
      <c r="I961" s="101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 spans="1:28" ht="15" x14ac:dyDescent="0.2">
      <c r="A962" s="100"/>
      <c r="B962" s="101"/>
      <c r="C962" s="101"/>
      <c r="D962" s="101"/>
      <c r="E962" s="101"/>
      <c r="F962" s="101"/>
      <c r="G962" s="101"/>
      <c r="H962" s="101"/>
      <c r="I962" s="101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 spans="1:28" ht="15" x14ac:dyDescent="0.2">
      <c r="A963" s="100"/>
      <c r="B963" s="101"/>
      <c r="C963" s="101"/>
      <c r="D963" s="101"/>
      <c r="E963" s="101"/>
      <c r="F963" s="101"/>
      <c r="G963" s="101"/>
      <c r="H963" s="101"/>
      <c r="I963" s="101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 spans="1:28" ht="15" x14ac:dyDescent="0.2">
      <c r="A964" s="100"/>
      <c r="B964" s="101"/>
      <c r="C964" s="101"/>
      <c r="D964" s="101"/>
      <c r="E964" s="101"/>
      <c r="F964" s="101"/>
      <c r="G964" s="101"/>
      <c r="H964" s="101"/>
      <c r="I964" s="101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 spans="1:28" ht="15" x14ac:dyDescent="0.2">
      <c r="A965" s="100"/>
      <c r="B965" s="101"/>
      <c r="C965" s="101"/>
      <c r="D965" s="101"/>
      <c r="E965" s="101"/>
      <c r="F965" s="101"/>
      <c r="G965" s="101"/>
      <c r="H965" s="101"/>
      <c r="I965" s="101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 spans="1:28" ht="15" x14ac:dyDescent="0.2">
      <c r="A966" s="100"/>
      <c r="B966" s="101"/>
      <c r="C966" s="101"/>
      <c r="D966" s="101"/>
      <c r="E966" s="101"/>
      <c r="F966" s="101"/>
      <c r="G966" s="101"/>
      <c r="H966" s="101"/>
      <c r="I966" s="101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 spans="1:28" ht="15" x14ac:dyDescent="0.2">
      <c r="A967" s="100"/>
      <c r="B967" s="101"/>
      <c r="C967" s="101"/>
      <c r="D967" s="101"/>
      <c r="E967" s="101"/>
      <c r="F967" s="101"/>
      <c r="G967" s="101"/>
      <c r="H967" s="101"/>
      <c r="I967" s="101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 spans="1:28" ht="15" x14ac:dyDescent="0.2">
      <c r="A968" s="100"/>
      <c r="B968" s="101"/>
      <c r="C968" s="101"/>
      <c r="D968" s="101"/>
      <c r="E968" s="101"/>
      <c r="F968" s="101"/>
      <c r="G968" s="101"/>
      <c r="H968" s="101"/>
      <c r="I968" s="101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 spans="1:28" ht="15" x14ac:dyDescent="0.2">
      <c r="A969" s="100"/>
      <c r="B969" s="101"/>
      <c r="C969" s="101"/>
      <c r="D969" s="101"/>
      <c r="E969" s="101"/>
      <c r="F969" s="101"/>
      <c r="G969" s="101"/>
      <c r="H969" s="101"/>
      <c r="I969" s="101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 spans="1:28" ht="15" x14ac:dyDescent="0.2">
      <c r="A970" s="100"/>
      <c r="B970" s="101"/>
      <c r="C970" s="101"/>
      <c r="D970" s="101"/>
      <c r="E970" s="101"/>
      <c r="F970" s="101"/>
      <c r="G970" s="101"/>
      <c r="H970" s="101"/>
      <c r="I970" s="101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 spans="1:28" ht="15" x14ac:dyDescent="0.2">
      <c r="A971" s="100"/>
      <c r="B971" s="101"/>
      <c r="C971" s="101"/>
      <c r="D971" s="101"/>
      <c r="E971" s="101"/>
      <c r="F971" s="101"/>
      <c r="G971" s="101"/>
      <c r="H971" s="101"/>
      <c r="I971" s="101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 spans="1:28" ht="15" x14ac:dyDescent="0.2">
      <c r="A972" s="100"/>
      <c r="B972" s="101"/>
      <c r="C972" s="101"/>
      <c r="D972" s="101"/>
      <c r="E972" s="101"/>
      <c r="F972" s="101"/>
      <c r="G972" s="101"/>
      <c r="H972" s="101"/>
      <c r="I972" s="101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 spans="1:28" ht="15" x14ac:dyDescent="0.2">
      <c r="A973" s="100"/>
      <c r="B973" s="101"/>
      <c r="C973" s="101"/>
      <c r="D973" s="101"/>
      <c r="E973" s="101"/>
      <c r="F973" s="101"/>
      <c r="G973" s="101"/>
      <c r="H973" s="101"/>
      <c r="I973" s="101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 spans="1:28" ht="15" x14ac:dyDescent="0.2">
      <c r="A974" s="100"/>
      <c r="B974" s="101"/>
      <c r="C974" s="101"/>
      <c r="D974" s="101"/>
      <c r="E974" s="101"/>
      <c r="F974" s="101"/>
      <c r="G974" s="101"/>
      <c r="H974" s="101"/>
      <c r="I974" s="101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 spans="1:28" ht="15" x14ac:dyDescent="0.2">
      <c r="A975" s="100"/>
      <c r="B975" s="101"/>
      <c r="C975" s="101"/>
      <c r="D975" s="101"/>
      <c r="E975" s="101"/>
      <c r="F975" s="101"/>
      <c r="G975" s="101"/>
      <c r="H975" s="101"/>
      <c r="I975" s="101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 spans="1:28" ht="15" x14ac:dyDescent="0.2">
      <c r="A976" s="100"/>
      <c r="B976" s="101"/>
      <c r="C976" s="101"/>
      <c r="D976" s="101"/>
      <c r="E976" s="101"/>
      <c r="F976" s="101"/>
      <c r="G976" s="101"/>
      <c r="H976" s="101"/>
      <c r="I976" s="101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 spans="1:28" ht="15" x14ac:dyDescent="0.2">
      <c r="A977" s="100"/>
      <c r="B977" s="101"/>
      <c r="C977" s="101"/>
      <c r="D977" s="101"/>
      <c r="E977" s="101"/>
      <c r="F977" s="101"/>
      <c r="G977" s="101"/>
      <c r="H977" s="101"/>
      <c r="I977" s="101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 spans="1:28" ht="15" x14ac:dyDescent="0.2">
      <c r="A978" s="100"/>
      <c r="B978" s="101"/>
      <c r="C978" s="101"/>
      <c r="D978" s="101"/>
      <c r="E978" s="101"/>
      <c r="F978" s="101"/>
      <c r="G978" s="101"/>
      <c r="H978" s="101"/>
      <c r="I978" s="101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  <row r="979" spans="1:28" ht="15" x14ac:dyDescent="0.2">
      <c r="A979" s="100"/>
      <c r="B979" s="101"/>
      <c r="C979" s="101"/>
      <c r="D979" s="101"/>
      <c r="E979" s="101"/>
      <c r="F979" s="101"/>
      <c r="G979" s="101"/>
      <c r="H979" s="101"/>
      <c r="I979" s="101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</row>
    <row r="980" spans="1:28" ht="15" x14ac:dyDescent="0.2">
      <c r="A980" s="100"/>
      <c r="B980" s="101"/>
      <c r="C980" s="101"/>
      <c r="D980" s="101"/>
      <c r="E980" s="101"/>
      <c r="F980" s="101"/>
      <c r="G980" s="101"/>
      <c r="H980" s="101"/>
      <c r="I980" s="101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</row>
    <row r="981" spans="1:28" ht="15" x14ac:dyDescent="0.2">
      <c r="A981" s="100"/>
      <c r="B981" s="101"/>
      <c r="C981" s="101"/>
      <c r="D981" s="101"/>
      <c r="E981" s="101"/>
      <c r="F981" s="101"/>
      <c r="G981" s="101"/>
      <c r="H981" s="101"/>
      <c r="I981" s="101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</row>
    <row r="982" spans="1:28" ht="15" x14ac:dyDescent="0.2">
      <c r="A982" s="100"/>
      <c r="B982" s="101"/>
      <c r="C982" s="101"/>
      <c r="D982" s="101"/>
      <c r="E982" s="101"/>
      <c r="F982" s="101"/>
      <c r="G982" s="101"/>
      <c r="H982" s="101"/>
      <c r="I982" s="101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</row>
    <row r="983" spans="1:28" ht="15" x14ac:dyDescent="0.2">
      <c r="A983" s="100"/>
      <c r="B983" s="101"/>
      <c r="C983" s="101"/>
      <c r="D983" s="101"/>
      <c r="E983" s="101"/>
      <c r="F983" s="101"/>
      <c r="G983" s="101"/>
      <c r="H983" s="101"/>
      <c r="I983" s="101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</row>
    <row r="984" spans="1:28" ht="15" x14ac:dyDescent="0.2">
      <c r="A984" s="100"/>
      <c r="B984" s="101"/>
      <c r="C984" s="101"/>
      <c r="D984" s="101"/>
      <c r="E984" s="101"/>
      <c r="F984" s="101"/>
      <c r="G984" s="101"/>
      <c r="H984" s="101"/>
      <c r="I984" s="101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</row>
    <row r="985" spans="1:28" ht="15" x14ac:dyDescent="0.2">
      <c r="A985" s="100"/>
      <c r="B985" s="101"/>
      <c r="C985" s="101"/>
      <c r="D985" s="101"/>
      <c r="E985" s="101"/>
      <c r="F985" s="101"/>
      <c r="G985" s="101"/>
      <c r="H985" s="101"/>
      <c r="I985" s="101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</row>
    <row r="986" spans="1:28" ht="15" x14ac:dyDescent="0.2">
      <c r="A986" s="100"/>
      <c r="B986" s="101"/>
      <c r="C986" s="101"/>
      <c r="D986" s="101"/>
      <c r="E986" s="101"/>
      <c r="F986" s="101"/>
      <c r="G986" s="101"/>
      <c r="H986" s="101"/>
      <c r="I986" s="101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</row>
    <row r="987" spans="1:28" ht="15" x14ac:dyDescent="0.2">
      <c r="A987" s="100"/>
      <c r="B987" s="101"/>
      <c r="C987" s="101"/>
      <c r="D987" s="101"/>
      <c r="E987" s="101"/>
      <c r="F987" s="101"/>
      <c r="G987" s="101"/>
      <c r="H987" s="101"/>
      <c r="I987" s="101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</row>
    <row r="988" spans="1:28" ht="15" x14ac:dyDescent="0.2">
      <c r="A988" s="100"/>
      <c r="B988" s="101"/>
      <c r="C988" s="101"/>
      <c r="D988" s="101"/>
      <c r="E988" s="101"/>
      <c r="F988" s="101"/>
      <c r="G988" s="101"/>
      <c r="H988" s="101"/>
      <c r="I988" s="101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</row>
    <row r="989" spans="1:28" ht="15" x14ac:dyDescent="0.2">
      <c r="A989" s="100"/>
      <c r="B989" s="101"/>
      <c r="C989" s="101"/>
      <c r="D989" s="101"/>
      <c r="E989" s="101"/>
      <c r="F989" s="101"/>
      <c r="G989" s="101"/>
      <c r="H989" s="101"/>
      <c r="I989" s="101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</row>
    <row r="990" spans="1:28" ht="15" x14ac:dyDescent="0.2">
      <c r="A990" s="100"/>
      <c r="B990" s="101"/>
      <c r="C990" s="101"/>
      <c r="D990" s="101"/>
      <c r="E990" s="101"/>
      <c r="F990" s="101"/>
      <c r="G990" s="101"/>
      <c r="H990" s="101"/>
      <c r="I990" s="101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</row>
    <row r="991" spans="1:28" ht="15" x14ac:dyDescent="0.2">
      <c r="A991" s="100"/>
      <c r="B991" s="101"/>
      <c r="C991" s="101"/>
      <c r="D991" s="101"/>
      <c r="E991" s="101"/>
      <c r="F991" s="101"/>
      <c r="G991" s="101"/>
      <c r="H991" s="101"/>
      <c r="I991" s="101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</row>
    <row r="992" spans="1:28" ht="15" x14ac:dyDescent="0.2">
      <c r="A992" s="100"/>
      <c r="B992" s="101"/>
      <c r="C992" s="101"/>
      <c r="D992" s="101"/>
      <c r="E992" s="101"/>
      <c r="F992" s="101"/>
      <c r="G992" s="101"/>
      <c r="H992" s="101"/>
      <c r="I992" s="101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</row>
    <row r="993" spans="1:28" ht="15" x14ac:dyDescent="0.2">
      <c r="A993" s="100"/>
      <c r="B993" s="101"/>
      <c r="C993" s="101"/>
      <c r="D993" s="101"/>
      <c r="E993" s="101"/>
      <c r="F993" s="101"/>
      <c r="G993" s="101"/>
      <c r="H993" s="101"/>
      <c r="I993" s="101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</row>
    <row r="994" spans="1:28" ht="15" x14ac:dyDescent="0.2">
      <c r="A994" s="100"/>
      <c r="B994" s="101"/>
      <c r="C994" s="101"/>
      <c r="D994" s="101"/>
      <c r="E994" s="101"/>
      <c r="F994" s="101"/>
      <c r="G994" s="101"/>
      <c r="H994" s="101"/>
      <c r="I994" s="101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</row>
    <row r="995" spans="1:28" ht="15" x14ac:dyDescent="0.2">
      <c r="A995" s="100"/>
      <c r="B995" s="101"/>
      <c r="C995" s="101"/>
      <c r="D995" s="101"/>
      <c r="E995" s="101"/>
      <c r="F995" s="101"/>
      <c r="G995" s="101"/>
      <c r="H995" s="101"/>
      <c r="I995" s="101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</row>
    <row r="996" spans="1:28" ht="15" x14ac:dyDescent="0.2">
      <c r="A996" s="100"/>
      <c r="B996" s="101"/>
      <c r="C996" s="101"/>
      <c r="D996" s="101"/>
      <c r="E996" s="101"/>
      <c r="F996" s="101"/>
      <c r="G996" s="101"/>
      <c r="H996" s="101"/>
      <c r="I996" s="101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</row>
    <row r="997" spans="1:28" ht="15" x14ac:dyDescent="0.2">
      <c r="A997" s="100"/>
      <c r="B997" s="101"/>
      <c r="C997" s="101"/>
      <c r="D997" s="101"/>
      <c r="E997" s="101"/>
      <c r="F997" s="101"/>
      <c r="G997" s="101"/>
      <c r="H997" s="101"/>
      <c r="I997" s="101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</row>
    <row r="998" spans="1:28" ht="15" x14ac:dyDescent="0.2">
      <c r="A998" s="100"/>
      <c r="B998" s="101"/>
      <c r="C998" s="101"/>
      <c r="D998" s="101"/>
      <c r="E998" s="101"/>
      <c r="F998" s="101"/>
      <c r="G998" s="101"/>
      <c r="H998" s="101"/>
      <c r="I998" s="101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</row>
    <row r="999" spans="1:28" ht="15" x14ac:dyDescent="0.2">
      <c r="A999" s="100"/>
      <c r="B999" s="101"/>
      <c r="C999" s="101"/>
      <c r="D999" s="101"/>
      <c r="E999" s="101"/>
      <c r="F999" s="101"/>
      <c r="G999" s="101"/>
      <c r="H999" s="101"/>
      <c r="I999" s="101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</row>
    <row r="1000" spans="1:28" ht="15" x14ac:dyDescent="0.2">
      <c r="A1000" s="100"/>
      <c r="B1000" s="101"/>
      <c r="C1000" s="101"/>
      <c r="D1000" s="101"/>
      <c r="E1000" s="101"/>
      <c r="F1000" s="101"/>
      <c r="G1000" s="101"/>
      <c r="H1000" s="101"/>
      <c r="I1000" s="101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</row>
    <row r="1001" spans="1:28" ht="15" x14ac:dyDescent="0.2">
      <c r="A1001" s="100"/>
      <c r="B1001" s="101"/>
      <c r="C1001" s="101"/>
      <c r="D1001" s="101"/>
      <c r="E1001" s="101"/>
      <c r="F1001" s="101"/>
      <c r="G1001" s="101"/>
      <c r="H1001" s="101"/>
      <c r="I1001" s="101"/>
      <c r="J1001" s="79"/>
      <c r="K1001" s="79"/>
      <c r="L1001" s="79"/>
      <c r="M1001" s="79"/>
      <c r="N1001" s="79"/>
      <c r="O1001" s="79"/>
      <c r="P1001" s="79"/>
      <c r="Q1001" s="79"/>
      <c r="R1001" s="79"/>
      <c r="S1001" s="79"/>
      <c r="T1001" s="79"/>
      <c r="U1001" s="79"/>
      <c r="V1001" s="79"/>
      <c r="W1001" s="79"/>
      <c r="X1001" s="79"/>
      <c r="Y1001" s="79"/>
      <c r="Z1001" s="79"/>
      <c r="AA1001" s="79"/>
      <c r="AB1001" s="79"/>
    </row>
    <row r="1002" spans="1:28" ht="15" x14ac:dyDescent="0.2">
      <c r="A1002" s="100"/>
      <c r="B1002" s="101"/>
      <c r="C1002" s="101"/>
      <c r="D1002" s="101"/>
      <c r="E1002" s="101"/>
      <c r="F1002" s="101"/>
      <c r="G1002" s="101"/>
      <c r="H1002" s="101"/>
      <c r="I1002" s="101"/>
      <c r="J1002" s="79"/>
      <c r="K1002" s="79"/>
      <c r="L1002" s="79"/>
      <c r="M1002" s="79"/>
      <c r="N1002" s="79"/>
      <c r="O1002" s="79"/>
      <c r="P1002" s="79"/>
      <c r="Q1002" s="79"/>
      <c r="R1002" s="79"/>
      <c r="S1002" s="79"/>
      <c r="T1002" s="79"/>
      <c r="U1002" s="79"/>
      <c r="V1002" s="79"/>
      <c r="W1002" s="79"/>
      <c r="X1002" s="79"/>
      <c r="Y1002" s="79"/>
      <c r="Z1002" s="79"/>
      <c r="AA1002" s="79"/>
      <c r="AB1002" s="79"/>
    </row>
    <row r="1003" spans="1:28" ht="15" x14ac:dyDescent="0.2">
      <c r="A1003" s="100"/>
      <c r="B1003" s="101"/>
      <c r="C1003" s="101"/>
      <c r="D1003" s="101"/>
      <c r="E1003" s="101"/>
      <c r="F1003" s="101"/>
      <c r="G1003" s="101"/>
      <c r="H1003" s="101"/>
      <c r="I1003" s="101"/>
      <c r="J1003" s="79"/>
      <c r="K1003" s="79"/>
      <c r="L1003" s="79"/>
      <c r="M1003" s="79"/>
      <c r="N1003" s="79"/>
      <c r="O1003" s="79"/>
      <c r="P1003" s="79"/>
      <c r="Q1003" s="79"/>
      <c r="R1003" s="79"/>
      <c r="S1003" s="79"/>
      <c r="T1003" s="79"/>
      <c r="U1003" s="79"/>
      <c r="V1003" s="79"/>
      <c r="W1003" s="79"/>
      <c r="X1003" s="79"/>
      <c r="Y1003" s="79"/>
      <c r="Z1003" s="79"/>
      <c r="AA1003" s="79"/>
      <c r="AB1003" s="79"/>
    </row>
    <row r="1004" spans="1:28" ht="15" x14ac:dyDescent="0.2">
      <c r="A1004" s="100"/>
      <c r="B1004" s="101"/>
      <c r="C1004" s="101"/>
      <c r="D1004" s="101"/>
      <c r="E1004" s="101"/>
      <c r="F1004" s="101"/>
      <c r="G1004" s="101"/>
      <c r="H1004" s="101"/>
      <c r="I1004" s="101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U1004" s="79"/>
      <c r="V1004" s="79"/>
      <c r="W1004" s="79"/>
      <c r="X1004" s="79"/>
      <c r="Y1004" s="79"/>
      <c r="Z1004" s="79"/>
      <c r="AA1004" s="79"/>
      <c r="AB1004" s="79"/>
    </row>
    <row r="1005" spans="1:28" ht="15" x14ac:dyDescent="0.2">
      <c r="A1005" s="100"/>
      <c r="B1005" s="101"/>
      <c r="C1005" s="101"/>
      <c r="D1005" s="101"/>
      <c r="E1005" s="101"/>
      <c r="F1005" s="101"/>
      <c r="G1005" s="101"/>
      <c r="H1005" s="101"/>
      <c r="I1005" s="101"/>
      <c r="J1005" s="79"/>
      <c r="K1005" s="79"/>
      <c r="L1005" s="79"/>
      <c r="M1005" s="79"/>
      <c r="N1005" s="79"/>
      <c r="O1005" s="79"/>
      <c r="P1005" s="79"/>
      <c r="Q1005" s="79"/>
      <c r="R1005" s="79"/>
      <c r="S1005" s="79"/>
      <c r="T1005" s="79"/>
      <c r="U1005" s="79"/>
      <c r="V1005" s="79"/>
      <c r="W1005" s="79"/>
      <c r="X1005" s="79"/>
      <c r="Y1005" s="79"/>
      <c r="Z1005" s="79"/>
      <c r="AA1005" s="79"/>
      <c r="AB1005" s="79"/>
    </row>
    <row r="1006" spans="1:28" ht="15" x14ac:dyDescent="0.2">
      <c r="A1006" s="100"/>
      <c r="B1006" s="101"/>
      <c r="C1006" s="101"/>
      <c r="D1006" s="101"/>
      <c r="E1006" s="101"/>
      <c r="F1006" s="101"/>
      <c r="G1006" s="101"/>
      <c r="H1006" s="101"/>
      <c r="I1006" s="101"/>
      <c r="J1006" s="79"/>
      <c r="K1006" s="79"/>
      <c r="L1006" s="79"/>
      <c r="M1006" s="79"/>
      <c r="N1006" s="79"/>
      <c r="O1006" s="79"/>
      <c r="P1006" s="79"/>
      <c r="Q1006" s="79"/>
      <c r="R1006" s="79"/>
      <c r="S1006" s="79"/>
      <c r="T1006" s="79"/>
      <c r="U1006" s="79"/>
      <c r="V1006" s="79"/>
      <c r="W1006" s="79"/>
      <c r="X1006" s="79"/>
      <c r="Y1006" s="79"/>
      <c r="Z1006" s="79"/>
      <c r="AA1006" s="79"/>
      <c r="AB1006" s="79"/>
    </row>
    <row r="1007" spans="1:28" ht="15" x14ac:dyDescent="0.2">
      <c r="A1007" s="100"/>
      <c r="B1007" s="101"/>
      <c r="C1007" s="101"/>
      <c r="D1007" s="101"/>
      <c r="E1007" s="101"/>
      <c r="F1007" s="101"/>
      <c r="G1007" s="101"/>
      <c r="H1007" s="101"/>
      <c r="I1007" s="101"/>
      <c r="J1007" s="79"/>
      <c r="K1007" s="79"/>
      <c r="L1007" s="79"/>
      <c r="M1007" s="79"/>
      <c r="N1007" s="79"/>
      <c r="O1007" s="79"/>
      <c r="P1007" s="79"/>
      <c r="Q1007" s="79"/>
      <c r="R1007" s="79"/>
      <c r="S1007" s="79"/>
      <c r="T1007" s="79"/>
      <c r="U1007" s="79"/>
      <c r="V1007" s="79"/>
      <c r="W1007" s="79"/>
      <c r="X1007" s="79"/>
      <c r="Y1007" s="79"/>
      <c r="Z1007" s="79"/>
      <c r="AA1007" s="79"/>
      <c r="AB1007" s="79"/>
    </row>
    <row r="1008" spans="1:28" ht="15" x14ac:dyDescent="0.2">
      <c r="A1008" s="100"/>
      <c r="B1008" s="101"/>
      <c r="C1008" s="101"/>
      <c r="D1008" s="101"/>
      <c r="E1008" s="101"/>
      <c r="F1008" s="101"/>
      <c r="G1008" s="101"/>
      <c r="H1008" s="101"/>
      <c r="I1008" s="101"/>
      <c r="J1008" s="79"/>
      <c r="K1008" s="79"/>
      <c r="L1008" s="79"/>
      <c r="M1008" s="79"/>
      <c r="N1008" s="79"/>
      <c r="O1008" s="79"/>
      <c r="P1008" s="79"/>
      <c r="Q1008" s="79"/>
      <c r="R1008" s="79"/>
      <c r="S1008" s="79"/>
      <c r="T1008" s="79"/>
      <c r="U1008" s="79"/>
      <c r="V1008" s="79"/>
      <c r="W1008" s="79"/>
      <c r="X1008" s="79"/>
      <c r="Y1008" s="79"/>
      <c r="Z1008" s="79"/>
      <c r="AA1008" s="79"/>
      <c r="AB1008" s="79"/>
    </row>
    <row r="1009" spans="1:28" ht="15" x14ac:dyDescent="0.2">
      <c r="A1009" s="100"/>
      <c r="B1009" s="101"/>
      <c r="C1009" s="101"/>
      <c r="D1009" s="101"/>
      <c r="E1009" s="101"/>
      <c r="F1009" s="101"/>
      <c r="G1009" s="101"/>
      <c r="H1009" s="101"/>
      <c r="I1009" s="101"/>
      <c r="J1009" s="79"/>
      <c r="K1009" s="79"/>
      <c r="L1009" s="79"/>
      <c r="M1009" s="79"/>
      <c r="N1009" s="79"/>
      <c r="O1009" s="79"/>
      <c r="P1009" s="79"/>
      <c r="Q1009" s="79"/>
      <c r="R1009" s="79"/>
      <c r="S1009" s="79"/>
      <c r="T1009" s="79"/>
      <c r="U1009" s="79"/>
      <c r="V1009" s="79"/>
      <c r="W1009" s="79"/>
      <c r="X1009" s="79"/>
      <c r="Y1009" s="79"/>
      <c r="Z1009" s="79"/>
      <c r="AA1009" s="79"/>
      <c r="AB1009" s="79"/>
    </row>
    <row r="1010" spans="1:28" ht="15" x14ac:dyDescent="0.2">
      <c r="A1010" s="100"/>
      <c r="B1010" s="101"/>
      <c r="C1010" s="101"/>
      <c r="D1010" s="101"/>
      <c r="E1010" s="101"/>
      <c r="F1010" s="101"/>
      <c r="G1010" s="101"/>
      <c r="H1010" s="101"/>
      <c r="I1010" s="101"/>
      <c r="J1010" s="79"/>
      <c r="K1010" s="79"/>
      <c r="L1010" s="79"/>
      <c r="M1010" s="79"/>
      <c r="N1010" s="79"/>
      <c r="O1010" s="79"/>
      <c r="P1010" s="79"/>
      <c r="Q1010" s="79"/>
      <c r="R1010" s="79"/>
      <c r="S1010" s="79"/>
      <c r="T1010" s="79"/>
      <c r="U1010" s="79"/>
      <c r="V1010" s="79"/>
      <c r="W1010" s="79"/>
      <c r="X1010" s="79"/>
      <c r="Y1010" s="79"/>
      <c r="Z1010" s="79"/>
      <c r="AA1010" s="79"/>
      <c r="AB1010" s="79"/>
    </row>
    <row r="1011" spans="1:28" ht="15" x14ac:dyDescent="0.2">
      <c r="A1011" s="100"/>
      <c r="B1011" s="101"/>
      <c r="C1011" s="101"/>
      <c r="D1011" s="101"/>
      <c r="E1011" s="101"/>
      <c r="F1011" s="101"/>
      <c r="G1011" s="101"/>
      <c r="H1011" s="101"/>
      <c r="I1011" s="101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  <c r="AB1011" s="79"/>
    </row>
    <row r="1012" spans="1:28" ht="15" x14ac:dyDescent="0.2">
      <c r="A1012" s="100"/>
      <c r="B1012" s="101"/>
      <c r="C1012" s="101"/>
      <c r="D1012" s="101"/>
      <c r="E1012" s="101"/>
      <c r="F1012" s="101"/>
      <c r="G1012" s="101"/>
      <c r="H1012" s="101"/>
      <c r="I1012" s="101"/>
      <c r="J1012" s="79"/>
      <c r="K1012" s="79"/>
      <c r="L1012" s="79"/>
      <c r="M1012" s="79"/>
      <c r="N1012" s="79"/>
      <c r="O1012" s="79"/>
      <c r="P1012" s="79"/>
      <c r="Q1012" s="79"/>
      <c r="R1012" s="79"/>
      <c r="S1012" s="79"/>
      <c r="T1012" s="79"/>
      <c r="U1012" s="79"/>
      <c r="V1012" s="79"/>
      <c r="W1012" s="79"/>
      <c r="X1012" s="79"/>
      <c r="Y1012" s="79"/>
      <c r="Z1012" s="79"/>
      <c r="AA1012" s="79"/>
      <c r="AB1012" s="79"/>
    </row>
    <row r="1013" spans="1:28" ht="15" x14ac:dyDescent="0.2">
      <c r="A1013" s="100"/>
      <c r="B1013" s="101"/>
      <c r="C1013" s="101"/>
      <c r="D1013" s="101"/>
      <c r="E1013" s="101"/>
      <c r="F1013" s="101"/>
      <c r="G1013" s="101"/>
      <c r="H1013" s="101"/>
      <c r="I1013" s="101"/>
      <c r="J1013" s="79"/>
      <c r="K1013" s="79"/>
      <c r="L1013" s="79"/>
      <c r="M1013" s="79"/>
      <c r="N1013" s="79"/>
      <c r="O1013" s="79"/>
      <c r="P1013" s="79"/>
      <c r="Q1013" s="79"/>
      <c r="R1013" s="79"/>
      <c r="S1013" s="79"/>
      <c r="T1013" s="79"/>
      <c r="U1013" s="79"/>
      <c r="V1013" s="79"/>
      <c r="W1013" s="79"/>
      <c r="X1013" s="79"/>
      <c r="Y1013" s="79"/>
      <c r="Z1013" s="79"/>
      <c r="AA1013" s="79"/>
      <c r="AB1013" s="79"/>
    </row>
    <row r="1014" spans="1:28" ht="15" x14ac:dyDescent="0.2">
      <c r="A1014" s="100"/>
      <c r="B1014" s="101"/>
      <c r="C1014" s="101"/>
      <c r="D1014" s="101"/>
      <c r="E1014" s="101"/>
      <c r="F1014" s="101"/>
      <c r="G1014" s="101"/>
      <c r="H1014" s="101"/>
      <c r="I1014" s="101"/>
      <c r="J1014" s="79"/>
      <c r="K1014" s="79"/>
      <c r="L1014" s="79"/>
      <c r="M1014" s="79"/>
      <c r="N1014" s="79"/>
      <c r="O1014" s="79"/>
      <c r="P1014" s="79"/>
      <c r="Q1014" s="79"/>
      <c r="R1014" s="79"/>
      <c r="S1014" s="79"/>
      <c r="T1014" s="79"/>
      <c r="U1014" s="79"/>
      <c r="V1014" s="79"/>
      <c r="W1014" s="79"/>
      <c r="X1014" s="79"/>
      <c r="Y1014" s="79"/>
      <c r="Z1014" s="79"/>
      <c r="AA1014" s="79"/>
      <c r="AB1014" s="79"/>
    </row>
    <row r="1015" spans="1:28" ht="15" x14ac:dyDescent="0.2">
      <c r="A1015" s="100"/>
      <c r="B1015" s="101"/>
      <c r="C1015" s="101"/>
      <c r="D1015" s="101"/>
      <c r="E1015" s="101"/>
      <c r="F1015" s="101"/>
      <c r="G1015" s="101"/>
      <c r="H1015" s="101"/>
      <c r="I1015" s="101"/>
      <c r="J1015" s="79"/>
      <c r="K1015" s="79"/>
      <c r="L1015" s="79"/>
      <c r="M1015" s="79"/>
      <c r="N1015" s="79"/>
      <c r="O1015" s="79"/>
      <c r="P1015" s="79"/>
      <c r="Q1015" s="79"/>
      <c r="R1015" s="79"/>
      <c r="S1015" s="79"/>
      <c r="T1015" s="79"/>
      <c r="U1015" s="79"/>
      <c r="V1015" s="79"/>
      <c r="W1015" s="79"/>
      <c r="X1015" s="79"/>
      <c r="Y1015" s="79"/>
      <c r="Z1015" s="79"/>
      <c r="AA1015" s="79"/>
      <c r="AB1015" s="79"/>
    </row>
    <row r="1016" spans="1:28" ht="15" x14ac:dyDescent="0.2">
      <c r="A1016" s="100"/>
      <c r="B1016" s="101"/>
      <c r="C1016" s="101"/>
      <c r="D1016" s="101"/>
      <c r="E1016" s="101"/>
      <c r="F1016" s="101"/>
      <c r="G1016" s="101"/>
      <c r="H1016" s="101"/>
      <c r="I1016" s="101"/>
      <c r="J1016" s="79"/>
      <c r="K1016" s="79"/>
      <c r="L1016" s="79"/>
      <c r="M1016" s="79"/>
      <c r="N1016" s="79"/>
      <c r="O1016" s="79"/>
      <c r="P1016" s="79"/>
      <c r="Q1016" s="79"/>
      <c r="R1016" s="79"/>
      <c r="S1016" s="79"/>
      <c r="T1016" s="79"/>
      <c r="U1016" s="79"/>
      <c r="V1016" s="79"/>
      <c r="W1016" s="79"/>
      <c r="X1016" s="79"/>
      <c r="Y1016" s="79"/>
      <c r="Z1016" s="79"/>
      <c r="AA1016" s="79"/>
      <c r="AB1016" s="79"/>
    </row>
    <row r="1017" spans="1:28" ht="15" x14ac:dyDescent="0.2">
      <c r="A1017" s="100"/>
      <c r="B1017" s="101"/>
      <c r="C1017" s="101"/>
      <c r="D1017" s="101"/>
      <c r="E1017" s="101"/>
      <c r="F1017" s="101"/>
      <c r="G1017" s="101"/>
      <c r="H1017" s="101"/>
      <c r="I1017" s="101"/>
      <c r="J1017" s="79"/>
      <c r="K1017" s="79"/>
      <c r="L1017" s="79"/>
      <c r="M1017" s="79"/>
      <c r="N1017" s="79"/>
      <c r="O1017" s="79"/>
      <c r="P1017" s="79"/>
      <c r="Q1017" s="79"/>
      <c r="R1017" s="79"/>
      <c r="S1017" s="79"/>
      <c r="T1017" s="79"/>
      <c r="U1017" s="79"/>
      <c r="V1017" s="79"/>
      <c r="W1017" s="79"/>
      <c r="X1017" s="79"/>
      <c r="Y1017" s="79"/>
      <c r="Z1017" s="79"/>
      <c r="AA1017" s="79"/>
      <c r="AB1017" s="79"/>
    </row>
    <row r="1018" spans="1:28" ht="15" x14ac:dyDescent="0.2">
      <c r="A1018" s="100"/>
      <c r="B1018" s="101"/>
      <c r="C1018" s="101"/>
      <c r="D1018" s="101"/>
      <c r="E1018" s="101"/>
      <c r="F1018" s="101"/>
      <c r="G1018" s="101"/>
      <c r="H1018" s="101"/>
      <c r="I1018" s="101"/>
      <c r="J1018" s="79"/>
      <c r="K1018" s="79"/>
      <c r="L1018" s="79"/>
      <c r="M1018" s="79"/>
      <c r="N1018" s="79"/>
      <c r="O1018" s="79"/>
      <c r="P1018" s="79"/>
      <c r="Q1018" s="79"/>
      <c r="R1018" s="79"/>
      <c r="S1018" s="79"/>
      <c r="T1018" s="79"/>
      <c r="U1018" s="79"/>
      <c r="V1018" s="79"/>
      <c r="W1018" s="79"/>
      <c r="X1018" s="79"/>
      <c r="Y1018" s="79"/>
      <c r="Z1018" s="79"/>
      <c r="AA1018" s="79"/>
      <c r="AB1018" s="79"/>
    </row>
    <row r="1019" spans="1:28" ht="15" x14ac:dyDescent="0.2">
      <c r="A1019" s="100"/>
      <c r="B1019" s="101"/>
      <c r="C1019" s="101"/>
      <c r="D1019" s="101"/>
      <c r="E1019" s="101"/>
      <c r="F1019" s="101"/>
      <c r="G1019" s="101"/>
      <c r="H1019" s="101"/>
      <c r="I1019" s="101"/>
      <c r="J1019" s="79"/>
      <c r="K1019" s="79"/>
      <c r="L1019" s="79"/>
      <c r="M1019" s="79"/>
      <c r="N1019" s="79"/>
      <c r="O1019" s="79"/>
      <c r="P1019" s="79"/>
      <c r="Q1019" s="79"/>
      <c r="R1019" s="79"/>
      <c r="S1019" s="79"/>
      <c r="T1019" s="79"/>
      <c r="U1019" s="79"/>
      <c r="V1019" s="79"/>
      <c r="W1019" s="79"/>
      <c r="X1019" s="79"/>
      <c r="Y1019" s="79"/>
      <c r="Z1019" s="79"/>
      <c r="AA1019" s="79"/>
      <c r="AB1019" s="79"/>
    </row>
    <row r="1020" spans="1:28" ht="15" x14ac:dyDescent="0.2">
      <c r="A1020" s="100"/>
      <c r="B1020" s="101"/>
      <c r="C1020" s="101"/>
      <c r="D1020" s="101"/>
      <c r="E1020" s="101"/>
      <c r="F1020" s="101"/>
      <c r="G1020" s="101"/>
      <c r="H1020" s="101"/>
      <c r="I1020" s="101"/>
      <c r="J1020" s="79"/>
      <c r="K1020" s="79"/>
      <c r="L1020" s="79"/>
      <c r="M1020" s="79"/>
      <c r="N1020" s="79"/>
      <c r="O1020" s="79"/>
      <c r="P1020" s="79"/>
      <c r="Q1020" s="79"/>
      <c r="R1020" s="79"/>
      <c r="S1020" s="79"/>
      <c r="T1020" s="79"/>
      <c r="U1020" s="79"/>
      <c r="V1020" s="79"/>
      <c r="W1020" s="79"/>
      <c r="X1020" s="79"/>
      <c r="Y1020" s="79"/>
      <c r="Z1020" s="79"/>
      <c r="AA1020" s="79"/>
      <c r="AB1020" s="79"/>
    </row>
    <row r="1021" spans="1:28" ht="15" x14ac:dyDescent="0.2">
      <c r="A1021" s="100"/>
      <c r="B1021" s="101"/>
      <c r="C1021" s="101"/>
      <c r="D1021" s="101"/>
      <c r="E1021" s="101"/>
      <c r="F1021" s="101"/>
      <c r="G1021" s="101"/>
      <c r="H1021" s="101"/>
      <c r="I1021" s="101"/>
      <c r="J1021" s="79"/>
      <c r="K1021" s="79"/>
      <c r="L1021" s="79"/>
      <c r="M1021" s="79"/>
      <c r="N1021" s="79"/>
      <c r="O1021" s="79"/>
      <c r="P1021" s="79"/>
      <c r="Q1021" s="79"/>
      <c r="R1021" s="79"/>
      <c r="S1021" s="79"/>
      <c r="T1021" s="79"/>
      <c r="U1021" s="79"/>
      <c r="V1021" s="79"/>
      <c r="W1021" s="79"/>
      <c r="X1021" s="79"/>
      <c r="Y1021" s="79"/>
      <c r="Z1021" s="79"/>
      <c r="AA1021" s="79"/>
      <c r="AB1021" s="79"/>
    </row>
    <row r="1022" spans="1:28" ht="15" x14ac:dyDescent="0.2">
      <c r="A1022" s="100"/>
      <c r="B1022" s="101"/>
      <c r="C1022" s="101"/>
      <c r="D1022" s="101"/>
      <c r="E1022" s="101"/>
      <c r="F1022" s="101"/>
      <c r="G1022" s="101"/>
      <c r="H1022" s="101"/>
      <c r="I1022" s="101"/>
      <c r="J1022" s="79"/>
      <c r="K1022" s="79"/>
      <c r="L1022" s="79"/>
      <c r="M1022" s="79"/>
      <c r="N1022" s="79"/>
      <c r="O1022" s="79"/>
      <c r="P1022" s="79"/>
      <c r="Q1022" s="79"/>
      <c r="R1022" s="79"/>
      <c r="S1022" s="79"/>
      <c r="T1022" s="79"/>
      <c r="U1022" s="79"/>
      <c r="V1022" s="79"/>
      <c r="W1022" s="79"/>
      <c r="X1022" s="79"/>
      <c r="Y1022" s="79"/>
      <c r="Z1022" s="79"/>
      <c r="AA1022" s="79"/>
      <c r="AB1022" s="79"/>
    </row>
    <row r="1023" spans="1:28" ht="15" x14ac:dyDescent="0.2">
      <c r="A1023" s="100"/>
      <c r="B1023" s="101"/>
      <c r="C1023" s="101"/>
      <c r="D1023" s="101"/>
      <c r="E1023" s="101"/>
      <c r="F1023" s="101"/>
      <c r="G1023" s="101"/>
      <c r="H1023" s="101"/>
      <c r="I1023" s="101"/>
      <c r="J1023" s="79"/>
      <c r="K1023" s="79"/>
      <c r="L1023" s="79"/>
      <c r="M1023" s="79"/>
      <c r="N1023" s="79"/>
      <c r="O1023" s="79"/>
      <c r="P1023" s="79"/>
      <c r="Q1023" s="79"/>
      <c r="R1023" s="79"/>
      <c r="S1023" s="79"/>
      <c r="T1023" s="79"/>
      <c r="U1023" s="79"/>
      <c r="V1023" s="79"/>
      <c r="W1023" s="79"/>
      <c r="X1023" s="79"/>
      <c r="Y1023" s="79"/>
      <c r="Z1023" s="79"/>
      <c r="AA1023" s="79"/>
      <c r="AB1023" s="79"/>
    </row>
    <row r="1024" spans="1:28" ht="15" x14ac:dyDescent="0.2">
      <c r="A1024" s="100"/>
      <c r="B1024" s="101"/>
      <c r="C1024" s="101"/>
      <c r="D1024" s="101"/>
      <c r="E1024" s="101"/>
      <c r="F1024" s="101"/>
      <c r="G1024" s="101"/>
      <c r="H1024" s="101"/>
      <c r="I1024" s="101"/>
      <c r="J1024" s="79"/>
      <c r="K1024" s="79"/>
      <c r="L1024" s="79"/>
      <c r="M1024" s="79"/>
      <c r="N1024" s="79"/>
      <c r="O1024" s="79"/>
      <c r="P1024" s="79"/>
      <c r="Q1024" s="79"/>
      <c r="R1024" s="79"/>
      <c r="S1024" s="79"/>
      <c r="T1024" s="79"/>
      <c r="U1024" s="79"/>
      <c r="V1024" s="79"/>
      <c r="W1024" s="79"/>
      <c r="X1024" s="79"/>
      <c r="Y1024" s="79"/>
      <c r="Z1024" s="79"/>
      <c r="AA1024" s="79"/>
      <c r="AB1024" s="79"/>
    </row>
    <row r="1025" spans="1:28" ht="15" x14ac:dyDescent="0.2">
      <c r="A1025" s="100"/>
      <c r="B1025" s="101"/>
      <c r="C1025" s="101"/>
      <c r="D1025" s="101"/>
      <c r="E1025" s="101"/>
      <c r="F1025" s="101"/>
      <c r="G1025" s="101"/>
      <c r="H1025" s="101"/>
      <c r="I1025" s="101"/>
      <c r="J1025" s="79"/>
      <c r="K1025" s="79"/>
      <c r="L1025" s="79"/>
      <c r="M1025" s="79"/>
      <c r="N1025" s="79"/>
      <c r="O1025" s="79"/>
      <c r="P1025" s="79"/>
      <c r="Q1025" s="79"/>
      <c r="R1025" s="79"/>
      <c r="S1025" s="79"/>
      <c r="T1025" s="79"/>
      <c r="U1025" s="79"/>
      <c r="V1025" s="79"/>
      <c r="W1025" s="79"/>
      <c r="X1025" s="79"/>
      <c r="Y1025" s="79"/>
      <c r="Z1025" s="79"/>
      <c r="AA1025" s="79"/>
      <c r="AB1025" s="79"/>
    </row>
    <row r="1026" spans="1:28" ht="15" x14ac:dyDescent="0.2">
      <c r="A1026" s="100"/>
      <c r="B1026" s="101"/>
      <c r="C1026" s="101"/>
      <c r="D1026" s="101"/>
      <c r="E1026" s="101"/>
      <c r="F1026" s="101"/>
      <c r="G1026" s="101"/>
      <c r="H1026" s="101"/>
      <c r="I1026" s="101"/>
      <c r="J1026" s="79"/>
      <c r="K1026" s="79"/>
      <c r="L1026" s="79"/>
      <c r="M1026" s="79"/>
      <c r="N1026" s="79"/>
      <c r="O1026" s="79"/>
      <c r="P1026" s="79"/>
      <c r="Q1026" s="79"/>
      <c r="R1026" s="79"/>
      <c r="S1026" s="79"/>
      <c r="T1026" s="79"/>
      <c r="U1026" s="79"/>
      <c r="V1026" s="79"/>
      <c r="W1026" s="79"/>
      <c r="X1026" s="79"/>
      <c r="Y1026" s="79"/>
      <c r="Z1026" s="79"/>
      <c r="AA1026" s="79"/>
      <c r="AB1026" s="79"/>
    </row>
    <row r="1027" spans="1:28" ht="15" x14ac:dyDescent="0.2">
      <c r="A1027" s="100"/>
      <c r="B1027" s="101"/>
      <c r="C1027" s="101"/>
      <c r="D1027" s="101"/>
      <c r="E1027" s="101"/>
      <c r="F1027" s="101"/>
      <c r="G1027" s="101"/>
      <c r="H1027" s="101"/>
      <c r="I1027" s="101"/>
      <c r="J1027" s="79"/>
      <c r="K1027" s="79"/>
      <c r="L1027" s="79"/>
      <c r="M1027" s="79"/>
      <c r="N1027" s="79"/>
      <c r="O1027" s="79"/>
      <c r="P1027" s="79"/>
      <c r="Q1027" s="79"/>
      <c r="R1027" s="79"/>
      <c r="S1027" s="79"/>
      <c r="T1027" s="79"/>
      <c r="U1027" s="79"/>
      <c r="V1027" s="79"/>
      <c r="W1027" s="79"/>
      <c r="X1027" s="79"/>
      <c r="Y1027" s="79"/>
      <c r="Z1027" s="79"/>
      <c r="AA1027" s="79"/>
      <c r="AB1027" s="79"/>
    </row>
    <row r="1028" spans="1:28" ht="15" x14ac:dyDescent="0.2">
      <c r="A1028" s="100"/>
      <c r="B1028" s="101"/>
      <c r="C1028" s="101"/>
      <c r="D1028" s="101"/>
      <c r="E1028" s="101"/>
      <c r="F1028" s="101"/>
      <c r="G1028" s="101"/>
      <c r="H1028" s="101"/>
      <c r="I1028" s="101"/>
      <c r="J1028" s="79"/>
      <c r="K1028" s="79"/>
      <c r="L1028" s="79"/>
      <c r="M1028" s="79"/>
      <c r="N1028" s="79"/>
      <c r="O1028" s="79"/>
      <c r="P1028" s="79"/>
      <c r="Q1028" s="79"/>
      <c r="R1028" s="79"/>
      <c r="S1028" s="79"/>
      <c r="T1028" s="79"/>
      <c r="U1028" s="79"/>
      <c r="V1028" s="79"/>
      <c r="W1028" s="79"/>
      <c r="X1028" s="79"/>
      <c r="Y1028" s="79"/>
      <c r="Z1028" s="79"/>
      <c r="AA1028" s="79"/>
      <c r="AB1028" s="79"/>
    </row>
    <row r="1029" spans="1:28" ht="15" x14ac:dyDescent="0.2">
      <c r="A1029" s="100"/>
      <c r="B1029" s="101"/>
      <c r="C1029" s="101"/>
      <c r="D1029" s="101"/>
      <c r="E1029" s="101"/>
      <c r="F1029" s="101"/>
      <c r="G1029" s="101"/>
      <c r="H1029" s="101"/>
      <c r="I1029" s="101"/>
      <c r="J1029" s="79"/>
      <c r="K1029" s="79"/>
      <c r="L1029" s="79"/>
      <c r="M1029" s="79"/>
      <c r="N1029" s="79"/>
      <c r="O1029" s="79"/>
      <c r="P1029" s="79"/>
      <c r="Q1029" s="79"/>
      <c r="R1029" s="79"/>
      <c r="S1029" s="79"/>
      <c r="T1029" s="79"/>
      <c r="U1029" s="79"/>
      <c r="V1029" s="79"/>
      <c r="W1029" s="79"/>
      <c r="X1029" s="79"/>
      <c r="Y1029" s="79"/>
      <c r="Z1029" s="79"/>
      <c r="AA1029" s="79"/>
      <c r="AB1029" s="79"/>
    </row>
    <row r="1030" spans="1:28" ht="15" x14ac:dyDescent="0.2">
      <c r="A1030" s="100"/>
      <c r="B1030" s="101"/>
      <c r="C1030" s="101"/>
      <c r="D1030" s="101"/>
      <c r="E1030" s="101"/>
      <c r="F1030" s="101"/>
      <c r="G1030" s="101"/>
      <c r="H1030" s="101"/>
      <c r="I1030" s="101"/>
      <c r="J1030" s="79"/>
      <c r="K1030" s="79"/>
      <c r="L1030" s="79"/>
      <c r="M1030" s="79"/>
      <c r="N1030" s="79"/>
      <c r="O1030" s="79"/>
      <c r="P1030" s="79"/>
      <c r="Q1030" s="79"/>
      <c r="R1030" s="79"/>
      <c r="S1030" s="79"/>
      <c r="T1030" s="79"/>
      <c r="U1030" s="79"/>
      <c r="V1030" s="79"/>
      <c r="W1030" s="79"/>
      <c r="X1030" s="79"/>
      <c r="Y1030" s="79"/>
      <c r="Z1030" s="79"/>
      <c r="AA1030" s="79"/>
      <c r="AB1030" s="79"/>
    </row>
    <row r="1031" spans="1:28" ht="15" x14ac:dyDescent="0.2">
      <c r="A1031" s="100"/>
      <c r="B1031" s="101"/>
      <c r="C1031" s="101"/>
      <c r="D1031" s="101"/>
      <c r="E1031" s="101"/>
      <c r="F1031" s="101"/>
      <c r="G1031" s="101"/>
      <c r="H1031" s="101"/>
      <c r="I1031" s="101"/>
      <c r="J1031" s="79"/>
      <c r="K1031" s="79"/>
      <c r="L1031" s="79"/>
      <c r="M1031" s="79"/>
      <c r="N1031" s="79"/>
      <c r="O1031" s="79"/>
      <c r="P1031" s="79"/>
      <c r="Q1031" s="79"/>
      <c r="R1031" s="79"/>
      <c r="S1031" s="79"/>
      <c r="T1031" s="79"/>
      <c r="U1031" s="79"/>
      <c r="V1031" s="79"/>
      <c r="W1031" s="79"/>
      <c r="X1031" s="79"/>
      <c r="Y1031" s="79"/>
      <c r="Z1031" s="79"/>
      <c r="AA1031" s="79"/>
      <c r="AB1031" s="79"/>
    </row>
    <row r="1032" spans="1:28" ht="15" x14ac:dyDescent="0.2">
      <c r="A1032" s="100"/>
      <c r="B1032" s="101"/>
      <c r="C1032" s="101"/>
      <c r="D1032" s="101"/>
      <c r="E1032" s="101"/>
      <c r="F1032" s="101"/>
      <c r="G1032" s="101"/>
      <c r="H1032" s="101"/>
      <c r="I1032" s="101"/>
      <c r="J1032" s="79"/>
      <c r="K1032" s="79"/>
      <c r="L1032" s="79"/>
      <c r="M1032" s="79"/>
      <c r="N1032" s="79"/>
      <c r="O1032" s="79"/>
      <c r="P1032" s="79"/>
      <c r="Q1032" s="79"/>
      <c r="R1032" s="79"/>
      <c r="S1032" s="79"/>
      <c r="T1032" s="79"/>
      <c r="U1032" s="79"/>
      <c r="V1032" s="79"/>
      <c r="W1032" s="79"/>
      <c r="X1032" s="79"/>
      <c r="Y1032" s="79"/>
      <c r="Z1032" s="79"/>
      <c r="AA1032" s="79"/>
      <c r="AB1032" s="79"/>
    </row>
    <row r="1033" spans="1:28" ht="15" x14ac:dyDescent="0.2">
      <c r="A1033" s="100"/>
      <c r="B1033" s="101"/>
      <c r="C1033" s="101"/>
      <c r="D1033" s="101"/>
      <c r="E1033" s="101"/>
      <c r="F1033" s="101"/>
      <c r="G1033" s="101"/>
      <c r="H1033" s="101"/>
      <c r="I1033" s="101"/>
      <c r="J1033" s="79"/>
      <c r="K1033" s="79"/>
      <c r="L1033" s="79"/>
      <c r="M1033" s="79"/>
      <c r="N1033" s="79"/>
      <c r="O1033" s="79"/>
      <c r="P1033" s="79"/>
      <c r="Q1033" s="79"/>
      <c r="R1033" s="79"/>
      <c r="S1033" s="79"/>
      <c r="T1033" s="79"/>
      <c r="U1033" s="79"/>
      <c r="V1033" s="79"/>
      <c r="W1033" s="79"/>
      <c r="X1033" s="79"/>
      <c r="Y1033" s="79"/>
      <c r="Z1033" s="79"/>
      <c r="AA1033" s="79"/>
      <c r="AB1033" s="79"/>
    </row>
    <row r="1034" spans="1:28" ht="15" x14ac:dyDescent="0.2">
      <c r="A1034" s="100"/>
      <c r="B1034" s="101"/>
      <c r="C1034" s="101"/>
      <c r="D1034" s="101"/>
      <c r="E1034" s="101"/>
      <c r="F1034" s="101"/>
      <c r="G1034" s="101"/>
      <c r="H1034" s="101"/>
      <c r="I1034" s="101"/>
      <c r="J1034" s="79"/>
      <c r="K1034" s="79"/>
      <c r="L1034" s="79"/>
      <c r="M1034" s="79"/>
      <c r="N1034" s="79"/>
      <c r="O1034" s="79"/>
      <c r="P1034" s="79"/>
      <c r="Q1034" s="79"/>
      <c r="R1034" s="79"/>
      <c r="S1034" s="79"/>
      <c r="T1034" s="79"/>
      <c r="U1034" s="79"/>
      <c r="V1034" s="79"/>
      <c r="W1034" s="79"/>
      <c r="X1034" s="79"/>
      <c r="Y1034" s="79"/>
      <c r="Z1034" s="79"/>
      <c r="AA1034" s="79"/>
      <c r="AB1034" s="79"/>
    </row>
    <row r="1035" spans="1:28" ht="15" x14ac:dyDescent="0.2">
      <c r="A1035" s="100"/>
      <c r="B1035" s="101"/>
      <c r="C1035" s="101"/>
      <c r="D1035" s="101"/>
      <c r="E1035" s="101"/>
      <c r="F1035" s="101"/>
      <c r="G1035" s="101"/>
      <c r="H1035" s="101"/>
      <c r="I1035" s="101"/>
      <c r="J1035" s="79"/>
      <c r="K1035" s="79"/>
      <c r="L1035" s="79"/>
      <c r="M1035" s="79"/>
      <c r="N1035" s="79"/>
      <c r="O1035" s="79"/>
      <c r="P1035" s="79"/>
      <c r="Q1035" s="79"/>
      <c r="R1035" s="79"/>
      <c r="S1035" s="79"/>
      <c r="T1035" s="79"/>
      <c r="U1035" s="79"/>
      <c r="V1035" s="79"/>
      <c r="W1035" s="79"/>
      <c r="X1035" s="79"/>
      <c r="Y1035" s="79"/>
      <c r="Z1035" s="79"/>
      <c r="AA1035" s="79"/>
      <c r="AB1035" s="79"/>
    </row>
    <row r="1036" spans="1:28" ht="15" x14ac:dyDescent="0.2">
      <c r="A1036" s="100"/>
      <c r="B1036" s="101"/>
      <c r="C1036" s="101"/>
      <c r="D1036" s="101"/>
      <c r="E1036" s="101"/>
      <c r="F1036" s="101"/>
      <c r="G1036" s="101"/>
      <c r="H1036" s="101"/>
      <c r="I1036" s="101"/>
      <c r="J1036" s="79"/>
      <c r="K1036" s="79"/>
      <c r="L1036" s="79"/>
      <c r="M1036" s="79"/>
      <c r="N1036" s="79"/>
      <c r="O1036" s="79"/>
      <c r="P1036" s="79"/>
      <c r="Q1036" s="79"/>
      <c r="R1036" s="79"/>
      <c r="S1036" s="79"/>
      <c r="T1036" s="79"/>
      <c r="U1036" s="79"/>
      <c r="V1036" s="79"/>
      <c r="W1036" s="79"/>
      <c r="X1036" s="79"/>
      <c r="Y1036" s="79"/>
      <c r="Z1036" s="79"/>
      <c r="AA1036" s="79"/>
      <c r="AB1036" s="79"/>
    </row>
    <row r="1037" spans="1:28" ht="15" x14ac:dyDescent="0.2">
      <c r="A1037" s="100"/>
      <c r="B1037" s="101"/>
      <c r="C1037" s="101"/>
      <c r="D1037" s="101"/>
      <c r="E1037" s="101"/>
      <c r="F1037" s="101"/>
      <c r="G1037" s="101"/>
      <c r="H1037" s="101"/>
      <c r="I1037" s="101"/>
      <c r="J1037" s="79"/>
      <c r="K1037" s="79"/>
      <c r="L1037" s="79"/>
      <c r="M1037" s="79"/>
      <c r="N1037" s="79"/>
      <c r="O1037" s="79"/>
      <c r="P1037" s="79"/>
      <c r="Q1037" s="79"/>
      <c r="R1037" s="79"/>
      <c r="S1037" s="79"/>
      <c r="T1037" s="79"/>
      <c r="U1037" s="79"/>
      <c r="V1037" s="79"/>
      <c r="W1037" s="79"/>
      <c r="X1037" s="79"/>
      <c r="Y1037" s="79"/>
      <c r="Z1037" s="79"/>
      <c r="AA1037" s="79"/>
      <c r="AB1037" s="79"/>
    </row>
    <row r="1038" spans="1:28" ht="15" x14ac:dyDescent="0.2">
      <c r="A1038" s="100"/>
      <c r="B1038" s="101"/>
      <c r="C1038" s="101"/>
      <c r="D1038" s="101"/>
      <c r="E1038" s="101"/>
      <c r="F1038" s="101"/>
      <c r="G1038" s="101"/>
      <c r="H1038" s="101"/>
      <c r="I1038" s="101"/>
      <c r="J1038" s="79"/>
      <c r="K1038" s="79"/>
      <c r="L1038" s="79"/>
      <c r="M1038" s="79"/>
      <c r="N1038" s="79"/>
      <c r="O1038" s="79"/>
      <c r="P1038" s="79"/>
      <c r="Q1038" s="79"/>
      <c r="R1038" s="79"/>
      <c r="S1038" s="79"/>
      <c r="T1038" s="79"/>
      <c r="U1038" s="79"/>
      <c r="V1038" s="79"/>
      <c r="W1038" s="79"/>
      <c r="X1038" s="79"/>
      <c r="Y1038" s="79"/>
      <c r="Z1038" s="79"/>
      <c r="AA1038" s="79"/>
      <c r="AB1038" s="79"/>
    </row>
    <row r="1039" spans="1:28" ht="15" x14ac:dyDescent="0.2">
      <c r="A1039" s="100"/>
      <c r="B1039" s="101"/>
      <c r="C1039" s="101"/>
      <c r="D1039" s="101"/>
      <c r="E1039" s="101"/>
      <c r="F1039" s="101"/>
      <c r="G1039" s="101"/>
      <c r="H1039" s="101"/>
      <c r="I1039" s="101"/>
      <c r="J1039" s="79"/>
      <c r="K1039" s="79"/>
      <c r="L1039" s="79"/>
      <c r="M1039" s="79"/>
      <c r="N1039" s="79"/>
      <c r="O1039" s="79"/>
      <c r="P1039" s="79"/>
      <c r="Q1039" s="79"/>
      <c r="R1039" s="79"/>
      <c r="S1039" s="79"/>
      <c r="T1039" s="79"/>
      <c r="U1039" s="79"/>
      <c r="V1039" s="79"/>
      <c r="W1039" s="79"/>
      <c r="X1039" s="79"/>
      <c r="Y1039" s="79"/>
      <c r="Z1039" s="79"/>
      <c r="AA1039" s="79"/>
      <c r="AB1039" s="79"/>
    </row>
    <row r="1040" spans="1:28" ht="15" x14ac:dyDescent="0.2">
      <c r="A1040" s="100"/>
      <c r="B1040" s="101"/>
      <c r="C1040" s="101"/>
      <c r="D1040" s="101"/>
      <c r="E1040" s="101"/>
      <c r="F1040" s="101"/>
      <c r="G1040" s="101"/>
      <c r="H1040" s="101"/>
      <c r="I1040" s="101"/>
      <c r="J1040" s="79"/>
      <c r="K1040" s="79"/>
      <c r="L1040" s="79"/>
      <c r="M1040" s="79"/>
      <c r="N1040" s="79"/>
      <c r="O1040" s="79"/>
      <c r="P1040" s="79"/>
      <c r="Q1040" s="79"/>
      <c r="R1040" s="79"/>
      <c r="S1040" s="79"/>
      <c r="T1040" s="79"/>
      <c r="U1040" s="79"/>
      <c r="V1040" s="79"/>
      <c r="W1040" s="79"/>
      <c r="X1040" s="79"/>
      <c r="Y1040" s="79"/>
      <c r="Z1040" s="79"/>
      <c r="AA1040" s="79"/>
      <c r="AB1040" s="79"/>
    </row>
    <row r="1041" spans="1:28" ht="15" x14ac:dyDescent="0.2">
      <c r="A1041" s="100"/>
      <c r="B1041" s="101"/>
      <c r="C1041" s="101"/>
      <c r="D1041" s="101"/>
      <c r="E1041" s="101"/>
      <c r="F1041" s="101"/>
      <c r="G1041" s="101"/>
      <c r="H1041" s="101"/>
      <c r="I1041" s="101"/>
      <c r="J1041" s="79"/>
      <c r="K1041" s="79"/>
      <c r="L1041" s="79"/>
      <c r="M1041" s="79"/>
      <c r="N1041" s="79"/>
      <c r="O1041" s="79"/>
      <c r="P1041" s="79"/>
      <c r="Q1041" s="79"/>
      <c r="R1041" s="79"/>
      <c r="S1041" s="79"/>
      <c r="T1041" s="79"/>
      <c r="U1041" s="79"/>
      <c r="V1041" s="79"/>
      <c r="W1041" s="79"/>
      <c r="X1041" s="79"/>
      <c r="Y1041" s="79"/>
      <c r="Z1041" s="79"/>
      <c r="AA1041" s="79"/>
      <c r="AB1041" s="79"/>
    </row>
    <row r="1042" spans="1:28" ht="15" x14ac:dyDescent="0.2">
      <c r="A1042" s="100"/>
      <c r="B1042" s="101"/>
      <c r="C1042" s="101"/>
      <c r="D1042" s="101"/>
      <c r="E1042" s="101"/>
      <c r="F1042" s="101"/>
      <c r="G1042" s="101"/>
      <c r="H1042" s="101"/>
      <c r="I1042" s="101"/>
      <c r="J1042" s="79"/>
      <c r="K1042" s="79"/>
      <c r="L1042" s="79"/>
      <c r="M1042" s="79"/>
      <c r="N1042" s="79"/>
      <c r="O1042" s="79"/>
      <c r="P1042" s="79"/>
      <c r="Q1042" s="79"/>
      <c r="R1042" s="79"/>
      <c r="S1042" s="79"/>
      <c r="T1042" s="79"/>
      <c r="U1042" s="79"/>
      <c r="V1042" s="79"/>
      <c r="W1042" s="79"/>
      <c r="X1042" s="79"/>
      <c r="Y1042" s="79"/>
      <c r="Z1042" s="79"/>
      <c r="AA1042" s="79"/>
      <c r="AB1042" s="79"/>
    </row>
    <row r="1043" spans="1:28" ht="15" x14ac:dyDescent="0.2">
      <c r="A1043" s="100"/>
      <c r="B1043" s="101"/>
      <c r="C1043" s="101"/>
      <c r="D1043" s="101"/>
      <c r="E1043" s="101"/>
      <c r="F1043" s="101"/>
      <c r="G1043" s="101"/>
      <c r="H1043" s="101"/>
      <c r="I1043" s="101"/>
      <c r="J1043" s="79"/>
      <c r="K1043" s="79"/>
      <c r="L1043" s="79"/>
      <c r="M1043" s="79"/>
      <c r="N1043" s="79"/>
      <c r="O1043" s="79"/>
      <c r="P1043" s="79"/>
      <c r="Q1043" s="79"/>
      <c r="R1043" s="79"/>
      <c r="S1043" s="79"/>
      <c r="T1043" s="79"/>
      <c r="U1043" s="79"/>
      <c r="V1043" s="79"/>
      <c r="W1043" s="79"/>
      <c r="X1043" s="79"/>
      <c r="Y1043" s="79"/>
      <c r="Z1043" s="79"/>
      <c r="AA1043" s="79"/>
      <c r="AB1043" s="79"/>
    </row>
    <row r="1044" spans="1:28" ht="15" x14ac:dyDescent="0.2">
      <c r="A1044" s="100"/>
      <c r="B1044" s="101"/>
      <c r="C1044" s="101"/>
      <c r="D1044" s="101"/>
      <c r="E1044" s="101"/>
      <c r="F1044" s="101"/>
      <c r="G1044" s="101"/>
      <c r="H1044" s="101"/>
      <c r="I1044" s="101"/>
      <c r="J1044" s="79"/>
      <c r="K1044" s="79"/>
      <c r="L1044" s="79"/>
      <c r="M1044" s="79"/>
      <c r="N1044" s="79"/>
      <c r="O1044" s="79"/>
      <c r="P1044" s="79"/>
      <c r="Q1044" s="79"/>
      <c r="R1044" s="79"/>
      <c r="S1044" s="79"/>
      <c r="T1044" s="79"/>
      <c r="U1044" s="79"/>
      <c r="V1044" s="79"/>
      <c r="W1044" s="79"/>
      <c r="X1044" s="79"/>
      <c r="Y1044" s="79"/>
      <c r="Z1044" s="79"/>
      <c r="AA1044" s="79"/>
      <c r="AB1044" s="79"/>
    </row>
    <row r="1045" spans="1:28" ht="15" x14ac:dyDescent="0.2">
      <c r="A1045" s="100"/>
      <c r="B1045" s="101"/>
      <c r="C1045" s="101"/>
      <c r="D1045" s="101"/>
      <c r="E1045" s="101"/>
      <c r="F1045" s="101"/>
      <c r="G1045" s="101"/>
      <c r="H1045" s="101"/>
      <c r="I1045" s="101"/>
      <c r="J1045" s="79"/>
      <c r="K1045" s="79"/>
      <c r="L1045" s="79"/>
      <c r="M1045" s="79"/>
      <c r="N1045" s="79"/>
      <c r="O1045" s="79"/>
      <c r="P1045" s="79"/>
      <c r="Q1045" s="79"/>
      <c r="R1045" s="79"/>
      <c r="S1045" s="79"/>
      <c r="T1045" s="79"/>
      <c r="U1045" s="79"/>
      <c r="V1045" s="79"/>
      <c r="W1045" s="79"/>
      <c r="X1045" s="79"/>
      <c r="Y1045" s="79"/>
      <c r="Z1045" s="79"/>
      <c r="AA1045" s="79"/>
      <c r="AB1045" s="79"/>
    </row>
    <row r="1046" spans="1:28" ht="15" x14ac:dyDescent="0.2">
      <c r="A1046" s="100"/>
      <c r="B1046" s="101"/>
      <c r="C1046" s="101"/>
      <c r="D1046" s="101"/>
      <c r="E1046" s="101"/>
      <c r="F1046" s="101"/>
      <c r="G1046" s="101"/>
      <c r="H1046" s="101"/>
      <c r="I1046" s="101"/>
      <c r="J1046" s="79"/>
      <c r="K1046" s="79"/>
      <c r="L1046" s="79"/>
      <c r="M1046" s="79"/>
      <c r="N1046" s="79"/>
      <c r="O1046" s="79"/>
      <c r="P1046" s="79"/>
      <c r="Q1046" s="79"/>
      <c r="R1046" s="79"/>
      <c r="S1046" s="79"/>
      <c r="T1046" s="79"/>
      <c r="U1046" s="79"/>
      <c r="V1046" s="79"/>
      <c r="W1046" s="79"/>
      <c r="X1046" s="79"/>
      <c r="Y1046" s="79"/>
      <c r="Z1046" s="79"/>
      <c r="AA1046" s="79"/>
      <c r="AB1046" s="79"/>
    </row>
    <row r="1047" spans="1:28" ht="15" x14ac:dyDescent="0.2">
      <c r="A1047" s="100"/>
      <c r="B1047" s="101"/>
      <c r="C1047" s="101"/>
      <c r="D1047" s="101"/>
      <c r="E1047" s="101"/>
      <c r="F1047" s="101"/>
      <c r="G1047" s="101"/>
      <c r="H1047" s="101"/>
      <c r="I1047" s="101"/>
      <c r="J1047" s="79"/>
      <c r="K1047" s="79"/>
      <c r="L1047" s="79"/>
      <c r="M1047" s="79"/>
      <c r="N1047" s="79"/>
      <c r="O1047" s="79"/>
      <c r="P1047" s="79"/>
      <c r="Q1047" s="79"/>
      <c r="R1047" s="79"/>
      <c r="S1047" s="79"/>
      <c r="T1047" s="79"/>
      <c r="U1047" s="79"/>
      <c r="V1047" s="79"/>
      <c r="W1047" s="79"/>
      <c r="X1047" s="79"/>
      <c r="Y1047" s="79"/>
      <c r="Z1047" s="79"/>
      <c r="AA1047" s="79"/>
      <c r="AB1047" s="79"/>
    </row>
    <row r="1048" spans="1:28" ht="15" x14ac:dyDescent="0.2">
      <c r="A1048" s="100"/>
      <c r="B1048" s="101"/>
      <c r="C1048" s="101"/>
      <c r="D1048" s="101"/>
      <c r="E1048" s="101"/>
      <c r="F1048" s="101"/>
      <c r="G1048" s="101"/>
      <c r="H1048" s="101"/>
      <c r="I1048" s="101"/>
      <c r="J1048" s="79"/>
      <c r="K1048" s="79"/>
      <c r="L1048" s="79"/>
      <c r="M1048" s="79"/>
      <c r="N1048" s="79"/>
      <c r="O1048" s="79"/>
      <c r="P1048" s="79"/>
      <c r="Q1048" s="79"/>
      <c r="R1048" s="79"/>
      <c r="S1048" s="79"/>
      <c r="T1048" s="79"/>
      <c r="U1048" s="79"/>
      <c r="V1048" s="79"/>
      <c r="W1048" s="79"/>
      <c r="X1048" s="79"/>
      <c r="Y1048" s="79"/>
      <c r="Z1048" s="79"/>
      <c r="AA1048" s="79"/>
      <c r="AB1048" s="79"/>
    </row>
    <row r="1049" spans="1:28" ht="15" x14ac:dyDescent="0.2">
      <c r="A1049" s="100"/>
      <c r="B1049" s="101"/>
      <c r="C1049" s="101"/>
      <c r="D1049" s="101"/>
      <c r="E1049" s="101"/>
      <c r="F1049" s="101"/>
      <c r="G1049" s="101"/>
      <c r="H1049" s="101"/>
      <c r="I1049" s="101"/>
      <c r="J1049" s="79"/>
      <c r="K1049" s="79"/>
      <c r="L1049" s="79"/>
      <c r="M1049" s="79"/>
      <c r="N1049" s="79"/>
      <c r="O1049" s="79"/>
      <c r="P1049" s="79"/>
      <c r="Q1049" s="79"/>
      <c r="R1049" s="79"/>
      <c r="S1049" s="79"/>
      <c r="T1049" s="79"/>
      <c r="U1049" s="79"/>
      <c r="V1049" s="79"/>
      <c r="W1049" s="79"/>
      <c r="X1049" s="79"/>
      <c r="Y1049" s="79"/>
      <c r="Z1049" s="79"/>
      <c r="AA1049" s="79"/>
      <c r="AB1049" s="79"/>
    </row>
    <row r="1050" spans="1:28" ht="15" x14ac:dyDescent="0.2">
      <c r="A1050" s="100"/>
      <c r="B1050" s="101"/>
      <c r="C1050" s="101"/>
      <c r="D1050" s="101"/>
      <c r="E1050" s="101"/>
      <c r="F1050" s="101"/>
      <c r="G1050" s="101"/>
      <c r="H1050" s="101"/>
      <c r="I1050" s="101"/>
      <c r="J1050" s="79"/>
      <c r="K1050" s="79"/>
      <c r="L1050" s="79"/>
      <c r="M1050" s="79"/>
      <c r="N1050" s="79"/>
      <c r="O1050" s="79"/>
      <c r="P1050" s="79"/>
      <c r="Q1050" s="79"/>
      <c r="R1050" s="79"/>
      <c r="S1050" s="79"/>
      <c r="T1050" s="79"/>
      <c r="U1050" s="79"/>
      <c r="V1050" s="79"/>
      <c r="W1050" s="79"/>
      <c r="X1050" s="79"/>
      <c r="Y1050" s="79"/>
      <c r="Z1050" s="79"/>
      <c r="AA1050" s="79"/>
      <c r="AB1050" s="79"/>
    </row>
    <row r="1051" spans="1:28" ht="15" x14ac:dyDescent="0.2">
      <c r="A1051" s="100"/>
      <c r="B1051" s="101"/>
      <c r="C1051" s="101"/>
      <c r="D1051" s="101"/>
      <c r="E1051" s="101"/>
      <c r="F1051" s="101"/>
      <c r="G1051" s="101"/>
      <c r="H1051" s="101"/>
      <c r="I1051" s="101"/>
      <c r="J1051" s="79"/>
      <c r="K1051" s="79"/>
      <c r="L1051" s="79"/>
      <c r="M1051" s="79"/>
      <c r="N1051" s="79"/>
      <c r="O1051" s="79"/>
      <c r="P1051" s="79"/>
      <c r="Q1051" s="79"/>
      <c r="R1051" s="79"/>
      <c r="S1051" s="79"/>
      <c r="T1051" s="79"/>
      <c r="U1051" s="79"/>
      <c r="V1051" s="79"/>
      <c r="W1051" s="79"/>
      <c r="X1051" s="79"/>
      <c r="Y1051" s="79"/>
      <c r="Z1051" s="79"/>
      <c r="AA1051" s="79"/>
      <c r="AB1051" s="79"/>
    </row>
    <row r="1052" spans="1:28" ht="15" x14ac:dyDescent="0.2">
      <c r="A1052" s="100"/>
      <c r="B1052" s="101"/>
      <c r="C1052" s="101"/>
      <c r="D1052" s="101"/>
      <c r="E1052" s="101"/>
      <c r="F1052" s="101"/>
      <c r="G1052" s="101"/>
      <c r="H1052" s="101"/>
      <c r="I1052" s="101"/>
      <c r="J1052" s="79"/>
      <c r="K1052" s="79"/>
      <c r="L1052" s="79"/>
      <c r="M1052" s="79"/>
      <c r="N1052" s="79"/>
      <c r="O1052" s="79"/>
      <c r="P1052" s="79"/>
      <c r="Q1052" s="79"/>
      <c r="R1052" s="79"/>
      <c r="S1052" s="79"/>
      <c r="T1052" s="79"/>
      <c r="U1052" s="79"/>
      <c r="V1052" s="79"/>
      <c r="W1052" s="79"/>
      <c r="X1052" s="79"/>
      <c r="Y1052" s="79"/>
      <c r="Z1052" s="79"/>
      <c r="AA1052" s="79"/>
      <c r="AB1052" s="79"/>
    </row>
    <row r="1053" spans="1:28" ht="15" x14ac:dyDescent="0.2">
      <c r="A1053" s="100"/>
      <c r="B1053" s="101"/>
      <c r="C1053" s="101"/>
      <c r="D1053" s="101"/>
      <c r="E1053" s="101"/>
      <c r="F1053" s="101"/>
      <c r="G1053" s="101"/>
      <c r="H1053" s="101"/>
      <c r="I1053" s="101"/>
      <c r="J1053" s="79"/>
      <c r="K1053" s="79"/>
      <c r="L1053" s="79"/>
      <c r="M1053" s="79"/>
      <c r="N1053" s="79"/>
      <c r="O1053" s="79"/>
      <c r="P1053" s="79"/>
      <c r="Q1053" s="79"/>
      <c r="R1053" s="79"/>
      <c r="S1053" s="79"/>
      <c r="T1053" s="79"/>
      <c r="U1053" s="79"/>
      <c r="V1053" s="79"/>
      <c r="W1053" s="79"/>
      <c r="X1053" s="79"/>
      <c r="Y1053" s="79"/>
      <c r="Z1053" s="79"/>
      <c r="AA1053" s="79"/>
      <c r="AB1053" s="79"/>
    </row>
    <row r="1054" spans="1:28" ht="15" x14ac:dyDescent="0.2">
      <c r="A1054" s="100"/>
      <c r="B1054" s="101"/>
      <c r="C1054" s="101"/>
      <c r="D1054" s="101"/>
      <c r="E1054" s="101"/>
      <c r="F1054" s="101"/>
      <c r="G1054" s="101"/>
      <c r="H1054" s="101"/>
      <c r="I1054" s="101"/>
      <c r="J1054" s="79"/>
      <c r="K1054" s="79"/>
      <c r="L1054" s="79"/>
      <c r="M1054" s="79"/>
      <c r="N1054" s="79"/>
      <c r="O1054" s="79"/>
      <c r="P1054" s="79"/>
      <c r="Q1054" s="79"/>
      <c r="R1054" s="79"/>
      <c r="S1054" s="79"/>
      <c r="T1054" s="79"/>
      <c r="U1054" s="79"/>
      <c r="V1054" s="79"/>
      <c r="W1054" s="79"/>
      <c r="X1054" s="79"/>
      <c r="Y1054" s="79"/>
      <c r="Z1054" s="79"/>
      <c r="AA1054" s="79"/>
      <c r="AB1054" s="79"/>
    </row>
    <row r="1055" spans="1:28" ht="15" x14ac:dyDescent="0.2">
      <c r="A1055" s="100"/>
      <c r="B1055" s="101"/>
      <c r="C1055" s="101"/>
      <c r="D1055" s="101"/>
      <c r="E1055" s="101"/>
      <c r="F1055" s="101"/>
      <c r="G1055" s="101"/>
      <c r="H1055" s="101"/>
      <c r="I1055" s="101"/>
      <c r="J1055" s="79"/>
      <c r="K1055" s="79"/>
      <c r="L1055" s="79"/>
      <c r="M1055" s="79"/>
      <c r="N1055" s="79"/>
      <c r="O1055" s="79"/>
      <c r="P1055" s="79"/>
      <c r="Q1055" s="79"/>
      <c r="R1055" s="79"/>
      <c r="S1055" s="79"/>
      <c r="T1055" s="79"/>
      <c r="U1055" s="79"/>
      <c r="V1055" s="79"/>
      <c r="W1055" s="79"/>
      <c r="X1055" s="79"/>
      <c r="Y1055" s="79"/>
      <c r="Z1055" s="79"/>
      <c r="AA1055" s="79"/>
      <c r="AB1055" s="79"/>
    </row>
    <row r="1056" spans="1:28" ht="15" x14ac:dyDescent="0.2">
      <c r="A1056" s="100"/>
      <c r="B1056" s="101"/>
      <c r="C1056" s="101"/>
      <c r="D1056" s="101"/>
      <c r="E1056" s="101"/>
      <c r="F1056" s="101"/>
      <c r="G1056" s="101"/>
      <c r="H1056" s="101"/>
      <c r="I1056" s="101"/>
      <c r="J1056" s="79"/>
      <c r="K1056" s="79"/>
      <c r="L1056" s="79"/>
      <c r="M1056" s="79"/>
      <c r="N1056" s="79"/>
      <c r="O1056" s="79"/>
      <c r="P1056" s="79"/>
      <c r="Q1056" s="79"/>
      <c r="R1056" s="79"/>
      <c r="S1056" s="79"/>
      <c r="T1056" s="79"/>
      <c r="U1056" s="79"/>
      <c r="V1056" s="79"/>
      <c r="W1056" s="79"/>
      <c r="X1056" s="79"/>
      <c r="Y1056" s="79"/>
      <c r="Z1056" s="79"/>
      <c r="AA1056" s="79"/>
      <c r="AB1056" s="79"/>
    </row>
    <row r="1057" spans="1:28" ht="15" x14ac:dyDescent="0.2">
      <c r="A1057" s="100"/>
      <c r="B1057" s="101"/>
      <c r="C1057" s="101"/>
      <c r="D1057" s="101"/>
      <c r="E1057" s="101"/>
      <c r="F1057" s="101"/>
      <c r="G1057" s="101"/>
      <c r="H1057" s="101"/>
      <c r="I1057" s="101"/>
      <c r="J1057" s="79"/>
      <c r="K1057" s="79"/>
      <c r="L1057" s="79"/>
      <c r="M1057" s="79"/>
      <c r="N1057" s="79"/>
      <c r="O1057" s="79"/>
      <c r="P1057" s="79"/>
      <c r="Q1057" s="79"/>
      <c r="R1057" s="79"/>
      <c r="S1057" s="79"/>
      <c r="T1057" s="79"/>
      <c r="U1057" s="79"/>
      <c r="V1057" s="79"/>
      <c r="W1057" s="79"/>
      <c r="X1057" s="79"/>
      <c r="Y1057" s="79"/>
      <c r="Z1057" s="79"/>
      <c r="AA1057" s="79"/>
      <c r="AB1057" s="79"/>
    </row>
    <row r="1058" spans="1:28" ht="15" x14ac:dyDescent="0.2">
      <c r="A1058" s="100"/>
      <c r="B1058" s="101"/>
      <c r="C1058" s="101"/>
      <c r="D1058" s="101"/>
      <c r="E1058" s="101"/>
      <c r="F1058" s="101"/>
      <c r="G1058" s="101"/>
      <c r="H1058" s="101"/>
      <c r="I1058" s="101"/>
      <c r="J1058" s="79"/>
      <c r="K1058" s="79"/>
      <c r="L1058" s="79"/>
      <c r="M1058" s="79"/>
      <c r="N1058" s="79"/>
      <c r="O1058" s="79"/>
      <c r="P1058" s="79"/>
      <c r="Q1058" s="79"/>
      <c r="R1058" s="79"/>
      <c r="S1058" s="79"/>
      <c r="T1058" s="79"/>
      <c r="U1058" s="79"/>
      <c r="V1058" s="79"/>
      <c r="W1058" s="79"/>
      <c r="X1058" s="79"/>
      <c r="Y1058" s="79"/>
      <c r="Z1058" s="79"/>
      <c r="AA1058" s="79"/>
      <c r="AB1058" s="79"/>
    </row>
    <row r="1059" spans="1:28" ht="15" x14ac:dyDescent="0.2">
      <c r="A1059" s="100"/>
      <c r="B1059" s="101"/>
      <c r="C1059" s="101"/>
      <c r="D1059" s="101"/>
      <c r="E1059" s="101"/>
      <c r="F1059" s="101"/>
      <c r="G1059" s="101"/>
      <c r="H1059" s="101"/>
      <c r="I1059" s="101"/>
      <c r="J1059" s="79"/>
      <c r="K1059" s="79"/>
      <c r="L1059" s="79"/>
      <c r="M1059" s="79"/>
      <c r="N1059" s="79"/>
      <c r="O1059" s="79"/>
      <c r="P1059" s="79"/>
      <c r="Q1059" s="79"/>
      <c r="R1059" s="79"/>
      <c r="S1059" s="79"/>
      <c r="T1059" s="79"/>
      <c r="U1059" s="79"/>
      <c r="V1059" s="79"/>
      <c r="W1059" s="79"/>
      <c r="X1059" s="79"/>
      <c r="Y1059" s="79"/>
      <c r="Z1059" s="79"/>
      <c r="AA1059" s="79"/>
      <c r="AB1059" s="79"/>
    </row>
    <row r="1060" spans="1:28" ht="15" x14ac:dyDescent="0.2">
      <c r="A1060" s="100"/>
      <c r="B1060" s="101"/>
      <c r="C1060" s="101"/>
      <c r="D1060" s="101"/>
      <c r="E1060" s="101"/>
      <c r="F1060" s="101"/>
      <c r="G1060" s="101"/>
      <c r="H1060" s="101"/>
      <c r="I1060" s="101"/>
      <c r="J1060" s="79"/>
      <c r="K1060" s="79"/>
      <c r="L1060" s="79"/>
      <c r="M1060" s="79"/>
      <c r="N1060" s="79"/>
      <c r="O1060" s="79"/>
      <c r="P1060" s="79"/>
      <c r="Q1060" s="79"/>
      <c r="R1060" s="79"/>
      <c r="S1060" s="79"/>
      <c r="T1060" s="79"/>
      <c r="U1060" s="79"/>
      <c r="V1060" s="79"/>
      <c r="W1060" s="79"/>
      <c r="X1060" s="79"/>
      <c r="Y1060" s="79"/>
      <c r="Z1060" s="79"/>
      <c r="AA1060" s="79"/>
      <c r="AB1060" s="79"/>
    </row>
    <row r="1061" spans="1:28" ht="15" x14ac:dyDescent="0.2">
      <c r="A1061" s="100"/>
      <c r="B1061" s="101"/>
      <c r="C1061" s="101"/>
      <c r="D1061" s="101"/>
      <c r="E1061" s="101"/>
      <c r="F1061" s="101"/>
      <c r="G1061" s="101"/>
      <c r="H1061" s="101"/>
      <c r="I1061" s="101"/>
      <c r="J1061" s="79"/>
      <c r="K1061" s="79"/>
      <c r="L1061" s="79"/>
      <c r="M1061" s="79"/>
      <c r="N1061" s="79"/>
      <c r="O1061" s="79"/>
      <c r="P1061" s="79"/>
      <c r="Q1061" s="79"/>
      <c r="R1061" s="79"/>
      <c r="S1061" s="79"/>
      <c r="T1061" s="79"/>
      <c r="U1061" s="79"/>
      <c r="V1061" s="79"/>
      <c r="W1061" s="79"/>
      <c r="X1061" s="79"/>
      <c r="Y1061" s="79"/>
      <c r="Z1061" s="79"/>
      <c r="AA1061" s="79"/>
      <c r="AB1061" s="79"/>
    </row>
    <row r="1062" spans="1:28" ht="15" x14ac:dyDescent="0.2">
      <c r="A1062" s="100"/>
      <c r="B1062" s="101"/>
      <c r="C1062" s="101"/>
      <c r="D1062" s="101"/>
      <c r="E1062" s="101"/>
      <c r="F1062" s="101"/>
      <c r="G1062" s="101"/>
      <c r="H1062" s="101"/>
      <c r="I1062" s="101"/>
      <c r="J1062" s="79"/>
      <c r="K1062" s="79"/>
      <c r="L1062" s="79"/>
      <c r="M1062" s="79"/>
      <c r="N1062" s="79"/>
      <c r="O1062" s="79"/>
      <c r="P1062" s="79"/>
      <c r="Q1062" s="79"/>
      <c r="R1062" s="79"/>
      <c r="S1062" s="79"/>
      <c r="T1062" s="79"/>
      <c r="U1062" s="79"/>
      <c r="V1062" s="79"/>
      <c r="W1062" s="79"/>
      <c r="X1062" s="79"/>
      <c r="Y1062" s="79"/>
      <c r="Z1062" s="79"/>
      <c r="AA1062" s="79"/>
      <c r="AB1062" s="79"/>
    </row>
    <row r="1063" spans="1:28" ht="15" x14ac:dyDescent="0.2">
      <c r="A1063" s="100"/>
      <c r="B1063" s="101"/>
      <c r="C1063" s="101"/>
      <c r="D1063" s="101"/>
      <c r="E1063" s="101"/>
      <c r="F1063" s="101"/>
      <c r="G1063" s="101"/>
      <c r="H1063" s="101"/>
      <c r="I1063" s="101"/>
      <c r="J1063" s="79"/>
      <c r="K1063" s="79"/>
      <c r="L1063" s="79"/>
      <c r="M1063" s="79"/>
      <c r="N1063" s="79"/>
      <c r="O1063" s="79"/>
      <c r="P1063" s="79"/>
      <c r="Q1063" s="79"/>
      <c r="R1063" s="79"/>
      <c r="S1063" s="79"/>
      <c r="T1063" s="79"/>
      <c r="U1063" s="79"/>
      <c r="V1063" s="79"/>
      <c r="W1063" s="79"/>
      <c r="X1063" s="79"/>
      <c r="Y1063" s="79"/>
      <c r="Z1063" s="79"/>
      <c r="AA1063" s="79"/>
      <c r="AB1063" s="79"/>
    </row>
    <row r="1064" spans="1:28" ht="15" x14ac:dyDescent="0.2">
      <c r="A1064" s="100"/>
      <c r="B1064" s="101"/>
      <c r="C1064" s="101"/>
      <c r="D1064" s="101"/>
      <c r="E1064" s="101"/>
      <c r="F1064" s="101"/>
      <c r="G1064" s="101"/>
      <c r="H1064" s="101"/>
      <c r="I1064" s="101"/>
      <c r="J1064" s="79"/>
      <c r="K1064" s="79"/>
      <c r="L1064" s="79"/>
      <c r="M1064" s="79"/>
      <c r="N1064" s="79"/>
      <c r="O1064" s="79"/>
      <c r="P1064" s="79"/>
      <c r="Q1064" s="79"/>
      <c r="R1064" s="79"/>
      <c r="S1064" s="79"/>
      <c r="T1064" s="79"/>
      <c r="U1064" s="79"/>
      <c r="V1064" s="79"/>
      <c r="W1064" s="79"/>
      <c r="X1064" s="79"/>
      <c r="Y1064" s="79"/>
      <c r="Z1064" s="79"/>
      <c r="AA1064" s="79"/>
      <c r="AB1064" s="79"/>
    </row>
    <row r="1065" spans="1:28" ht="15" x14ac:dyDescent="0.2">
      <c r="A1065" s="100"/>
      <c r="B1065" s="101"/>
      <c r="C1065" s="101"/>
      <c r="D1065" s="101"/>
      <c r="E1065" s="101"/>
      <c r="F1065" s="101"/>
      <c r="G1065" s="101"/>
      <c r="H1065" s="101"/>
      <c r="I1065" s="101"/>
      <c r="J1065" s="79"/>
      <c r="K1065" s="79"/>
      <c r="L1065" s="79"/>
      <c r="M1065" s="79"/>
      <c r="N1065" s="79"/>
      <c r="O1065" s="79"/>
      <c r="P1065" s="79"/>
      <c r="Q1065" s="79"/>
      <c r="R1065" s="79"/>
      <c r="S1065" s="79"/>
      <c r="T1065" s="79"/>
      <c r="U1065" s="79"/>
      <c r="V1065" s="79"/>
      <c r="W1065" s="79"/>
      <c r="X1065" s="79"/>
      <c r="Y1065" s="79"/>
      <c r="Z1065" s="79"/>
      <c r="AA1065" s="79"/>
      <c r="AB1065" s="79"/>
    </row>
    <row r="1066" spans="1:28" ht="15" x14ac:dyDescent="0.2">
      <c r="A1066" s="100"/>
      <c r="B1066" s="101"/>
      <c r="C1066" s="101"/>
      <c r="D1066" s="101"/>
      <c r="E1066" s="101"/>
      <c r="F1066" s="101"/>
      <c r="G1066" s="101"/>
      <c r="H1066" s="101"/>
      <c r="I1066" s="101"/>
      <c r="J1066" s="79"/>
      <c r="K1066" s="79"/>
      <c r="L1066" s="79"/>
      <c r="M1066" s="79"/>
      <c r="N1066" s="79"/>
      <c r="O1066" s="79"/>
      <c r="P1066" s="79"/>
      <c r="Q1066" s="79"/>
      <c r="R1066" s="79"/>
      <c r="S1066" s="79"/>
      <c r="T1066" s="79"/>
      <c r="U1066" s="79"/>
      <c r="V1066" s="79"/>
      <c r="W1066" s="79"/>
      <c r="X1066" s="79"/>
      <c r="Y1066" s="79"/>
      <c r="Z1066" s="79"/>
      <c r="AA1066" s="79"/>
      <c r="AB1066" s="79"/>
    </row>
    <row r="1067" spans="1:28" ht="15" x14ac:dyDescent="0.2">
      <c r="A1067" s="100"/>
      <c r="B1067" s="101"/>
      <c r="C1067" s="101"/>
      <c r="D1067" s="101"/>
      <c r="E1067" s="101"/>
      <c r="F1067" s="101"/>
      <c r="G1067" s="101"/>
      <c r="H1067" s="101"/>
      <c r="I1067" s="101"/>
      <c r="J1067" s="79"/>
      <c r="K1067" s="79"/>
      <c r="L1067" s="79"/>
      <c r="M1067" s="79"/>
      <c r="N1067" s="79"/>
      <c r="O1067" s="79"/>
      <c r="P1067" s="79"/>
      <c r="Q1067" s="79"/>
      <c r="R1067" s="79"/>
      <c r="S1067" s="79"/>
      <c r="T1067" s="79"/>
      <c r="U1067" s="79"/>
      <c r="V1067" s="79"/>
      <c r="W1067" s="79"/>
      <c r="X1067" s="79"/>
      <c r="Y1067" s="79"/>
      <c r="Z1067" s="79"/>
      <c r="AA1067" s="79"/>
      <c r="AB1067" s="79"/>
    </row>
    <row r="1068" spans="1:28" ht="15" x14ac:dyDescent="0.2">
      <c r="A1068" s="100"/>
      <c r="B1068" s="101"/>
      <c r="C1068" s="101"/>
      <c r="D1068" s="101"/>
      <c r="E1068" s="101"/>
      <c r="F1068" s="101"/>
      <c r="G1068" s="101"/>
      <c r="H1068" s="101"/>
      <c r="I1068" s="101"/>
      <c r="J1068" s="79"/>
      <c r="K1068" s="79"/>
      <c r="L1068" s="79"/>
      <c r="M1068" s="79"/>
      <c r="N1068" s="79"/>
      <c r="O1068" s="79"/>
      <c r="P1068" s="79"/>
      <c r="Q1068" s="79"/>
      <c r="R1068" s="79"/>
      <c r="S1068" s="79"/>
      <c r="T1068" s="79"/>
      <c r="U1068" s="79"/>
      <c r="V1068" s="79"/>
      <c r="W1068" s="79"/>
      <c r="X1068" s="79"/>
      <c r="Y1068" s="79"/>
      <c r="Z1068" s="79"/>
      <c r="AA1068" s="79"/>
      <c r="AB1068" s="79"/>
    </row>
    <row r="1069" spans="1:28" ht="15" x14ac:dyDescent="0.2">
      <c r="A1069" s="100"/>
      <c r="B1069" s="101"/>
      <c r="C1069" s="101"/>
      <c r="D1069" s="101"/>
      <c r="E1069" s="101"/>
      <c r="F1069" s="101"/>
      <c r="G1069" s="101"/>
      <c r="H1069" s="101"/>
      <c r="I1069" s="101"/>
      <c r="J1069" s="79"/>
      <c r="K1069" s="79"/>
      <c r="L1069" s="79"/>
      <c r="M1069" s="79"/>
      <c r="N1069" s="79"/>
      <c r="O1069" s="79"/>
      <c r="P1069" s="79"/>
      <c r="Q1069" s="79"/>
      <c r="R1069" s="79"/>
      <c r="S1069" s="79"/>
      <c r="T1069" s="79"/>
      <c r="U1069" s="79"/>
      <c r="V1069" s="79"/>
      <c r="W1069" s="79"/>
      <c r="X1069" s="79"/>
      <c r="Y1069" s="79"/>
      <c r="Z1069" s="79"/>
      <c r="AA1069" s="79"/>
      <c r="AB1069" s="79"/>
    </row>
    <row r="1070" spans="1:28" ht="15" x14ac:dyDescent="0.2">
      <c r="A1070" s="100"/>
      <c r="B1070" s="101"/>
      <c r="C1070" s="101"/>
      <c r="D1070" s="101"/>
      <c r="E1070" s="101"/>
      <c r="F1070" s="101"/>
      <c r="G1070" s="101"/>
      <c r="H1070" s="101"/>
      <c r="I1070" s="101"/>
      <c r="J1070" s="79"/>
      <c r="K1070" s="79"/>
      <c r="L1070" s="79"/>
      <c r="M1070" s="79"/>
      <c r="N1070" s="79"/>
      <c r="O1070" s="79"/>
      <c r="P1070" s="79"/>
      <c r="Q1070" s="79"/>
      <c r="R1070" s="79"/>
      <c r="S1070" s="79"/>
      <c r="T1070" s="79"/>
      <c r="U1070" s="79"/>
      <c r="V1070" s="79"/>
      <c r="W1070" s="79"/>
      <c r="X1070" s="79"/>
      <c r="Y1070" s="79"/>
      <c r="Z1070" s="79"/>
      <c r="AA1070" s="79"/>
      <c r="AB1070" s="79"/>
    </row>
    <row r="1071" spans="1:28" ht="15" x14ac:dyDescent="0.2">
      <c r="A1071" s="100"/>
      <c r="B1071" s="101"/>
      <c r="C1071" s="101"/>
      <c r="D1071" s="101"/>
      <c r="E1071" s="101"/>
      <c r="F1071" s="101"/>
      <c r="G1071" s="101"/>
      <c r="H1071" s="101"/>
      <c r="I1071" s="101"/>
      <c r="J1071" s="79"/>
      <c r="K1071" s="79"/>
      <c r="L1071" s="79"/>
      <c r="M1071" s="79"/>
      <c r="N1071" s="79"/>
      <c r="O1071" s="79"/>
      <c r="P1071" s="79"/>
      <c r="Q1071" s="79"/>
      <c r="R1071" s="79"/>
      <c r="S1071" s="79"/>
      <c r="T1071" s="79"/>
      <c r="U1071" s="79"/>
      <c r="V1071" s="79"/>
      <c r="W1071" s="79"/>
      <c r="X1071" s="79"/>
      <c r="Y1071" s="79"/>
      <c r="Z1071" s="79"/>
      <c r="AA1071" s="79"/>
      <c r="AB1071" s="79"/>
    </row>
    <row r="1072" spans="1:28" ht="15" x14ac:dyDescent="0.2">
      <c r="A1072" s="100"/>
      <c r="B1072" s="101"/>
      <c r="C1072" s="101"/>
      <c r="D1072" s="101"/>
      <c r="E1072" s="101"/>
      <c r="F1072" s="101"/>
      <c r="G1072" s="101"/>
      <c r="H1072" s="101"/>
      <c r="I1072" s="101"/>
      <c r="J1072" s="79"/>
      <c r="K1072" s="79"/>
      <c r="L1072" s="79"/>
      <c r="M1072" s="79"/>
      <c r="N1072" s="79"/>
      <c r="O1072" s="79"/>
      <c r="P1072" s="79"/>
      <c r="Q1072" s="79"/>
      <c r="R1072" s="79"/>
      <c r="S1072" s="79"/>
      <c r="T1072" s="79"/>
      <c r="U1072" s="79"/>
      <c r="V1072" s="79"/>
      <c r="W1072" s="79"/>
      <c r="X1072" s="79"/>
      <c r="Y1072" s="79"/>
      <c r="Z1072" s="79"/>
      <c r="AA1072" s="79"/>
      <c r="AB1072" s="79"/>
    </row>
    <row r="1073" spans="1:28" ht="15" x14ac:dyDescent="0.2">
      <c r="A1073" s="100"/>
      <c r="B1073" s="101"/>
      <c r="C1073" s="101"/>
      <c r="D1073" s="101"/>
      <c r="E1073" s="101"/>
      <c r="F1073" s="101"/>
      <c r="G1073" s="101"/>
      <c r="H1073" s="101"/>
      <c r="I1073" s="101"/>
      <c r="J1073" s="79"/>
      <c r="K1073" s="79"/>
      <c r="L1073" s="79"/>
      <c r="M1073" s="79"/>
      <c r="N1073" s="79"/>
      <c r="O1073" s="79"/>
      <c r="P1073" s="79"/>
      <c r="Q1073" s="79"/>
      <c r="R1073" s="79"/>
      <c r="S1073" s="79"/>
      <c r="T1073" s="79"/>
      <c r="U1073" s="79"/>
      <c r="V1073" s="79"/>
      <c r="W1073" s="79"/>
      <c r="X1073" s="79"/>
      <c r="Y1073" s="79"/>
      <c r="Z1073" s="79"/>
      <c r="AA1073" s="79"/>
      <c r="AB1073" s="79"/>
    </row>
    <row r="1074" spans="1:28" ht="15" x14ac:dyDescent="0.2">
      <c r="A1074" s="100"/>
      <c r="B1074" s="101"/>
      <c r="C1074" s="101"/>
      <c r="D1074" s="101"/>
      <c r="E1074" s="101"/>
      <c r="F1074" s="101"/>
      <c r="G1074" s="101"/>
      <c r="H1074" s="101"/>
      <c r="I1074" s="101"/>
      <c r="J1074" s="79"/>
      <c r="K1074" s="79"/>
      <c r="L1074" s="79"/>
      <c r="M1074" s="79"/>
      <c r="N1074" s="79"/>
      <c r="O1074" s="79"/>
      <c r="P1074" s="79"/>
      <c r="Q1074" s="79"/>
      <c r="R1074" s="79"/>
      <c r="S1074" s="79"/>
      <c r="T1074" s="79"/>
      <c r="U1074" s="79"/>
      <c r="V1074" s="79"/>
      <c r="W1074" s="79"/>
      <c r="X1074" s="79"/>
      <c r="Y1074" s="79"/>
      <c r="Z1074" s="79"/>
      <c r="AA1074" s="79"/>
      <c r="AB1074" s="79"/>
    </row>
    <row r="1075" spans="1:28" ht="15" x14ac:dyDescent="0.2">
      <c r="A1075" s="100"/>
      <c r="B1075" s="101"/>
      <c r="C1075" s="101"/>
      <c r="D1075" s="101"/>
      <c r="E1075" s="101"/>
      <c r="F1075" s="101"/>
      <c r="G1075" s="101"/>
      <c r="H1075" s="101"/>
      <c r="I1075" s="101"/>
      <c r="J1075" s="79"/>
      <c r="K1075" s="79"/>
      <c r="L1075" s="79"/>
      <c r="M1075" s="79"/>
      <c r="N1075" s="79"/>
      <c r="O1075" s="79"/>
      <c r="P1075" s="79"/>
      <c r="Q1075" s="79"/>
      <c r="R1075" s="79"/>
      <c r="S1075" s="79"/>
      <c r="T1075" s="79"/>
      <c r="U1075" s="79"/>
      <c r="V1075" s="79"/>
      <c r="W1075" s="79"/>
      <c r="X1075" s="79"/>
      <c r="Y1075" s="79"/>
      <c r="Z1075" s="79"/>
      <c r="AA1075" s="79"/>
      <c r="AB1075" s="79"/>
    </row>
    <row r="1076" spans="1:28" ht="15" x14ac:dyDescent="0.2">
      <c r="A1076" s="100"/>
      <c r="B1076" s="101"/>
      <c r="C1076" s="101"/>
      <c r="D1076" s="101"/>
      <c r="E1076" s="101"/>
      <c r="F1076" s="101"/>
      <c r="G1076" s="101"/>
      <c r="H1076" s="101"/>
      <c r="I1076" s="101"/>
      <c r="J1076" s="79"/>
      <c r="K1076" s="79"/>
      <c r="L1076" s="79"/>
      <c r="M1076" s="79"/>
      <c r="N1076" s="79"/>
      <c r="O1076" s="79"/>
      <c r="P1076" s="79"/>
      <c r="Q1076" s="79"/>
      <c r="R1076" s="79"/>
      <c r="S1076" s="79"/>
      <c r="T1076" s="79"/>
      <c r="U1076" s="79"/>
      <c r="V1076" s="79"/>
      <c r="W1076" s="79"/>
      <c r="X1076" s="79"/>
      <c r="Y1076" s="79"/>
      <c r="Z1076" s="79"/>
      <c r="AA1076" s="79"/>
      <c r="AB1076" s="79"/>
    </row>
    <row r="1077" spans="1:28" ht="15" x14ac:dyDescent="0.2">
      <c r="A1077" s="100"/>
      <c r="B1077" s="101"/>
      <c r="C1077" s="101"/>
      <c r="D1077" s="101"/>
      <c r="E1077" s="101"/>
      <c r="F1077" s="101"/>
      <c r="G1077" s="101"/>
      <c r="H1077" s="101"/>
      <c r="I1077" s="101"/>
      <c r="J1077" s="79"/>
      <c r="K1077" s="79"/>
      <c r="L1077" s="79"/>
      <c r="M1077" s="79"/>
      <c r="N1077" s="79"/>
      <c r="O1077" s="79"/>
      <c r="P1077" s="79"/>
      <c r="Q1077" s="79"/>
      <c r="R1077" s="79"/>
      <c r="S1077" s="79"/>
      <c r="T1077" s="79"/>
      <c r="U1077" s="79"/>
      <c r="V1077" s="79"/>
      <c r="W1077" s="79"/>
      <c r="X1077" s="79"/>
      <c r="Y1077" s="79"/>
      <c r="Z1077" s="79"/>
      <c r="AA1077" s="79"/>
      <c r="AB1077" s="79"/>
    </row>
    <row r="1078" spans="1:28" ht="15" x14ac:dyDescent="0.2">
      <c r="A1078" s="100"/>
      <c r="B1078" s="101"/>
      <c r="C1078" s="101"/>
      <c r="D1078" s="101"/>
      <c r="E1078" s="101"/>
      <c r="F1078" s="101"/>
      <c r="G1078" s="101"/>
      <c r="H1078" s="101"/>
      <c r="I1078" s="101"/>
      <c r="J1078" s="79"/>
      <c r="K1078" s="79"/>
      <c r="L1078" s="79"/>
      <c r="M1078" s="79"/>
      <c r="N1078" s="79"/>
      <c r="O1078" s="79"/>
      <c r="P1078" s="79"/>
      <c r="Q1078" s="79"/>
      <c r="R1078" s="79"/>
      <c r="S1078" s="79"/>
      <c r="T1078" s="79"/>
      <c r="U1078" s="79"/>
      <c r="V1078" s="79"/>
      <c r="W1078" s="79"/>
      <c r="X1078" s="79"/>
      <c r="Y1078" s="79"/>
      <c r="Z1078" s="79"/>
      <c r="AA1078" s="79"/>
      <c r="AB1078" s="79"/>
    </row>
    <row r="1079" spans="1:28" ht="15" x14ac:dyDescent="0.2">
      <c r="A1079" s="100"/>
      <c r="B1079" s="101"/>
      <c r="C1079" s="101"/>
      <c r="D1079" s="101"/>
      <c r="E1079" s="101"/>
      <c r="F1079" s="101"/>
      <c r="G1079" s="101"/>
      <c r="H1079" s="101"/>
      <c r="I1079" s="101"/>
      <c r="J1079" s="79"/>
      <c r="K1079" s="79"/>
      <c r="L1079" s="79"/>
      <c r="M1079" s="79"/>
      <c r="N1079" s="79"/>
      <c r="O1079" s="79"/>
      <c r="P1079" s="79"/>
      <c r="Q1079" s="79"/>
      <c r="R1079" s="79"/>
      <c r="S1079" s="79"/>
      <c r="T1079" s="79"/>
      <c r="U1079" s="79"/>
      <c r="V1079" s="79"/>
      <c r="W1079" s="79"/>
      <c r="X1079" s="79"/>
      <c r="Y1079" s="79"/>
      <c r="Z1079" s="79"/>
      <c r="AA1079" s="79"/>
      <c r="AB1079" s="79"/>
    </row>
    <row r="1080" spans="1:28" ht="15" x14ac:dyDescent="0.2">
      <c r="A1080" s="100"/>
      <c r="B1080" s="101"/>
      <c r="C1080" s="101"/>
      <c r="D1080" s="101"/>
      <c r="E1080" s="101"/>
      <c r="F1080" s="101"/>
      <c r="G1080" s="101"/>
      <c r="H1080" s="101"/>
      <c r="I1080" s="101"/>
      <c r="J1080" s="79"/>
      <c r="K1080" s="79"/>
      <c r="L1080" s="79"/>
      <c r="M1080" s="79"/>
      <c r="N1080" s="79"/>
      <c r="O1080" s="79"/>
      <c r="P1080" s="79"/>
      <c r="Q1080" s="79"/>
      <c r="R1080" s="79"/>
      <c r="S1080" s="79"/>
      <c r="T1080" s="79"/>
      <c r="U1080" s="79"/>
      <c r="V1080" s="79"/>
      <c r="W1080" s="79"/>
      <c r="X1080" s="79"/>
      <c r="Y1080" s="79"/>
      <c r="Z1080" s="79"/>
      <c r="AA1080" s="79"/>
      <c r="AB1080" s="79"/>
    </row>
    <row r="1081" spans="1:28" ht="15" x14ac:dyDescent="0.2">
      <c r="A1081" s="100"/>
      <c r="B1081" s="101"/>
      <c r="C1081" s="101"/>
      <c r="D1081" s="101"/>
      <c r="E1081" s="101"/>
      <c r="F1081" s="101"/>
      <c r="G1081" s="101"/>
      <c r="H1081" s="101"/>
      <c r="I1081" s="101"/>
      <c r="J1081" s="79"/>
      <c r="K1081" s="79"/>
      <c r="L1081" s="79"/>
      <c r="M1081" s="79"/>
      <c r="N1081" s="79"/>
      <c r="O1081" s="79"/>
      <c r="P1081" s="79"/>
      <c r="Q1081" s="79"/>
      <c r="R1081" s="79"/>
      <c r="S1081" s="79"/>
      <c r="T1081" s="79"/>
      <c r="U1081" s="79"/>
      <c r="V1081" s="79"/>
      <c r="W1081" s="79"/>
      <c r="X1081" s="79"/>
      <c r="Y1081" s="79"/>
      <c r="Z1081" s="79"/>
      <c r="AA1081" s="79"/>
      <c r="AB1081" s="79"/>
    </row>
    <row r="1082" spans="1:28" ht="15" x14ac:dyDescent="0.2">
      <c r="A1082" s="100"/>
      <c r="B1082" s="101"/>
      <c r="C1082" s="101"/>
      <c r="D1082" s="101"/>
      <c r="E1082" s="101"/>
      <c r="F1082" s="101"/>
      <c r="G1082" s="101"/>
      <c r="H1082" s="101"/>
      <c r="I1082" s="101"/>
      <c r="J1082" s="79"/>
      <c r="K1082" s="79"/>
      <c r="L1082" s="79"/>
      <c r="M1082" s="79"/>
      <c r="N1082" s="79"/>
      <c r="O1082" s="79"/>
      <c r="P1082" s="79"/>
      <c r="Q1082" s="79"/>
      <c r="R1082" s="79"/>
      <c r="S1082" s="79"/>
      <c r="T1082" s="79"/>
      <c r="U1082" s="79"/>
      <c r="V1082" s="79"/>
      <c r="W1082" s="79"/>
      <c r="X1082" s="79"/>
      <c r="Y1082" s="79"/>
      <c r="Z1082" s="79"/>
      <c r="AA1082" s="79"/>
      <c r="AB1082" s="79"/>
    </row>
    <row r="1083" spans="1:28" ht="15" x14ac:dyDescent="0.2">
      <c r="A1083" s="100"/>
      <c r="B1083" s="101"/>
      <c r="C1083" s="101"/>
      <c r="D1083" s="101"/>
      <c r="E1083" s="101"/>
      <c r="F1083" s="101"/>
      <c r="G1083" s="101"/>
      <c r="H1083" s="101"/>
      <c r="I1083" s="101"/>
      <c r="J1083" s="79"/>
      <c r="K1083" s="79"/>
      <c r="L1083" s="79"/>
      <c r="M1083" s="79"/>
      <c r="N1083" s="79"/>
      <c r="O1083" s="79"/>
      <c r="P1083" s="79"/>
      <c r="Q1083" s="79"/>
      <c r="R1083" s="79"/>
      <c r="S1083" s="79"/>
      <c r="T1083" s="79"/>
      <c r="U1083" s="79"/>
      <c r="V1083" s="79"/>
      <c r="W1083" s="79"/>
      <c r="X1083" s="79"/>
      <c r="Y1083" s="79"/>
      <c r="Z1083" s="79"/>
      <c r="AA1083" s="79"/>
      <c r="AB1083" s="79"/>
    </row>
    <row r="1084" spans="1:28" ht="15" x14ac:dyDescent="0.2">
      <c r="A1084" s="100"/>
      <c r="B1084" s="101"/>
      <c r="C1084" s="101"/>
      <c r="D1084" s="101"/>
      <c r="E1084" s="101"/>
      <c r="F1084" s="101"/>
      <c r="G1084" s="101"/>
      <c r="H1084" s="101"/>
      <c r="I1084" s="101"/>
      <c r="J1084" s="79"/>
      <c r="K1084" s="79"/>
      <c r="L1084" s="79"/>
      <c r="M1084" s="79"/>
      <c r="N1084" s="79"/>
      <c r="O1084" s="79"/>
      <c r="P1084" s="79"/>
      <c r="Q1084" s="79"/>
      <c r="R1084" s="79"/>
      <c r="S1084" s="79"/>
      <c r="T1084" s="79"/>
      <c r="U1084" s="79"/>
      <c r="V1084" s="79"/>
      <c r="W1084" s="79"/>
      <c r="X1084" s="79"/>
      <c r="Y1084" s="79"/>
      <c r="Z1084" s="79"/>
      <c r="AA1084" s="79"/>
      <c r="AB1084" s="79"/>
    </row>
    <row r="1085" spans="1:28" ht="15" x14ac:dyDescent="0.2">
      <c r="A1085" s="100"/>
      <c r="B1085" s="101"/>
      <c r="C1085" s="101"/>
      <c r="D1085" s="101"/>
      <c r="E1085" s="101"/>
      <c r="F1085" s="101"/>
      <c r="G1085" s="101"/>
      <c r="H1085" s="101"/>
      <c r="I1085" s="101"/>
      <c r="J1085" s="79"/>
      <c r="K1085" s="79"/>
      <c r="L1085" s="79"/>
      <c r="M1085" s="79"/>
      <c r="N1085" s="79"/>
      <c r="O1085" s="79"/>
      <c r="P1085" s="79"/>
      <c r="Q1085" s="79"/>
      <c r="R1085" s="79"/>
      <c r="S1085" s="79"/>
      <c r="T1085" s="79"/>
      <c r="U1085" s="79"/>
      <c r="V1085" s="79"/>
      <c r="W1085" s="79"/>
      <c r="X1085" s="79"/>
      <c r="Y1085" s="79"/>
      <c r="Z1085" s="79"/>
      <c r="AA1085" s="79"/>
      <c r="AB1085" s="79"/>
    </row>
    <row r="1086" spans="1:28" ht="15" x14ac:dyDescent="0.2">
      <c r="A1086" s="100"/>
      <c r="B1086" s="101"/>
      <c r="C1086" s="101"/>
      <c r="D1086" s="101"/>
      <c r="E1086" s="101"/>
      <c r="F1086" s="101"/>
      <c r="G1086" s="101"/>
      <c r="H1086" s="101"/>
      <c r="I1086" s="101"/>
      <c r="J1086" s="79"/>
      <c r="K1086" s="79"/>
      <c r="L1086" s="79"/>
      <c r="M1086" s="79"/>
      <c r="N1086" s="79"/>
      <c r="O1086" s="79"/>
      <c r="P1086" s="79"/>
      <c r="Q1086" s="79"/>
      <c r="R1086" s="79"/>
      <c r="S1086" s="79"/>
      <c r="T1086" s="79"/>
      <c r="U1086" s="79"/>
      <c r="V1086" s="79"/>
      <c r="W1086" s="79"/>
      <c r="X1086" s="79"/>
      <c r="Y1086" s="79"/>
      <c r="Z1086" s="79"/>
      <c r="AA1086" s="79"/>
      <c r="AB1086" s="79"/>
    </row>
    <row r="1087" spans="1:28" ht="15" x14ac:dyDescent="0.2">
      <c r="A1087" s="100"/>
      <c r="B1087" s="101"/>
      <c r="C1087" s="101"/>
      <c r="D1087" s="101"/>
      <c r="E1087" s="101"/>
      <c r="F1087" s="101"/>
      <c r="G1087" s="101"/>
      <c r="H1087" s="101"/>
      <c r="I1087" s="101"/>
      <c r="J1087" s="79"/>
      <c r="K1087" s="79"/>
      <c r="L1087" s="79"/>
      <c r="M1087" s="79"/>
      <c r="N1087" s="79"/>
      <c r="O1087" s="79"/>
      <c r="P1087" s="79"/>
      <c r="Q1087" s="79"/>
      <c r="R1087" s="79"/>
      <c r="S1087" s="79"/>
      <c r="T1087" s="79"/>
      <c r="U1087" s="79"/>
      <c r="V1087" s="79"/>
      <c r="W1087" s="79"/>
      <c r="X1087" s="79"/>
      <c r="Y1087" s="79"/>
      <c r="Z1087" s="79"/>
      <c r="AA1087" s="79"/>
      <c r="AB1087" s="79"/>
    </row>
    <row r="1088" spans="1:28" ht="15" x14ac:dyDescent="0.2">
      <c r="A1088" s="100"/>
      <c r="B1088" s="101"/>
      <c r="C1088" s="101"/>
      <c r="D1088" s="101"/>
      <c r="E1088" s="101"/>
      <c r="F1088" s="101"/>
      <c r="G1088" s="101"/>
      <c r="H1088" s="101"/>
      <c r="I1088" s="101"/>
      <c r="J1088" s="79"/>
      <c r="K1088" s="79"/>
      <c r="L1088" s="79"/>
      <c r="M1088" s="79"/>
      <c r="N1088" s="79"/>
      <c r="O1088" s="79"/>
      <c r="P1088" s="79"/>
      <c r="Q1088" s="79"/>
      <c r="R1088" s="79"/>
      <c r="S1088" s="79"/>
      <c r="T1088" s="79"/>
      <c r="U1088" s="79"/>
      <c r="V1088" s="79"/>
      <c r="W1088" s="79"/>
      <c r="X1088" s="79"/>
      <c r="Y1088" s="79"/>
      <c r="Z1088" s="79"/>
      <c r="AA1088" s="79"/>
      <c r="AB1088" s="79"/>
    </row>
    <row r="1089" spans="1:28" ht="15" x14ac:dyDescent="0.2">
      <c r="A1089" s="100"/>
      <c r="B1089" s="101"/>
      <c r="C1089" s="101"/>
      <c r="D1089" s="101"/>
      <c r="E1089" s="101"/>
      <c r="F1089" s="101"/>
      <c r="G1089" s="101"/>
      <c r="H1089" s="101"/>
      <c r="I1089" s="101"/>
      <c r="J1089" s="79"/>
      <c r="K1089" s="79"/>
      <c r="L1089" s="79"/>
      <c r="M1089" s="79"/>
      <c r="N1089" s="79"/>
      <c r="O1089" s="79"/>
      <c r="P1089" s="79"/>
      <c r="Q1089" s="79"/>
      <c r="R1089" s="79"/>
      <c r="S1089" s="79"/>
      <c r="T1089" s="79"/>
      <c r="U1089" s="79"/>
      <c r="V1089" s="79"/>
      <c r="W1089" s="79"/>
      <c r="X1089" s="79"/>
      <c r="Y1089" s="79"/>
      <c r="Z1089" s="79"/>
      <c r="AA1089" s="79"/>
      <c r="AB1089" s="79"/>
    </row>
    <row r="1090" spans="1:28" ht="15" x14ac:dyDescent="0.2">
      <c r="A1090" s="100"/>
      <c r="B1090" s="101"/>
      <c r="C1090" s="101"/>
      <c r="D1090" s="101"/>
      <c r="E1090" s="101"/>
      <c r="F1090" s="101"/>
      <c r="G1090" s="101"/>
      <c r="H1090" s="101"/>
      <c r="I1090" s="101"/>
      <c r="J1090" s="79"/>
      <c r="K1090" s="79"/>
      <c r="L1090" s="79"/>
      <c r="M1090" s="79"/>
      <c r="N1090" s="79"/>
      <c r="O1090" s="79"/>
      <c r="P1090" s="79"/>
      <c r="Q1090" s="79"/>
      <c r="R1090" s="79"/>
      <c r="S1090" s="79"/>
      <c r="T1090" s="79"/>
      <c r="U1090" s="79"/>
      <c r="V1090" s="79"/>
      <c r="W1090" s="79"/>
      <c r="X1090" s="79"/>
      <c r="Y1090" s="79"/>
      <c r="Z1090" s="79"/>
      <c r="AA1090" s="79"/>
      <c r="AB1090" s="79"/>
    </row>
    <row r="1091" spans="1:28" ht="15" x14ac:dyDescent="0.2">
      <c r="A1091" s="100"/>
      <c r="B1091" s="101"/>
      <c r="C1091" s="101"/>
      <c r="D1091" s="101"/>
      <c r="E1091" s="101"/>
      <c r="F1091" s="101"/>
      <c r="G1091" s="101"/>
      <c r="H1091" s="101"/>
      <c r="I1091" s="101"/>
      <c r="J1091" s="79"/>
      <c r="K1091" s="79"/>
      <c r="L1091" s="79"/>
      <c r="M1091" s="79"/>
      <c r="N1091" s="79"/>
      <c r="O1091" s="79"/>
      <c r="P1091" s="79"/>
      <c r="Q1091" s="79"/>
      <c r="R1091" s="79"/>
      <c r="S1091" s="79"/>
      <c r="T1091" s="79"/>
      <c r="U1091" s="79"/>
      <c r="V1091" s="79"/>
      <c r="W1091" s="79"/>
      <c r="X1091" s="79"/>
      <c r="Y1091" s="79"/>
      <c r="Z1091" s="79"/>
      <c r="AA1091" s="79"/>
      <c r="AB1091" s="79"/>
    </row>
    <row r="1092" spans="1:28" ht="15" x14ac:dyDescent="0.2">
      <c r="A1092" s="100"/>
      <c r="B1092" s="101"/>
      <c r="C1092" s="101"/>
      <c r="D1092" s="101"/>
      <c r="E1092" s="101"/>
      <c r="F1092" s="101"/>
      <c r="G1092" s="101"/>
      <c r="H1092" s="101"/>
      <c r="I1092" s="101"/>
      <c r="J1092" s="79"/>
      <c r="K1092" s="79"/>
      <c r="L1092" s="79"/>
      <c r="M1092" s="79"/>
      <c r="N1092" s="79"/>
      <c r="O1092" s="79"/>
      <c r="P1092" s="79"/>
      <c r="Q1092" s="79"/>
      <c r="R1092" s="79"/>
      <c r="S1092" s="79"/>
      <c r="T1092" s="79"/>
      <c r="U1092" s="79"/>
      <c r="V1092" s="79"/>
      <c r="W1092" s="79"/>
      <c r="X1092" s="79"/>
      <c r="Y1092" s="79"/>
      <c r="Z1092" s="79"/>
      <c r="AA1092" s="79"/>
      <c r="AB1092" s="79"/>
    </row>
    <row r="1093" spans="1:28" ht="15" x14ac:dyDescent="0.2">
      <c r="A1093" s="100"/>
      <c r="B1093" s="101"/>
      <c r="C1093" s="101"/>
      <c r="D1093" s="101"/>
      <c r="E1093" s="101"/>
      <c r="F1093" s="101"/>
      <c r="G1093" s="101"/>
      <c r="H1093" s="101"/>
      <c r="I1093" s="101"/>
      <c r="J1093" s="79"/>
      <c r="K1093" s="79"/>
      <c r="L1093" s="79"/>
      <c r="M1093" s="79"/>
      <c r="N1093" s="79"/>
      <c r="O1093" s="79"/>
      <c r="P1093" s="79"/>
      <c r="Q1093" s="79"/>
      <c r="R1093" s="79"/>
      <c r="S1093" s="79"/>
      <c r="T1093" s="79"/>
      <c r="U1093" s="79"/>
      <c r="V1093" s="79"/>
      <c r="W1093" s="79"/>
      <c r="X1093" s="79"/>
      <c r="Y1093" s="79"/>
      <c r="Z1093" s="79"/>
      <c r="AA1093" s="79"/>
      <c r="AB1093" s="79"/>
    </row>
    <row r="1094" spans="1:28" ht="15" x14ac:dyDescent="0.2">
      <c r="A1094" s="100"/>
      <c r="B1094" s="101"/>
      <c r="C1094" s="101"/>
      <c r="D1094" s="101"/>
      <c r="E1094" s="101"/>
      <c r="F1094" s="101"/>
      <c r="G1094" s="101"/>
      <c r="H1094" s="101"/>
      <c r="I1094" s="101"/>
      <c r="J1094" s="79"/>
      <c r="K1094" s="79"/>
      <c r="L1094" s="79"/>
      <c r="M1094" s="79"/>
      <c r="N1094" s="79"/>
      <c r="O1094" s="79"/>
      <c r="P1094" s="79"/>
      <c r="Q1094" s="79"/>
      <c r="R1094" s="79"/>
      <c r="S1094" s="79"/>
      <c r="T1094" s="79"/>
      <c r="U1094" s="79"/>
      <c r="V1094" s="79"/>
      <c r="W1094" s="79"/>
      <c r="X1094" s="79"/>
      <c r="Y1094" s="79"/>
      <c r="Z1094" s="79"/>
      <c r="AA1094" s="79"/>
      <c r="AB1094" s="79"/>
    </row>
    <row r="1095" spans="1:28" ht="15" x14ac:dyDescent="0.2">
      <c r="A1095" s="100"/>
      <c r="B1095" s="101"/>
      <c r="C1095" s="101"/>
      <c r="D1095" s="101"/>
      <c r="E1095" s="101"/>
      <c r="F1095" s="101"/>
      <c r="G1095" s="101"/>
      <c r="H1095" s="101"/>
      <c r="I1095" s="101"/>
      <c r="J1095" s="79"/>
      <c r="K1095" s="79"/>
      <c r="L1095" s="79"/>
      <c r="M1095" s="79"/>
      <c r="N1095" s="79"/>
      <c r="O1095" s="79"/>
      <c r="P1095" s="79"/>
      <c r="Q1095" s="79"/>
      <c r="R1095" s="79"/>
      <c r="S1095" s="79"/>
      <c r="T1095" s="79"/>
      <c r="U1095" s="79"/>
      <c r="V1095" s="79"/>
      <c r="W1095" s="79"/>
      <c r="X1095" s="79"/>
      <c r="Y1095" s="79"/>
      <c r="Z1095" s="79"/>
      <c r="AA1095" s="79"/>
      <c r="AB1095" s="79"/>
    </row>
    <row r="1096" spans="1:28" ht="15" x14ac:dyDescent="0.2">
      <c r="A1096" s="100"/>
      <c r="B1096" s="101"/>
      <c r="C1096" s="101"/>
      <c r="D1096" s="101"/>
      <c r="E1096" s="101"/>
      <c r="F1096" s="101"/>
      <c r="G1096" s="101"/>
      <c r="H1096" s="101"/>
      <c r="I1096" s="101"/>
      <c r="J1096" s="79"/>
      <c r="K1096" s="79"/>
      <c r="L1096" s="79"/>
      <c r="M1096" s="79"/>
      <c r="N1096" s="79"/>
      <c r="O1096" s="79"/>
      <c r="P1096" s="79"/>
      <c r="Q1096" s="79"/>
      <c r="R1096" s="79"/>
      <c r="S1096" s="79"/>
      <c r="T1096" s="79"/>
      <c r="U1096" s="79"/>
      <c r="V1096" s="79"/>
      <c r="W1096" s="79"/>
      <c r="X1096" s="79"/>
      <c r="Y1096" s="79"/>
      <c r="Z1096" s="79"/>
      <c r="AA1096" s="79"/>
      <c r="AB1096" s="79"/>
    </row>
    <row r="1097" spans="1:28" ht="15" x14ac:dyDescent="0.2">
      <c r="A1097" s="100"/>
      <c r="B1097" s="101"/>
      <c r="C1097" s="101"/>
      <c r="D1097" s="101"/>
      <c r="E1097" s="101"/>
      <c r="F1097" s="101"/>
      <c r="G1097" s="101"/>
      <c r="H1097" s="101"/>
      <c r="I1097" s="101"/>
      <c r="J1097" s="79"/>
      <c r="K1097" s="79"/>
      <c r="L1097" s="79"/>
      <c r="M1097" s="79"/>
      <c r="N1097" s="79"/>
      <c r="O1097" s="79"/>
      <c r="P1097" s="79"/>
      <c r="Q1097" s="79"/>
      <c r="R1097" s="79"/>
      <c r="S1097" s="79"/>
      <c r="T1097" s="79"/>
      <c r="U1097" s="79"/>
      <c r="V1097" s="79"/>
      <c r="W1097" s="79"/>
      <c r="X1097" s="79"/>
      <c r="Y1097" s="79"/>
      <c r="Z1097" s="79"/>
      <c r="AA1097" s="79"/>
      <c r="AB1097" s="79"/>
    </row>
    <row r="1098" spans="1:28" ht="15" x14ac:dyDescent="0.2">
      <c r="A1098" s="100"/>
      <c r="B1098" s="101"/>
      <c r="C1098" s="101"/>
      <c r="D1098" s="101"/>
      <c r="E1098" s="101"/>
      <c r="F1098" s="101"/>
      <c r="G1098" s="101"/>
      <c r="H1098" s="101"/>
      <c r="I1098" s="101"/>
      <c r="J1098" s="79"/>
      <c r="K1098" s="79"/>
      <c r="L1098" s="79"/>
      <c r="M1098" s="79"/>
      <c r="N1098" s="79"/>
      <c r="O1098" s="79"/>
      <c r="P1098" s="79"/>
      <c r="Q1098" s="79"/>
      <c r="R1098" s="79"/>
      <c r="S1098" s="79"/>
      <c r="T1098" s="79"/>
      <c r="U1098" s="79"/>
      <c r="V1098" s="79"/>
      <c r="W1098" s="79"/>
      <c r="X1098" s="79"/>
      <c r="Y1098" s="79"/>
      <c r="Z1098" s="79"/>
      <c r="AA1098" s="79"/>
      <c r="AB1098" s="79"/>
    </row>
    <row r="1099" spans="1:28" ht="15" x14ac:dyDescent="0.2">
      <c r="A1099" s="100"/>
      <c r="B1099" s="101"/>
      <c r="C1099" s="101"/>
      <c r="D1099" s="101"/>
      <c r="E1099" s="101"/>
      <c r="F1099" s="101"/>
      <c r="G1099" s="101"/>
      <c r="H1099" s="101"/>
      <c r="I1099" s="101"/>
      <c r="J1099" s="79"/>
      <c r="K1099" s="79"/>
      <c r="L1099" s="79"/>
      <c r="M1099" s="79"/>
      <c r="N1099" s="79"/>
      <c r="O1099" s="79"/>
      <c r="P1099" s="79"/>
      <c r="Q1099" s="79"/>
      <c r="R1099" s="79"/>
      <c r="S1099" s="79"/>
      <c r="T1099" s="79"/>
      <c r="U1099" s="79"/>
      <c r="V1099" s="79"/>
      <c r="W1099" s="79"/>
      <c r="X1099" s="79"/>
      <c r="Y1099" s="79"/>
      <c r="Z1099" s="79"/>
      <c r="AA1099" s="79"/>
      <c r="AB1099" s="79"/>
    </row>
    <row r="1100" spans="1:28" ht="15" x14ac:dyDescent="0.2">
      <c r="A1100" s="100"/>
      <c r="B1100" s="101"/>
      <c r="C1100" s="101"/>
      <c r="D1100" s="101"/>
      <c r="E1100" s="101"/>
      <c r="F1100" s="101"/>
      <c r="G1100" s="101"/>
      <c r="H1100" s="101"/>
      <c r="I1100" s="101"/>
      <c r="J1100" s="79"/>
      <c r="K1100" s="79"/>
      <c r="L1100" s="79"/>
      <c r="M1100" s="79"/>
      <c r="N1100" s="79"/>
      <c r="O1100" s="79"/>
      <c r="P1100" s="79"/>
      <c r="Q1100" s="79"/>
      <c r="R1100" s="79"/>
      <c r="S1100" s="79"/>
      <c r="T1100" s="79"/>
      <c r="U1100" s="79"/>
      <c r="V1100" s="79"/>
      <c r="W1100" s="79"/>
      <c r="X1100" s="79"/>
      <c r="Y1100" s="79"/>
      <c r="Z1100" s="79"/>
      <c r="AA1100" s="79"/>
      <c r="AB1100" s="79"/>
    </row>
    <row r="1101" spans="1:28" ht="15" x14ac:dyDescent="0.2">
      <c r="A1101" s="100"/>
      <c r="B1101" s="101"/>
      <c r="C1101" s="101"/>
      <c r="D1101" s="101"/>
      <c r="E1101" s="101"/>
      <c r="F1101" s="101"/>
      <c r="G1101" s="101"/>
      <c r="H1101" s="101"/>
      <c r="I1101" s="101"/>
      <c r="J1101" s="79"/>
      <c r="K1101" s="79"/>
      <c r="L1101" s="79"/>
      <c r="M1101" s="79"/>
      <c r="N1101" s="79"/>
      <c r="O1101" s="79"/>
      <c r="P1101" s="79"/>
      <c r="Q1101" s="79"/>
      <c r="R1101" s="79"/>
      <c r="S1101" s="79"/>
      <c r="T1101" s="79"/>
      <c r="U1101" s="79"/>
      <c r="V1101" s="79"/>
      <c r="W1101" s="79"/>
      <c r="X1101" s="79"/>
      <c r="Y1101" s="79"/>
      <c r="Z1101" s="79"/>
      <c r="AA1101" s="79"/>
      <c r="AB1101" s="79"/>
    </row>
    <row r="1102" spans="1:28" ht="15" x14ac:dyDescent="0.2">
      <c r="A1102" s="100"/>
      <c r="B1102" s="101"/>
      <c r="C1102" s="101"/>
      <c r="D1102" s="101"/>
      <c r="E1102" s="101"/>
      <c r="F1102" s="101"/>
      <c r="G1102" s="101"/>
      <c r="H1102" s="101"/>
      <c r="I1102" s="101"/>
      <c r="J1102" s="79"/>
      <c r="K1102" s="79"/>
      <c r="L1102" s="79"/>
      <c r="M1102" s="79"/>
      <c r="N1102" s="79"/>
      <c r="O1102" s="79"/>
      <c r="P1102" s="79"/>
      <c r="Q1102" s="79"/>
      <c r="R1102" s="79"/>
      <c r="S1102" s="79"/>
      <c r="T1102" s="79"/>
      <c r="U1102" s="79"/>
      <c r="V1102" s="79"/>
      <c r="W1102" s="79"/>
      <c r="X1102" s="79"/>
      <c r="Y1102" s="79"/>
      <c r="Z1102" s="79"/>
      <c r="AA1102" s="79"/>
      <c r="AB1102" s="79"/>
    </row>
    <row r="1103" spans="1:28" ht="15" x14ac:dyDescent="0.2">
      <c r="A1103" s="100"/>
      <c r="B1103" s="101"/>
      <c r="C1103" s="101"/>
      <c r="D1103" s="101"/>
      <c r="E1103" s="101"/>
      <c r="F1103" s="101"/>
      <c r="G1103" s="101"/>
      <c r="H1103" s="101"/>
      <c r="I1103" s="101"/>
      <c r="J1103" s="79"/>
      <c r="K1103" s="79"/>
      <c r="L1103" s="79"/>
      <c r="M1103" s="79"/>
      <c r="N1103" s="79"/>
      <c r="O1103" s="79"/>
      <c r="P1103" s="79"/>
      <c r="Q1103" s="79"/>
      <c r="R1103" s="79"/>
      <c r="S1103" s="79"/>
      <c r="T1103" s="79"/>
      <c r="U1103" s="79"/>
      <c r="V1103" s="79"/>
      <c r="W1103" s="79"/>
      <c r="X1103" s="79"/>
      <c r="Y1103" s="79"/>
      <c r="Z1103" s="79"/>
      <c r="AA1103" s="79"/>
      <c r="AB1103" s="79"/>
    </row>
    <row r="1104" spans="1:28" ht="15" x14ac:dyDescent="0.2">
      <c r="A1104" s="100"/>
      <c r="B1104" s="101"/>
      <c r="C1104" s="101"/>
      <c r="D1104" s="101"/>
      <c r="E1104" s="101"/>
      <c r="F1104" s="101"/>
      <c r="G1104" s="101"/>
      <c r="H1104" s="101"/>
      <c r="I1104" s="101"/>
      <c r="J1104" s="79"/>
      <c r="K1104" s="79"/>
      <c r="L1104" s="79"/>
      <c r="M1104" s="79"/>
      <c r="N1104" s="79"/>
      <c r="O1104" s="79"/>
      <c r="P1104" s="79"/>
      <c r="Q1104" s="79"/>
      <c r="R1104" s="79"/>
      <c r="S1104" s="79"/>
      <c r="T1104" s="79"/>
      <c r="U1104" s="79"/>
      <c r="V1104" s="79"/>
      <c r="W1104" s="79"/>
      <c r="X1104" s="79"/>
      <c r="Y1104" s="79"/>
      <c r="Z1104" s="79"/>
      <c r="AA1104" s="79"/>
      <c r="AB1104" s="79"/>
    </row>
    <row r="1105" spans="1:28" ht="15" x14ac:dyDescent="0.2">
      <c r="A1105" s="100"/>
      <c r="B1105" s="101"/>
      <c r="C1105" s="101"/>
      <c r="D1105" s="101"/>
      <c r="E1105" s="101"/>
      <c r="F1105" s="101"/>
      <c r="G1105" s="101"/>
      <c r="H1105" s="101"/>
      <c r="I1105" s="101"/>
      <c r="J1105" s="79"/>
      <c r="K1105" s="79"/>
      <c r="L1105" s="79"/>
      <c r="M1105" s="79"/>
      <c r="N1105" s="79"/>
      <c r="O1105" s="79"/>
      <c r="P1105" s="79"/>
      <c r="Q1105" s="79"/>
      <c r="R1105" s="79"/>
      <c r="S1105" s="79"/>
      <c r="T1105" s="79"/>
      <c r="U1105" s="79"/>
      <c r="V1105" s="79"/>
      <c r="W1105" s="79"/>
      <c r="X1105" s="79"/>
      <c r="Y1105" s="79"/>
      <c r="Z1105" s="79"/>
      <c r="AA1105" s="79"/>
      <c r="AB1105" s="79"/>
    </row>
    <row r="1106" spans="1:28" ht="15" x14ac:dyDescent="0.2">
      <c r="A1106" s="100"/>
      <c r="B1106" s="101"/>
      <c r="C1106" s="101"/>
      <c r="D1106" s="101"/>
      <c r="E1106" s="101"/>
      <c r="F1106" s="101"/>
      <c r="G1106" s="101"/>
      <c r="H1106" s="101"/>
      <c r="I1106" s="101"/>
      <c r="J1106" s="79"/>
      <c r="K1106" s="79"/>
      <c r="L1106" s="79"/>
      <c r="M1106" s="79"/>
      <c r="N1106" s="79"/>
      <c r="O1106" s="79"/>
      <c r="P1106" s="79"/>
      <c r="Q1106" s="79"/>
      <c r="R1106" s="79"/>
      <c r="S1106" s="79"/>
      <c r="T1106" s="79"/>
      <c r="U1106" s="79"/>
      <c r="V1106" s="79"/>
      <c r="W1106" s="79"/>
      <c r="X1106" s="79"/>
      <c r="Y1106" s="79"/>
      <c r="Z1106" s="79"/>
      <c r="AA1106" s="79"/>
      <c r="AB1106" s="79"/>
    </row>
    <row r="1107" spans="1:28" ht="15" x14ac:dyDescent="0.2">
      <c r="A1107" s="100"/>
      <c r="B1107" s="101"/>
      <c r="C1107" s="101"/>
      <c r="D1107" s="101"/>
      <c r="E1107" s="101"/>
      <c r="F1107" s="101"/>
      <c r="G1107" s="101"/>
      <c r="H1107" s="101"/>
      <c r="I1107" s="101"/>
      <c r="J1107" s="79"/>
      <c r="K1107" s="79"/>
      <c r="L1107" s="79"/>
      <c r="M1107" s="79"/>
      <c r="N1107" s="79"/>
      <c r="O1107" s="79"/>
      <c r="P1107" s="79"/>
      <c r="Q1107" s="79"/>
      <c r="R1107" s="79"/>
      <c r="S1107" s="79"/>
      <c r="T1107" s="79"/>
      <c r="U1107" s="79"/>
      <c r="V1107" s="79"/>
      <c r="W1107" s="79"/>
      <c r="X1107" s="79"/>
      <c r="Y1107" s="79"/>
      <c r="Z1107" s="79"/>
      <c r="AA1107" s="79"/>
      <c r="AB1107" s="79"/>
    </row>
    <row r="1108" spans="1:28" ht="15" x14ac:dyDescent="0.2">
      <c r="A1108" s="100"/>
      <c r="B1108" s="101"/>
      <c r="C1108" s="101"/>
      <c r="D1108" s="101"/>
      <c r="E1108" s="101"/>
      <c r="F1108" s="101"/>
      <c r="G1108" s="101"/>
      <c r="H1108" s="101"/>
      <c r="I1108" s="101"/>
      <c r="J1108" s="79"/>
      <c r="K1108" s="79"/>
      <c r="L1108" s="79"/>
      <c r="M1108" s="79"/>
      <c r="N1108" s="79"/>
      <c r="O1108" s="79"/>
      <c r="P1108" s="79"/>
      <c r="Q1108" s="79"/>
      <c r="R1108" s="79"/>
      <c r="S1108" s="79"/>
      <c r="T1108" s="79"/>
      <c r="U1108" s="79"/>
      <c r="V1108" s="79"/>
      <c r="W1108" s="79"/>
      <c r="X1108" s="79"/>
      <c r="Y1108" s="79"/>
      <c r="Z1108" s="79"/>
      <c r="AA1108" s="79"/>
      <c r="AB1108" s="79"/>
    </row>
    <row r="1109" spans="1:28" ht="15" x14ac:dyDescent="0.2">
      <c r="A1109" s="100"/>
      <c r="B1109" s="101"/>
      <c r="C1109" s="101"/>
      <c r="D1109" s="101"/>
      <c r="E1109" s="101"/>
      <c r="F1109" s="101"/>
      <c r="G1109" s="101"/>
      <c r="H1109" s="101"/>
      <c r="I1109" s="101"/>
      <c r="J1109" s="79"/>
      <c r="K1109" s="79"/>
      <c r="L1109" s="79"/>
      <c r="M1109" s="79"/>
      <c r="N1109" s="79"/>
      <c r="O1109" s="79"/>
      <c r="P1109" s="79"/>
      <c r="Q1109" s="79"/>
      <c r="R1109" s="79"/>
      <c r="S1109" s="79"/>
      <c r="T1109" s="79"/>
      <c r="U1109" s="79"/>
      <c r="V1109" s="79"/>
      <c r="W1109" s="79"/>
      <c r="X1109" s="79"/>
      <c r="Y1109" s="79"/>
      <c r="Z1109" s="79"/>
      <c r="AA1109" s="79"/>
      <c r="AB1109" s="79"/>
    </row>
    <row r="1110" spans="1:28" ht="15" x14ac:dyDescent="0.2">
      <c r="A1110" s="100"/>
      <c r="B1110" s="101"/>
      <c r="C1110" s="101"/>
      <c r="D1110" s="101"/>
      <c r="E1110" s="101"/>
      <c r="F1110" s="101"/>
      <c r="G1110" s="101"/>
      <c r="H1110" s="101"/>
      <c r="I1110" s="101"/>
      <c r="J1110" s="79"/>
      <c r="K1110" s="79"/>
      <c r="L1110" s="79"/>
      <c r="M1110" s="79"/>
      <c r="N1110" s="79"/>
      <c r="O1110" s="79"/>
      <c r="P1110" s="79"/>
      <c r="Q1110" s="79"/>
      <c r="R1110" s="79"/>
      <c r="S1110" s="79"/>
      <c r="T1110" s="79"/>
      <c r="U1110" s="79"/>
      <c r="V1110" s="79"/>
      <c r="W1110" s="79"/>
      <c r="X1110" s="79"/>
      <c r="Y1110" s="79"/>
      <c r="Z1110" s="79"/>
      <c r="AA1110" s="79"/>
      <c r="AB1110" s="79"/>
    </row>
    <row r="1111" spans="1:28" ht="15" x14ac:dyDescent="0.2">
      <c r="A1111" s="100"/>
      <c r="B1111" s="101"/>
      <c r="C1111" s="101"/>
      <c r="D1111" s="101"/>
      <c r="E1111" s="101"/>
      <c r="F1111" s="101"/>
      <c r="G1111" s="101"/>
      <c r="H1111" s="101"/>
      <c r="I1111" s="101"/>
      <c r="J1111" s="79"/>
      <c r="K1111" s="79"/>
      <c r="L1111" s="79"/>
      <c r="M1111" s="79"/>
      <c r="N1111" s="79"/>
      <c r="O1111" s="79"/>
      <c r="P1111" s="79"/>
      <c r="Q1111" s="79"/>
      <c r="R1111" s="79"/>
      <c r="S1111" s="79"/>
      <c r="T1111" s="79"/>
      <c r="U1111" s="79"/>
      <c r="V1111" s="79"/>
      <c r="W1111" s="79"/>
      <c r="X1111" s="79"/>
      <c r="Y1111" s="79"/>
      <c r="Z1111" s="79"/>
      <c r="AA1111" s="79"/>
      <c r="AB1111" s="79"/>
    </row>
    <row r="1112" spans="1:28" ht="15" x14ac:dyDescent="0.2">
      <c r="A1112" s="100"/>
      <c r="B1112" s="101"/>
      <c r="C1112" s="101"/>
      <c r="D1112" s="101"/>
      <c r="E1112" s="101"/>
      <c r="F1112" s="101"/>
      <c r="G1112" s="101"/>
      <c r="H1112" s="101"/>
      <c r="I1112" s="101"/>
      <c r="J1112" s="79"/>
      <c r="K1112" s="79"/>
      <c r="L1112" s="79"/>
      <c r="M1112" s="79"/>
      <c r="N1112" s="79"/>
      <c r="O1112" s="79"/>
      <c r="P1112" s="79"/>
      <c r="Q1112" s="79"/>
      <c r="R1112" s="79"/>
      <c r="S1112" s="79"/>
      <c r="T1112" s="79"/>
      <c r="U1112" s="79"/>
      <c r="V1112" s="79"/>
      <c r="W1112" s="79"/>
      <c r="X1112" s="79"/>
      <c r="Y1112" s="79"/>
      <c r="Z1112" s="79"/>
      <c r="AA1112" s="79"/>
      <c r="AB1112" s="79"/>
    </row>
    <row r="1113" spans="1:28" ht="15" x14ac:dyDescent="0.2">
      <c r="A1113" s="100"/>
      <c r="B1113" s="101"/>
      <c r="C1113" s="101"/>
      <c r="D1113" s="101"/>
      <c r="E1113" s="101"/>
      <c r="F1113" s="101"/>
      <c r="G1113" s="101"/>
      <c r="H1113" s="101"/>
      <c r="I1113" s="101"/>
      <c r="J1113" s="79"/>
      <c r="K1113" s="79"/>
      <c r="L1113" s="79"/>
      <c r="M1113" s="79"/>
      <c r="N1113" s="79"/>
      <c r="O1113" s="79"/>
      <c r="P1113" s="79"/>
      <c r="Q1113" s="79"/>
      <c r="R1113" s="79"/>
      <c r="S1113" s="79"/>
      <c r="T1113" s="79"/>
      <c r="U1113" s="79"/>
      <c r="V1113" s="79"/>
      <c r="W1113" s="79"/>
      <c r="X1113" s="79"/>
      <c r="Y1113" s="79"/>
      <c r="Z1113" s="79"/>
      <c r="AA1113" s="79"/>
      <c r="AB1113" s="79"/>
    </row>
    <row r="1114" spans="1:28" ht="15" x14ac:dyDescent="0.2">
      <c r="A1114" s="100"/>
      <c r="B1114" s="101"/>
      <c r="C1114" s="101"/>
      <c r="D1114" s="101"/>
      <c r="E1114" s="101"/>
      <c r="F1114" s="101"/>
      <c r="G1114" s="101"/>
      <c r="H1114" s="101"/>
      <c r="I1114" s="101"/>
      <c r="J1114" s="79"/>
      <c r="K1114" s="79"/>
      <c r="L1114" s="79"/>
      <c r="M1114" s="79"/>
      <c r="N1114" s="79"/>
      <c r="O1114" s="79"/>
      <c r="P1114" s="79"/>
      <c r="Q1114" s="79"/>
      <c r="R1114" s="79"/>
      <c r="S1114" s="79"/>
      <c r="T1114" s="79"/>
      <c r="U1114" s="79"/>
      <c r="V1114" s="79"/>
      <c r="W1114" s="79"/>
      <c r="X1114" s="79"/>
      <c r="Y1114" s="79"/>
      <c r="Z1114" s="79"/>
      <c r="AA1114" s="79"/>
      <c r="AB1114" s="79"/>
    </row>
    <row r="1115" spans="1:28" ht="15" x14ac:dyDescent="0.2">
      <c r="A1115" s="100"/>
      <c r="B1115" s="101"/>
      <c r="C1115" s="101"/>
      <c r="D1115" s="101"/>
      <c r="E1115" s="101"/>
      <c r="F1115" s="101"/>
      <c r="G1115" s="101"/>
      <c r="H1115" s="101"/>
      <c r="I1115" s="101"/>
      <c r="J1115" s="79"/>
      <c r="K1115" s="79"/>
      <c r="L1115" s="79"/>
      <c r="M1115" s="79"/>
      <c r="N1115" s="79"/>
      <c r="O1115" s="79"/>
      <c r="P1115" s="79"/>
      <c r="Q1115" s="79"/>
      <c r="R1115" s="79"/>
      <c r="S1115" s="79"/>
      <c r="T1115" s="79"/>
      <c r="U1115" s="79"/>
      <c r="V1115" s="79"/>
      <c r="W1115" s="79"/>
      <c r="X1115" s="79"/>
      <c r="Y1115" s="79"/>
      <c r="Z1115" s="79"/>
      <c r="AA1115" s="79"/>
      <c r="AB1115" s="79"/>
    </row>
    <row r="1116" spans="1:28" ht="15" x14ac:dyDescent="0.2">
      <c r="A1116" s="100"/>
      <c r="B1116" s="101"/>
      <c r="C1116" s="101"/>
      <c r="D1116" s="101"/>
      <c r="E1116" s="101"/>
      <c r="F1116" s="101"/>
      <c r="G1116" s="101"/>
      <c r="H1116" s="101"/>
      <c r="I1116" s="101"/>
      <c r="J1116" s="79"/>
      <c r="K1116" s="79"/>
      <c r="L1116" s="79"/>
      <c r="M1116" s="79"/>
      <c r="N1116" s="79"/>
      <c r="O1116" s="79"/>
      <c r="P1116" s="79"/>
      <c r="Q1116" s="79"/>
      <c r="R1116" s="79"/>
      <c r="S1116" s="79"/>
      <c r="T1116" s="79"/>
      <c r="U1116" s="79"/>
      <c r="V1116" s="79"/>
      <c r="W1116" s="79"/>
      <c r="X1116" s="79"/>
      <c r="Y1116" s="79"/>
      <c r="Z1116" s="79"/>
      <c r="AA1116" s="79"/>
      <c r="AB1116" s="79"/>
    </row>
    <row r="1117" spans="1:28" ht="15" x14ac:dyDescent="0.2">
      <c r="A1117" s="100"/>
      <c r="B1117" s="101"/>
      <c r="C1117" s="101"/>
      <c r="D1117" s="101"/>
      <c r="E1117" s="101"/>
      <c r="F1117" s="101"/>
      <c r="G1117" s="101"/>
      <c r="H1117" s="101"/>
      <c r="I1117" s="101"/>
      <c r="J1117" s="79"/>
      <c r="K1117" s="79"/>
      <c r="L1117" s="79"/>
      <c r="M1117" s="79"/>
      <c r="N1117" s="79"/>
      <c r="O1117" s="79"/>
      <c r="P1117" s="79"/>
      <c r="Q1117" s="79"/>
      <c r="R1117" s="79"/>
      <c r="S1117" s="79"/>
      <c r="T1117" s="79"/>
      <c r="U1117" s="79"/>
      <c r="V1117" s="79"/>
      <c r="W1117" s="79"/>
      <c r="X1117" s="79"/>
      <c r="Y1117" s="79"/>
      <c r="Z1117" s="79"/>
      <c r="AA1117" s="79"/>
      <c r="AB1117" s="79"/>
    </row>
    <row r="1118" spans="1:28" ht="15" x14ac:dyDescent="0.2">
      <c r="A1118" s="100"/>
      <c r="B1118" s="101"/>
      <c r="C1118" s="101"/>
      <c r="D1118" s="101"/>
      <c r="E1118" s="101"/>
      <c r="F1118" s="101"/>
      <c r="G1118" s="101"/>
      <c r="H1118" s="101"/>
      <c r="I1118" s="101"/>
      <c r="J1118" s="79"/>
      <c r="K1118" s="79"/>
      <c r="L1118" s="79"/>
      <c r="M1118" s="79"/>
      <c r="N1118" s="79"/>
      <c r="O1118" s="79"/>
      <c r="P1118" s="79"/>
      <c r="Q1118" s="79"/>
      <c r="R1118" s="79"/>
      <c r="S1118" s="79"/>
      <c r="T1118" s="79"/>
      <c r="U1118" s="79"/>
      <c r="V1118" s="79"/>
      <c r="W1118" s="79"/>
      <c r="X1118" s="79"/>
      <c r="Y1118" s="79"/>
      <c r="Z1118" s="79"/>
      <c r="AA1118" s="79"/>
      <c r="AB1118" s="79"/>
    </row>
    <row r="1119" spans="1:28" ht="15" x14ac:dyDescent="0.2">
      <c r="A1119" s="100"/>
      <c r="B1119" s="101"/>
      <c r="C1119" s="101"/>
      <c r="D1119" s="101"/>
      <c r="E1119" s="101"/>
      <c r="F1119" s="101"/>
      <c r="G1119" s="101"/>
      <c r="H1119" s="101"/>
      <c r="I1119" s="101"/>
      <c r="J1119" s="79"/>
      <c r="K1119" s="79"/>
      <c r="L1119" s="79"/>
      <c r="M1119" s="79"/>
      <c r="N1119" s="79"/>
      <c r="O1119" s="79"/>
      <c r="P1119" s="79"/>
      <c r="Q1119" s="79"/>
      <c r="R1119" s="79"/>
      <c r="S1119" s="79"/>
      <c r="T1119" s="79"/>
      <c r="U1119" s="79"/>
      <c r="V1119" s="79"/>
      <c r="W1119" s="79"/>
      <c r="X1119" s="79"/>
      <c r="Y1119" s="79"/>
      <c r="Z1119" s="79"/>
      <c r="AA1119" s="79"/>
      <c r="AB1119" s="79"/>
    </row>
    <row r="1120" spans="1:28" ht="15" x14ac:dyDescent="0.2">
      <c r="A1120" s="100"/>
      <c r="B1120" s="101"/>
      <c r="C1120" s="101"/>
      <c r="D1120" s="101"/>
      <c r="E1120" s="101"/>
      <c r="F1120" s="101"/>
      <c r="G1120" s="101"/>
      <c r="H1120" s="101"/>
      <c r="I1120" s="101"/>
      <c r="J1120" s="79"/>
      <c r="K1120" s="79"/>
      <c r="L1120" s="79"/>
      <c r="M1120" s="79"/>
      <c r="N1120" s="79"/>
      <c r="O1120" s="79"/>
      <c r="P1120" s="79"/>
      <c r="Q1120" s="79"/>
      <c r="R1120" s="79"/>
      <c r="S1120" s="79"/>
      <c r="T1120" s="79"/>
      <c r="U1120" s="79"/>
      <c r="V1120" s="79"/>
      <c r="W1120" s="79"/>
      <c r="X1120" s="79"/>
      <c r="Y1120" s="79"/>
      <c r="Z1120" s="79"/>
      <c r="AA1120" s="79"/>
      <c r="AB1120" s="79"/>
    </row>
    <row r="1121" spans="1:28" ht="15" x14ac:dyDescent="0.2">
      <c r="A1121" s="100"/>
      <c r="B1121" s="101"/>
      <c r="C1121" s="101"/>
      <c r="D1121" s="101"/>
      <c r="E1121" s="101"/>
      <c r="F1121" s="101"/>
      <c r="G1121" s="101"/>
      <c r="H1121" s="101"/>
      <c r="I1121" s="101"/>
      <c r="J1121" s="79"/>
      <c r="K1121" s="79"/>
      <c r="L1121" s="79"/>
      <c r="M1121" s="79"/>
      <c r="N1121" s="79"/>
      <c r="O1121" s="79"/>
      <c r="P1121" s="79"/>
      <c r="Q1121" s="79"/>
      <c r="R1121" s="79"/>
      <c r="S1121" s="79"/>
      <c r="T1121" s="79"/>
      <c r="U1121" s="79"/>
      <c r="V1121" s="79"/>
      <c r="W1121" s="79"/>
      <c r="X1121" s="79"/>
      <c r="Y1121" s="79"/>
      <c r="Z1121" s="79"/>
      <c r="AA1121" s="79"/>
      <c r="AB1121" s="79"/>
    </row>
    <row r="1122" spans="1:28" ht="15" x14ac:dyDescent="0.2">
      <c r="A1122" s="100"/>
      <c r="B1122" s="101"/>
      <c r="C1122" s="101"/>
      <c r="D1122" s="101"/>
      <c r="E1122" s="101"/>
      <c r="F1122" s="101"/>
      <c r="G1122" s="101"/>
      <c r="H1122" s="101"/>
      <c r="I1122" s="101"/>
      <c r="J1122" s="79"/>
      <c r="K1122" s="79"/>
      <c r="L1122" s="79"/>
      <c r="M1122" s="79"/>
      <c r="N1122" s="79"/>
      <c r="O1122" s="79"/>
      <c r="P1122" s="79"/>
      <c r="Q1122" s="79"/>
      <c r="R1122" s="79"/>
      <c r="S1122" s="79"/>
      <c r="T1122" s="79"/>
      <c r="U1122" s="79"/>
      <c r="V1122" s="79"/>
      <c r="W1122" s="79"/>
      <c r="X1122" s="79"/>
      <c r="Y1122" s="79"/>
      <c r="Z1122" s="79"/>
      <c r="AA1122" s="79"/>
      <c r="AB1122" s="79"/>
    </row>
    <row r="1123" spans="1:28" ht="15" x14ac:dyDescent="0.2">
      <c r="A1123" s="100"/>
      <c r="B1123" s="101"/>
      <c r="C1123" s="101"/>
      <c r="D1123" s="101"/>
      <c r="E1123" s="101"/>
      <c r="F1123" s="101"/>
      <c r="G1123" s="101"/>
      <c r="H1123" s="101"/>
      <c r="I1123" s="101"/>
      <c r="J1123" s="79"/>
      <c r="K1123" s="79"/>
      <c r="L1123" s="79"/>
      <c r="M1123" s="79"/>
      <c r="N1123" s="79"/>
      <c r="O1123" s="79"/>
      <c r="P1123" s="79"/>
      <c r="Q1123" s="79"/>
      <c r="R1123" s="79"/>
      <c r="S1123" s="79"/>
      <c r="T1123" s="79"/>
      <c r="U1123" s="79"/>
      <c r="V1123" s="79"/>
      <c r="W1123" s="79"/>
      <c r="X1123" s="79"/>
      <c r="Y1123" s="79"/>
      <c r="Z1123" s="79"/>
      <c r="AA1123" s="79"/>
      <c r="AB1123" s="79"/>
    </row>
    <row r="1124" spans="1:28" ht="15" x14ac:dyDescent="0.2">
      <c r="A1124" s="100"/>
      <c r="B1124" s="101"/>
      <c r="C1124" s="101"/>
      <c r="D1124" s="101"/>
      <c r="E1124" s="101"/>
      <c r="F1124" s="101"/>
      <c r="G1124" s="101"/>
      <c r="H1124" s="101"/>
      <c r="I1124" s="101"/>
      <c r="J1124" s="79"/>
      <c r="K1124" s="79"/>
      <c r="L1124" s="79"/>
      <c r="M1124" s="79"/>
      <c r="N1124" s="79"/>
      <c r="O1124" s="79"/>
      <c r="P1124" s="79"/>
      <c r="Q1124" s="79"/>
      <c r="R1124" s="79"/>
      <c r="S1124" s="79"/>
      <c r="T1124" s="79"/>
      <c r="U1124" s="79"/>
      <c r="V1124" s="79"/>
      <c r="W1124" s="79"/>
      <c r="X1124" s="79"/>
      <c r="Y1124" s="79"/>
      <c r="Z1124" s="79"/>
      <c r="AA1124" s="79"/>
      <c r="AB1124" s="79"/>
    </row>
    <row r="1125" spans="1:28" ht="15" x14ac:dyDescent="0.2">
      <c r="A1125" s="100"/>
      <c r="B1125" s="101"/>
      <c r="C1125" s="101"/>
      <c r="D1125" s="101"/>
      <c r="E1125" s="101"/>
      <c r="F1125" s="101"/>
      <c r="G1125" s="101"/>
      <c r="H1125" s="101"/>
      <c r="I1125" s="101"/>
      <c r="J1125" s="79"/>
      <c r="K1125" s="79"/>
      <c r="L1125" s="79"/>
      <c r="M1125" s="79"/>
      <c r="N1125" s="79"/>
      <c r="O1125" s="79"/>
      <c r="P1125" s="79"/>
      <c r="Q1125" s="79"/>
      <c r="R1125" s="79"/>
      <c r="S1125" s="79"/>
      <c r="T1125" s="79"/>
      <c r="U1125" s="79"/>
      <c r="V1125" s="79"/>
      <c r="W1125" s="79"/>
      <c r="X1125" s="79"/>
      <c r="Y1125" s="79"/>
      <c r="Z1125" s="79"/>
      <c r="AA1125" s="79"/>
      <c r="AB1125" s="79"/>
    </row>
    <row r="1126" spans="1:28" ht="15" x14ac:dyDescent="0.2">
      <c r="A1126" s="100"/>
      <c r="B1126" s="101"/>
      <c r="C1126" s="101"/>
      <c r="D1126" s="101"/>
      <c r="E1126" s="101"/>
      <c r="F1126" s="101"/>
      <c r="G1126" s="101"/>
      <c r="H1126" s="101"/>
      <c r="I1126" s="101"/>
      <c r="J1126" s="79"/>
      <c r="K1126" s="79"/>
      <c r="L1126" s="79"/>
      <c r="M1126" s="79"/>
      <c r="N1126" s="79"/>
      <c r="O1126" s="79"/>
      <c r="P1126" s="79"/>
      <c r="Q1126" s="79"/>
      <c r="R1126" s="79"/>
      <c r="S1126" s="79"/>
      <c r="T1126" s="79"/>
      <c r="U1126" s="79"/>
      <c r="V1126" s="79"/>
      <c r="W1126" s="79"/>
      <c r="X1126" s="79"/>
      <c r="Y1126" s="79"/>
      <c r="Z1126" s="79"/>
      <c r="AA1126" s="79"/>
      <c r="AB1126" s="79"/>
    </row>
    <row r="1127" spans="1:28" ht="15" x14ac:dyDescent="0.2">
      <c r="A1127" s="100"/>
      <c r="B1127" s="101"/>
      <c r="C1127" s="101"/>
      <c r="D1127" s="101"/>
      <c r="E1127" s="101"/>
      <c r="F1127" s="101"/>
      <c r="G1127" s="101"/>
      <c r="H1127" s="101"/>
      <c r="I1127" s="101"/>
      <c r="J1127" s="79"/>
      <c r="K1127" s="79"/>
      <c r="L1127" s="79"/>
      <c r="M1127" s="79"/>
      <c r="N1127" s="79"/>
      <c r="O1127" s="79"/>
      <c r="P1127" s="79"/>
      <c r="Q1127" s="79"/>
      <c r="R1127" s="79"/>
      <c r="S1127" s="79"/>
      <c r="T1127" s="79"/>
      <c r="U1127" s="79"/>
      <c r="V1127" s="79"/>
      <c r="W1127" s="79"/>
      <c r="X1127" s="79"/>
      <c r="Y1127" s="79"/>
      <c r="Z1127" s="79"/>
      <c r="AA1127" s="79"/>
      <c r="AB1127" s="79"/>
    </row>
    <row r="1128" spans="1:28" ht="15" x14ac:dyDescent="0.2">
      <c r="A1128" s="100"/>
      <c r="B1128" s="101"/>
      <c r="C1128" s="101"/>
      <c r="D1128" s="101"/>
      <c r="E1128" s="101"/>
      <c r="F1128" s="101"/>
      <c r="G1128" s="101"/>
      <c r="H1128" s="101"/>
      <c r="I1128" s="101"/>
      <c r="J1128" s="79"/>
      <c r="K1128" s="79"/>
      <c r="L1128" s="79"/>
      <c r="M1128" s="79"/>
      <c r="N1128" s="79"/>
      <c r="O1128" s="79"/>
      <c r="P1128" s="79"/>
      <c r="Q1128" s="79"/>
      <c r="R1128" s="79"/>
      <c r="S1128" s="79"/>
      <c r="T1128" s="79"/>
      <c r="U1128" s="79"/>
      <c r="V1128" s="79"/>
      <c r="W1128" s="79"/>
      <c r="X1128" s="79"/>
      <c r="Y1128" s="79"/>
      <c r="Z1128" s="79"/>
      <c r="AA1128" s="79"/>
      <c r="AB1128" s="79"/>
    </row>
    <row r="1129" spans="1:28" ht="15" x14ac:dyDescent="0.2">
      <c r="A1129" s="100"/>
      <c r="B1129" s="101"/>
      <c r="C1129" s="101"/>
      <c r="D1129" s="101"/>
      <c r="E1129" s="101"/>
      <c r="F1129" s="101"/>
      <c r="G1129" s="101"/>
      <c r="H1129" s="101"/>
      <c r="I1129" s="101"/>
      <c r="J1129" s="79"/>
      <c r="K1129" s="79"/>
      <c r="L1129" s="79"/>
      <c r="M1129" s="79"/>
      <c r="N1129" s="79"/>
      <c r="O1129" s="79"/>
      <c r="P1129" s="79"/>
      <c r="Q1129" s="79"/>
      <c r="R1129" s="79"/>
      <c r="S1129" s="79"/>
      <c r="T1129" s="79"/>
      <c r="U1129" s="79"/>
      <c r="V1129" s="79"/>
      <c r="W1129" s="79"/>
      <c r="X1129" s="79"/>
      <c r="Y1129" s="79"/>
      <c r="Z1129" s="79"/>
      <c r="AA1129" s="79"/>
      <c r="AB1129" s="79"/>
    </row>
    <row r="1130" spans="1:28" ht="15" x14ac:dyDescent="0.2">
      <c r="A1130" s="100"/>
      <c r="B1130" s="101"/>
      <c r="C1130" s="101"/>
      <c r="D1130" s="101"/>
      <c r="E1130" s="101"/>
      <c r="F1130" s="101"/>
      <c r="G1130" s="101"/>
      <c r="H1130" s="101"/>
      <c r="I1130" s="101"/>
      <c r="J1130" s="79"/>
      <c r="K1130" s="79"/>
      <c r="L1130" s="79"/>
      <c r="M1130" s="79"/>
      <c r="N1130" s="79"/>
      <c r="O1130" s="79"/>
      <c r="P1130" s="79"/>
      <c r="Q1130" s="79"/>
      <c r="R1130" s="79"/>
      <c r="S1130" s="79"/>
      <c r="T1130" s="79"/>
      <c r="U1130" s="79"/>
      <c r="V1130" s="79"/>
      <c r="W1130" s="79"/>
      <c r="X1130" s="79"/>
      <c r="Y1130" s="79"/>
      <c r="Z1130" s="79"/>
      <c r="AA1130" s="79"/>
      <c r="AB1130" s="79"/>
    </row>
    <row r="1131" spans="1:28" ht="15" x14ac:dyDescent="0.2">
      <c r="A1131" s="100"/>
      <c r="B1131" s="101"/>
      <c r="C1131" s="101"/>
      <c r="D1131" s="101"/>
      <c r="E1131" s="101"/>
      <c r="F1131" s="101"/>
      <c r="G1131" s="101"/>
      <c r="H1131" s="101"/>
      <c r="I1131" s="101"/>
      <c r="J1131" s="79"/>
      <c r="K1131" s="79"/>
      <c r="L1131" s="79"/>
      <c r="M1131" s="79"/>
      <c r="N1131" s="79"/>
      <c r="O1131" s="79"/>
      <c r="P1131" s="79"/>
      <c r="Q1131" s="79"/>
      <c r="R1131" s="79"/>
      <c r="S1131" s="79"/>
      <c r="T1131" s="79"/>
      <c r="U1131" s="79"/>
      <c r="V1131" s="79"/>
      <c r="W1131" s="79"/>
      <c r="X1131" s="79"/>
      <c r="Y1131" s="79"/>
      <c r="Z1131" s="79"/>
      <c r="AA1131" s="79"/>
      <c r="AB1131" s="79"/>
    </row>
    <row r="1132" spans="1:28" ht="15" x14ac:dyDescent="0.2">
      <c r="A1132" s="100"/>
      <c r="B1132" s="101"/>
      <c r="C1132" s="101"/>
      <c r="D1132" s="101"/>
      <c r="E1132" s="101"/>
      <c r="F1132" s="101"/>
      <c r="G1132" s="101"/>
      <c r="H1132" s="101"/>
      <c r="I1132" s="101"/>
      <c r="J1132" s="79"/>
      <c r="K1132" s="79"/>
      <c r="L1132" s="79"/>
      <c r="M1132" s="79"/>
      <c r="N1132" s="79"/>
      <c r="O1132" s="79"/>
      <c r="P1132" s="79"/>
      <c r="Q1132" s="79"/>
      <c r="R1132" s="79"/>
      <c r="S1132" s="79"/>
      <c r="T1132" s="79"/>
      <c r="U1132" s="79"/>
      <c r="V1132" s="79"/>
      <c r="W1132" s="79"/>
      <c r="X1132" s="79"/>
      <c r="Y1132" s="79"/>
      <c r="Z1132" s="79"/>
      <c r="AA1132" s="79"/>
      <c r="AB1132" s="79"/>
    </row>
    <row r="1133" spans="1:28" ht="15" x14ac:dyDescent="0.2">
      <c r="A1133" s="100"/>
      <c r="B1133" s="101"/>
      <c r="C1133" s="101"/>
      <c r="D1133" s="101"/>
      <c r="E1133" s="101"/>
      <c r="F1133" s="101"/>
      <c r="G1133" s="101"/>
      <c r="H1133" s="101"/>
      <c r="I1133" s="101"/>
      <c r="J1133" s="79"/>
      <c r="K1133" s="79"/>
      <c r="L1133" s="79"/>
      <c r="M1133" s="79"/>
      <c r="N1133" s="79"/>
      <c r="O1133" s="79"/>
      <c r="P1133" s="79"/>
      <c r="Q1133" s="79"/>
      <c r="R1133" s="79"/>
      <c r="S1133" s="79"/>
      <c r="T1133" s="79"/>
      <c r="U1133" s="79"/>
      <c r="V1133" s="79"/>
      <c r="W1133" s="79"/>
      <c r="X1133" s="79"/>
      <c r="Y1133" s="79"/>
      <c r="Z1133" s="79"/>
      <c r="AA1133" s="79"/>
      <c r="AB1133" s="79"/>
    </row>
    <row r="1134" spans="1:28" ht="15" x14ac:dyDescent="0.2">
      <c r="A1134" s="100"/>
      <c r="B1134" s="101"/>
      <c r="C1134" s="101"/>
      <c r="D1134" s="101"/>
      <c r="E1134" s="101"/>
      <c r="F1134" s="101"/>
      <c r="G1134" s="101"/>
      <c r="H1134" s="101"/>
      <c r="I1134" s="101"/>
      <c r="J1134" s="79"/>
      <c r="K1134" s="79"/>
      <c r="L1134" s="79"/>
      <c r="M1134" s="79"/>
      <c r="N1134" s="79"/>
      <c r="O1134" s="79"/>
      <c r="P1134" s="79"/>
      <c r="Q1134" s="79"/>
      <c r="R1134" s="79"/>
      <c r="S1134" s="79"/>
      <c r="T1134" s="79"/>
      <c r="U1134" s="79"/>
      <c r="V1134" s="79"/>
      <c r="W1134" s="79"/>
      <c r="X1134" s="79"/>
      <c r="Y1134" s="79"/>
      <c r="Z1134" s="79"/>
      <c r="AA1134" s="79"/>
      <c r="AB1134" s="79"/>
    </row>
    <row r="1135" spans="1:28" ht="15" x14ac:dyDescent="0.2">
      <c r="A1135" s="100"/>
      <c r="B1135" s="101"/>
      <c r="C1135" s="101"/>
      <c r="D1135" s="101"/>
      <c r="E1135" s="101"/>
      <c r="F1135" s="101"/>
      <c r="G1135" s="101"/>
      <c r="H1135" s="101"/>
      <c r="I1135" s="101"/>
      <c r="J1135" s="79"/>
      <c r="K1135" s="79"/>
      <c r="L1135" s="79"/>
      <c r="M1135" s="79"/>
      <c r="N1135" s="79"/>
      <c r="O1135" s="79"/>
      <c r="P1135" s="79"/>
      <c r="Q1135" s="79"/>
      <c r="R1135" s="79"/>
      <c r="S1135" s="79"/>
      <c r="T1135" s="79"/>
      <c r="U1135" s="79"/>
      <c r="V1135" s="79"/>
      <c r="W1135" s="79"/>
      <c r="X1135" s="79"/>
      <c r="Y1135" s="79"/>
      <c r="Z1135" s="79"/>
      <c r="AA1135" s="79"/>
      <c r="AB1135" s="79"/>
    </row>
    <row r="1136" spans="1:28" ht="15" x14ac:dyDescent="0.2">
      <c r="A1136" s="100"/>
      <c r="B1136" s="101"/>
      <c r="C1136" s="101"/>
      <c r="D1136" s="101"/>
      <c r="E1136" s="101"/>
      <c r="F1136" s="101"/>
      <c r="G1136" s="101"/>
      <c r="H1136" s="101"/>
      <c r="I1136" s="101"/>
      <c r="J1136" s="79"/>
      <c r="K1136" s="79"/>
      <c r="L1136" s="79"/>
      <c r="M1136" s="79"/>
      <c r="N1136" s="79"/>
      <c r="O1136" s="79"/>
      <c r="P1136" s="79"/>
      <c r="Q1136" s="79"/>
      <c r="R1136" s="79"/>
      <c r="S1136" s="79"/>
      <c r="T1136" s="79"/>
      <c r="U1136" s="79"/>
      <c r="V1136" s="79"/>
      <c r="W1136" s="79"/>
      <c r="X1136" s="79"/>
      <c r="Y1136" s="79"/>
      <c r="Z1136" s="79"/>
      <c r="AA1136" s="79"/>
      <c r="AB1136" s="79"/>
    </row>
    <row r="1137" spans="1:28" ht="15" x14ac:dyDescent="0.2">
      <c r="A1137" s="100"/>
      <c r="B1137" s="101"/>
      <c r="C1137" s="101"/>
      <c r="D1137" s="101"/>
      <c r="E1137" s="101"/>
      <c r="F1137" s="101"/>
      <c r="G1137" s="101"/>
      <c r="H1137" s="101"/>
      <c r="I1137" s="101"/>
      <c r="J1137" s="79"/>
      <c r="K1137" s="79"/>
      <c r="L1137" s="79"/>
      <c r="M1137" s="79"/>
      <c r="N1137" s="79"/>
      <c r="O1137" s="79"/>
      <c r="P1137" s="79"/>
      <c r="Q1137" s="79"/>
      <c r="R1137" s="79"/>
      <c r="S1137" s="79"/>
      <c r="T1137" s="79"/>
      <c r="U1137" s="79"/>
      <c r="V1137" s="79"/>
      <c r="W1137" s="79"/>
      <c r="X1137" s="79"/>
      <c r="Y1137" s="79"/>
      <c r="Z1137" s="79"/>
      <c r="AA1137" s="79"/>
      <c r="AB1137" s="79"/>
    </row>
    <row r="1138" spans="1:28" ht="15" x14ac:dyDescent="0.2">
      <c r="A1138" s="100"/>
      <c r="B1138" s="101"/>
      <c r="C1138" s="101"/>
      <c r="D1138" s="101"/>
      <c r="E1138" s="101"/>
      <c r="F1138" s="101"/>
      <c r="G1138" s="101"/>
      <c r="H1138" s="101"/>
      <c r="I1138" s="101"/>
      <c r="J1138" s="79"/>
      <c r="K1138" s="79"/>
      <c r="L1138" s="79"/>
      <c r="M1138" s="79"/>
      <c r="N1138" s="79"/>
      <c r="O1138" s="79"/>
      <c r="P1138" s="79"/>
      <c r="Q1138" s="79"/>
      <c r="R1138" s="79"/>
      <c r="S1138" s="79"/>
      <c r="T1138" s="79"/>
      <c r="U1138" s="79"/>
      <c r="V1138" s="79"/>
      <c r="W1138" s="79"/>
      <c r="X1138" s="79"/>
      <c r="Y1138" s="79"/>
      <c r="Z1138" s="79"/>
      <c r="AA1138" s="79"/>
      <c r="AB1138" s="79"/>
    </row>
    <row r="1139" spans="1:28" ht="15" x14ac:dyDescent="0.2">
      <c r="A1139" s="100"/>
      <c r="B1139" s="101"/>
      <c r="C1139" s="101"/>
      <c r="D1139" s="101"/>
      <c r="E1139" s="101"/>
      <c r="F1139" s="101"/>
      <c r="G1139" s="101"/>
      <c r="H1139" s="101"/>
      <c r="I1139" s="101"/>
      <c r="J1139" s="79"/>
      <c r="K1139" s="79"/>
      <c r="L1139" s="79"/>
      <c r="M1139" s="79"/>
      <c r="N1139" s="79"/>
      <c r="O1139" s="79"/>
      <c r="P1139" s="79"/>
      <c r="Q1139" s="79"/>
      <c r="R1139" s="79"/>
      <c r="S1139" s="79"/>
      <c r="T1139" s="79"/>
      <c r="U1139" s="79"/>
      <c r="V1139" s="79"/>
      <c r="W1139" s="79"/>
      <c r="X1139" s="79"/>
      <c r="Y1139" s="79"/>
      <c r="Z1139" s="79"/>
      <c r="AA1139" s="79"/>
      <c r="AB1139" s="79"/>
    </row>
    <row r="1140" spans="1:28" ht="15" x14ac:dyDescent="0.2">
      <c r="A1140" s="100"/>
      <c r="B1140" s="101"/>
      <c r="C1140" s="101"/>
      <c r="D1140" s="101"/>
      <c r="E1140" s="101"/>
      <c r="F1140" s="101"/>
      <c r="G1140" s="101"/>
      <c r="H1140" s="101"/>
      <c r="I1140" s="101"/>
      <c r="J1140" s="79"/>
      <c r="K1140" s="79"/>
      <c r="L1140" s="79"/>
      <c r="M1140" s="79"/>
      <c r="N1140" s="79"/>
      <c r="O1140" s="79"/>
      <c r="P1140" s="79"/>
      <c r="Q1140" s="79"/>
      <c r="R1140" s="79"/>
      <c r="S1140" s="79"/>
      <c r="T1140" s="79"/>
      <c r="U1140" s="79"/>
      <c r="V1140" s="79"/>
      <c r="W1140" s="79"/>
      <c r="X1140" s="79"/>
      <c r="Y1140" s="79"/>
      <c r="Z1140" s="79"/>
      <c r="AA1140" s="79"/>
      <c r="AB1140" s="79"/>
    </row>
    <row r="1141" spans="1:28" ht="15" x14ac:dyDescent="0.2">
      <c r="A1141" s="100"/>
      <c r="B1141" s="101"/>
      <c r="C1141" s="101"/>
      <c r="D1141" s="101"/>
      <c r="E1141" s="101"/>
      <c r="F1141" s="101"/>
      <c r="G1141" s="101"/>
      <c r="H1141" s="101"/>
      <c r="I1141" s="101"/>
      <c r="J1141" s="79"/>
      <c r="K1141" s="79"/>
      <c r="L1141" s="79"/>
      <c r="M1141" s="79"/>
      <c r="N1141" s="79"/>
      <c r="O1141" s="79"/>
      <c r="P1141" s="79"/>
      <c r="Q1141" s="79"/>
      <c r="R1141" s="79"/>
      <c r="S1141" s="79"/>
      <c r="T1141" s="79"/>
      <c r="U1141" s="79"/>
      <c r="V1141" s="79"/>
      <c r="W1141" s="79"/>
      <c r="X1141" s="79"/>
      <c r="Y1141" s="79"/>
      <c r="Z1141" s="79"/>
      <c r="AA1141" s="79"/>
      <c r="AB1141" s="79"/>
    </row>
    <row r="1142" spans="1:28" ht="15" x14ac:dyDescent="0.2">
      <c r="A1142" s="100"/>
      <c r="B1142" s="101"/>
      <c r="C1142" s="101"/>
      <c r="D1142" s="101"/>
      <c r="E1142" s="101"/>
      <c r="F1142" s="101"/>
      <c r="G1142" s="101"/>
      <c r="H1142" s="101"/>
      <c r="I1142" s="101"/>
      <c r="J1142" s="79"/>
      <c r="K1142" s="79"/>
      <c r="L1142" s="79"/>
      <c r="M1142" s="79"/>
      <c r="N1142" s="79"/>
      <c r="O1142" s="79"/>
      <c r="P1142" s="79"/>
      <c r="Q1142" s="79"/>
      <c r="R1142" s="79"/>
      <c r="S1142" s="79"/>
      <c r="T1142" s="79"/>
      <c r="U1142" s="79"/>
      <c r="V1142" s="79"/>
      <c r="W1142" s="79"/>
      <c r="X1142" s="79"/>
      <c r="Y1142" s="79"/>
      <c r="Z1142" s="79"/>
      <c r="AA1142" s="79"/>
      <c r="AB1142" s="79"/>
    </row>
    <row r="1143" spans="1:28" ht="15" x14ac:dyDescent="0.2">
      <c r="A1143" s="100"/>
      <c r="B1143" s="101"/>
      <c r="C1143" s="101"/>
      <c r="D1143" s="101"/>
      <c r="E1143" s="101"/>
      <c r="F1143" s="101"/>
      <c r="G1143" s="101"/>
      <c r="H1143" s="101"/>
      <c r="I1143" s="101"/>
      <c r="J1143" s="79"/>
      <c r="K1143" s="79"/>
      <c r="L1143" s="79"/>
      <c r="M1143" s="79"/>
      <c r="N1143" s="79"/>
      <c r="O1143" s="79"/>
      <c r="P1143" s="79"/>
      <c r="Q1143" s="79"/>
      <c r="R1143" s="79"/>
      <c r="S1143" s="79"/>
      <c r="T1143" s="79"/>
      <c r="U1143" s="79"/>
      <c r="V1143" s="79"/>
      <c r="W1143" s="79"/>
      <c r="X1143" s="79"/>
      <c r="Y1143" s="79"/>
      <c r="Z1143" s="79"/>
      <c r="AA1143" s="79"/>
      <c r="AB1143" s="79"/>
    </row>
    <row r="1144" spans="1:28" ht="15" x14ac:dyDescent="0.2">
      <c r="A1144" s="100"/>
      <c r="B1144" s="101"/>
      <c r="C1144" s="101"/>
      <c r="D1144" s="101"/>
      <c r="E1144" s="101"/>
      <c r="F1144" s="101"/>
      <c r="G1144" s="101"/>
      <c r="H1144" s="101"/>
      <c r="I1144" s="101"/>
      <c r="J1144" s="79"/>
      <c r="K1144" s="79"/>
      <c r="L1144" s="79"/>
      <c r="M1144" s="79"/>
      <c r="N1144" s="79"/>
      <c r="O1144" s="79"/>
      <c r="P1144" s="79"/>
      <c r="Q1144" s="79"/>
      <c r="R1144" s="79"/>
      <c r="S1144" s="79"/>
      <c r="T1144" s="79"/>
      <c r="U1144" s="79"/>
      <c r="V1144" s="79"/>
      <c r="W1144" s="79"/>
      <c r="X1144" s="79"/>
      <c r="Y1144" s="79"/>
      <c r="Z1144" s="79"/>
      <c r="AA1144" s="79"/>
      <c r="AB1144" s="79"/>
    </row>
    <row r="1145" spans="1:28" ht="15" x14ac:dyDescent="0.2">
      <c r="A1145" s="100"/>
      <c r="B1145" s="101"/>
      <c r="C1145" s="101"/>
      <c r="D1145" s="101"/>
      <c r="E1145" s="101"/>
      <c r="F1145" s="101"/>
      <c r="G1145" s="101"/>
      <c r="H1145" s="101"/>
      <c r="I1145" s="101"/>
      <c r="J1145" s="79"/>
      <c r="K1145" s="79"/>
      <c r="L1145" s="79"/>
      <c r="M1145" s="79"/>
      <c r="N1145" s="79"/>
      <c r="O1145" s="79"/>
      <c r="P1145" s="79"/>
      <c r="Q1145" s="79"/>
      <c r="R1145" s="79"/>
      <c r="S1145" s="79"/>
      <c r="T1145" s="79"/>
      <c r="U1145" s="79"/>
      <c r="V1145" s="79"/>
      <c r="W1145" s="79"/>
      <c r="X1145" s="79"/>
      <c r="Y1145" s="79"/>
      <c r="Z1145" s="79"/>
      <c r="AA1145" s="79"/>
      <c r="AB1145" s="79"/>
    </row>
    <row r="1146" spans="1:28" ht="15" x14ac:dyDescent="0.2">
      <c r="A1146" s="100"/>
      <c r="B1146" s="101"/>
      <c r="C1146" s="101"/>
      <c r="D1146" s="101"/>
      <c r="E1146" s="101"/>
      <c r="F1146" s="101"/>
      <c r="G1146" s="101"/>
      <c r="H1146" s="101"/>
      <c r="I1146" s="101"/>
      <c r="J1146" s="79"/>
      <c r="K1146" s="79"/>
      <c r="L1146" s="79"/>
      <c r="M1146" s="79"/>
      <c r="N1146" s="79"/>
      <c r="O1146" s="79"/>
      <c r="P1146" s="79"/>
      <c r="Q1146" s="79"/>
      <c r="R1146" s="79"/>
      <c r="S1146" s="79"/>
      <c r="T1146" s="79"/>
      <c r="U1146" s="79"/>
      <c r="V1146" s="79"/>
      <c r="W1146" s="79"/>
      <c r="X1146" s="79"/>
      <c r="Y1146" s="79"/>
      <c r="Z1146" s="79"/>
      <c r="AA1146" s="79"/>
      <c r="AB1146" s="79"/>
    </row>
    <row r="1147" spans="1:28" ht="15" x14ac:dyDescent="0.2">
      <c r="A1147" s="100"/>
      <c r="B1147" s="101"/>
      <c r="C1147" s="101"/>
      <c r="D1147" s="101"/>
      <c r="E1147" s="101"/>
      <c r="F1147" s="101"/>
      <c r="G1147" s="101"/>
      <c r="H1147" s="101"/>
      <c r="I1147" s="101"/>
      <c r="J1147" s="79"/>
      <c r="K1147" s="79"/>
      <c r="L1147" s="79"/>
      <c r="M1147" s="79"/>
      <c r="N1147" s="79"/>
      <c r="O1147" s="79"/>
      <c r="P1147" s="79"/>
      <c r="Q1147" s="79"/>
      <c r="R1147" s="79"/>
      <c r="S1147" s="79"/>
      <c r="T1147" s="79"/>
      <c r="U1147" s="79"/>
      <c r="V1147" s="79"/>
      <c r="W1147" s="79"/>
      <c r="X1147" s="79"/>
      <c r="Y1147" s="79"/>
      <c r="Z1147" s="79"/>
      <c r="AA1147" s="79"/>
      <c r="AB1147" s="79"/>
    </row>
    <row r="1148" spans="1:28" ht="15" x14ac:dyDescent="0.2">
      <c r="A1148" s="100"/>
      <c r="B1148" s="101"/>
      <c r="C1148" s="101"/>
      <c r="D1148" s="101"/>
      <c r="E1148" s="101"/>
      <c r="F1148" s="101"/>
      <c r="G1148" s="101"/>
      <c r="H1148" s="101"/>
      <c r="I1148" s="101"/>
      <c r="J1148" s="79"/>
      <c r="K1148" s="79"/>
      <c r="L1148" s="79"/>
      <c r="M1148" s="79"/>
      <c r="N1148" s="79"/>
      <c r="O1148" s="79"/>
      <c r="P1148" s="79"/>
      <c r="Q1148" s="79"/>
      <c r="R1148" s="79"/>
      <c r="S1148" s="79"/>
      <c r="T1148" s="79"/>
      <c r="U1148" s="79"/>
      <c r="V1148" s="79"/>
      <c r="W1148" s="79"/>
      <c r="X1148" s="79"/>
      <c r="Y1148" s="79"/>
      <c r="Z1148" s="79"/>
      <c r="AA1148" s="79"/>
      <c r="AB1148" s="79"/>
    </row>
    <row r="1149" spans="1:28" ht="15" x14ac:dyDescent="0.2">
      <c r="A1149" s="100"/>
      <c r="B1149" s="101"/>
      <c r="C1149" s="101"/>
      <c r="D1149" s="101"/>
      <c r="E1149" s="101"/>
      <c r="F1149" s="101"/>
      <c r="G1149" s="101"/>
      <c r="H1149" s="101"/>
      <c r="I1149" s="101"/>
      <c r="J1149" s="79"/>
      <c r="K1149" s="79"/>
      <c r="L1149" s="79"/>
      <c r="M1149" s="79"/>
      <c r="N1149" s="79"/>
      <c r="O1149" s="79"/>
      <c r="P1149" s="79"/>
      <c r="Q1149" s="79"/>
      <c r="R1149" s="79"/>
      <c r="S1149" s="79"/>
      <c r="T1149" s="79"/>
      <c r="U1149" s="79"/>
      <c r="V1149" s="79"/>
      <c r="W1149" s="79"/>
      <c r="X1149" s="79"/>
      <c r="Y1149" s="79"/>
      <c r="Z1149" s="79"/>
      <c r="AA1149" s="79"/>
      <c r="AB1149" s="79"/>
    </row>
    <row r="1150" spans="1:28" ht="15" x14ac:dyDescent="0.2">
      <c r="A1150" s="100"/>
      <c r="B1150" s="101"/>
      <c r="C1150" s="101"/>
      <c r="D1150" s="101"/>
      <c r="E1150" s="101"/>
      <c r="F1150" s="101"/>
      <c r="G1150" s="101"/>
      <c r="H1150" s="101"/>
      <c r="I1150" s="101"/>
      <c r="J1150" s="79"/>
      <c r="K1150" s="79"/>
      <c r="L1150" s="79"/>
      <c r="M1150" s="79"/>
      <c r="N1150" s="79"/>
      <c r="O1150" s="79"/>
      <c r="P1150" s="79"/>
      <c r="Q1150" s="79"/>
      <c r="R1150" s="79"/>
      <c r="S1150" s="79"/>
      <c r="T1150" s="79"/>
      <c r="U1150" s="79"/>
      <c r="V1150" s="79"/>
      <c r="W1150" s="79"/>
      <c r="X1150" s="79"/>
      <c r="Y1150" s="79"/>
      <c r="Z1150" s="79"/>
      <c r="AA1150" s="79"/>
      <c r="AB1150" s="79"/>
    </row>
    <row r="1151" spans="1:28" ht="15" x14ac:dyDescent="0.2">
      <c r="A1151" s="100"/>
      <c r="B1151" s="101"/>
      <c r="C1151" s="101"/>
      <c r="D1151" s="101"/>
      <c r="E1151" s="101"/>
      <c r="F1151" s="101"/>
      <c r="G1151" s="101"/>
      <c r="H1151" s="101"/>
      <c r="I1151" s="101"/>
      <c r="J1151" s="79"/>
      <c r="K1151" s="79"/>
      <c r="L1151" s="79"/>
      <c r="M1151" s="79"/>
      <c r="N1151" s="79"/>
      <c r="O1151" s="79"/>
      <c r="P1151" s="79"/>
      <c r="Q1151" s="79"/>
      <c r="R1151" s="79"/>
      <c r="S1151" s="79"/>
      <c r="T1151" s="79"/>
      <c r="U1151" s="79"/>
      <c r="V1151" s="79"/>
      <c r="W1151" s="79"/>
      <c r="X1151" s="79"/>
      <c r="Y1151" s="79"/>
      <c r="Z1151" s="79"/>
      <c r="AA1151" s="79"/>
      <c r="AB1151" s="79"/>
    </row>
    <row r="1152" spans="1:28" ht="15" x14ac:dyDescent="0.2">
      <c r="A1152" s="100"/>
      <c r="B1152" s="101"/>
      <c r="C1152" s="101"/>
      <c r="D1152" s="101"/>
      <c r="E1152" s="101"/>
      <c r="F1152" s="101"/>
      <c r="G1152" s="101"/>
      <c r="H1152" s="101"/>
      <c r="I1152" s="101"/>
      <c r="J1152" s="79"/>
      <c r="K1152" s="79"/>
      <c r="L1152" s="79"/>
      <c r="M1152" s="79"/>
      <c r="N1152" s="79"/>
      <c r="O1152" s="79"/>
      <c r="P1152" s="79"/>
      <c r="Q1152" s="79"/>
      <c r="R1152" s="79"/>
      <c r="S1152" s="79"/>
      <c r="T1152" s="79"/>
      <c r="U1152" s="79"/>
      <c r="V1152" s="79"/>
      <c r="W1152" s="79"/>
      <c r="X1152" s="79"/>
      <c r="Y1152" s="79"/>
      <c r="Z1152" s="79"/>
      <c r="AA1152" s="79"/>
      <c r="AB1152" s="79"/>
    </row>
    <row r="1153" spans="1:28" ht="15" x14ac:dyDescent="0.2">
      <c r="A1153" s="100"/>
      <c r="B1153" s="101"/>
      <c r="C1153" s="101"/>
      <c r="D1153" s="101"/>
      <c r="E1153" s="101"/>
      <c r="F1153" s="101"/>
      <c r="G1153" s="101"/>
      <c r="H1153" s="101"/>
      <c r="I1153" s="101"/>
      <c r="J1153" s="79"/>
      <c r="K1153" s="79"/>
      <c r="L1153" s="79"/>
      <c r="M1153" s="79"/>
      <c r="N1153" s="79"/>
      <c r="O1153" s="79"/>
      <c r="P1153" s="79"/>
      <c r="Q1153" s="79"/>
      <c r="R1153" s="79"/>
      <c r="S1153" s="79"/>
      <c r="T1153" s="79"/>
      <c r="U1153" s="79"/>
      <c r="V1153" s="79"/>
      <c r="W1153" s="79"/>
      <c r="X1153" s="79"/>
      <c r="Y1153" s="79"/>
      <c r="Z1153" s="79"/>
      <c r="AA1153" s="79"/>
      <c r="AB1153" s="79"/>
    </row>
    <row r="1154" spans="1:28" ht="15" x14ac:dyDescent="0.2">
      <c r="A1154" s="100"/>
      <c r="B1154" s="101"/>
      <c r="C1154" s="101"/>
      <c r="D1154" s="101"/>
      <c r="E1154" s="101"/>
      <c r="F1154" s="101"/>
      <c r="G1154" s="101"/>
      <c r="H1154" s="101"/>
      <c r="I1154" s="101"/>
      <c r="J1154" s="79"/>
      <c r="K1154" s="79"/>
      <c r="L1154" s="79"/>
      <c r="M1154" s="79"/>
      <c r="N1154" s="79"/>
      <c r="O1154" s="79"/>
      <c r="P1154" s="79"/>
      <c r="Q1154" s="79"/>
      <c r="R1154" s="79"/>
      <c r="S1154" s="79"/>
      <c r="T1154" s="79"/>
      <c r="U1154" s="79"/>
      <c r="V1154" s="79"/>
      <c r="W1154" s="79"/>
      <c r="X1154" s="79"/>
      <c r="Y1154" s="79"/>
      <c r="Z1154" s="79"/>
      <c r="AA1154" s="79"/>
      <c r="AB1154" s="79"/>
    </row>
    <row r="1155" spans="1:28" ht="15" x14ac:dyDescent="0.2">
      <c r="A1155" s="100"/>
      <c r="B1155" s="101"/>
      <c r="C1155" s="101"/>
      <c r="D1155" s="101"/>
      <c r="E1155" s="101"/>
      <c r="F1155" s="101"/>
      <c r="G1155" s="101"/>
      <c r="H1155" s="101"/>
      <c r="I1155" s="101"/>
      <c r="J1155" s="79"/>
      <c r="K1155" s="79"/>
      <c r="L1155" s="79"/>
      <c r="M1155" s="79"/>
      <c r="N1155" s="79"/>
      <c r="O1155" s="79"/>
      <c r="P1155" s="79"/>
      <c r="Q1155" s="79"/>
      <c r="R1155" s="79"/>
      <c r="S1155" s="79"/>
      <c r="T1155" s="79"/>
      <c r="U1155" s="79"/>
      <c r="V1155" s="79"/>
      <c r="W1155" s="79"/>
      <c r="X1155" s="79"/>
      <c r="Y1155" s="79"/>
      <c r="Z1155" s="79"/>
      <c r="AA1155" s="79"/>
      <c r="AB1155" s="79"/>
    </row>
    <row r="1156" spans="1:28" ht="15" x14ac:dyDescent="0.2">
      <c r="A1156" s="100"/>
      <c r="B1156" s="101"/>
      <c r="C1156" s="101"/>
      <c r="D1156" s="101"/>
      <c r="E1156" s="101"/>
      <c r="F1156" s="101"/>
      <c r="G1156" s="101"/>
      <c r="H1156" s="101"/>
      <c r="I1156" s="101"/>
      <c r="J1156" s="79"/>
      <c r="K1156" s="79"/>
      <c r="L1156" s="79"/>
      <c r="M1156" s="79"/>
      <c r="N1156" s="79"/>
      <c r="O1156" s="79"/>
      <c r="P1156" s="79"/>
      <c r="Q1156" s="79"/>
      <c r="R1156" s="79"/>
      <c r="S1156" s="79"/>
      <c r="T1156" s="79"/>
      <c r="U1156" s="79"/>
      <c r="V1156" s="79"/>
      <c r="W1156" s="79"/>
      <c r="X1156" s="79"/>
      <c r="Y1156" s="79"/>
      <c r="Z1156" s="79"/>
      <c r="AA1156" s="79"/>
      <c r="AB1156" s="79"/>
    </row>
    <row r="1157" spans="1:28" ht="15" x14ac:dyDescent="0.2">
      <c r="A1157" s="100"/>
      <c r="B1157" s="101"/>
      <c r="C1157" s="101"/>
      <c r="D1157" s="101"/>
      <c r="E1157" s="101"/>
      <c r="F1157" s="101"/>
      <c r="G1157" s="101"/>
      <c r="H1157" s="101"/>
      <c r="I1157" s="101"/>
      <c r="J1157" s="79"/>
      <c r="K1157" s="79"/>
      <c r="L1157" s="79"/>
      <c r="M1157" s="79"/>
      <c r="N1157" s="79"/>
      <c r="O1157" s="79"/>
      <c r="P1157" s="79"/>
      <c r="Q1157" s="79"/>
      <c r="R1157" s="79"/>
      <c r="S1157" s="79"/>
      <c r="T1157" s="79"/>
      <c r="U1157" s="79"/>
      <c r="V1157" s="79"/>
      <c r="W1157" s="79"/>
      <c r="X1157" s="79"/>
      <c r="Y1157" s="79"/>
      <c r="Z1157" s="79"/>
      <c r="AA1157" s="79"/>
      <c r="AB1157" s="79"/>
    </row>
    <row r="1158" spans="1:28" ht="15" x14ac:dyDescent="0.2">
      <c r="A1158" s="100"/>
      <c r="B1158" s="101"/>
      <c r="C1158" s="101"/>
      <c r="D1158" s="101"/>
      <c r="E1158" s="101"/>
      <c r="F1158" s="101"/>
      <c r="G1158" s="101"/>
      <c r="H1158" s="101"/>
      <c r="I1158" s="101"/>
      <c r="J1158" s="79"/>
      <c r="K1158" s="79"/>
      <c r="L1158" s="79"/>
      <c r="M1158" s="79"/>
      <c r="N1158" s="79"/>
      <c r="O1158" s="79"/>
      <c r="P1158" s="79"/>
      <c r="Q1158" s="79"/>
      <c r="R1158" s="79"/>
      <c r="S1158" s="79"/>
      <c r="T1158" s="79"/>
      <c r="U1158" s="79"/>
      <c r="V1158" s="79"/>
      <c r="W1158" s="79"/>
      <c r="X1158" s="79"/>
      <c r="Y1158" s="79"/>
      <c r="Z1158" s="79"/>
      <c r="AA1158" s="79"/>
      <c r="AB1158" s="79"/>
    </row>
    <row r="1159" spans="1:28" ht="15" x14ac:dyDescent="0.2">
      <c r="A1159" s="100"/>
      <c r="B1159" s="101"/>
      <c r="C1159" s="101"/>
      <c r="D1159" s="101"/>
      <c r="E1159" s="101"/>
      <c r="F1159" s="101"/>
      <c r="G1159" s="101"/>
      <c r="H1159" s="101"/>
      <c r="I1159" s="101"/>
      <c r="J1159" s="79"/>
      <c r="K1159" s="79"/>
      <c r="L1159" s="79"/>
      <c r="M1159" s="79"/>
      <c r="N1159" s="79"/>
      <c r="O1159" s="79"/>
      <c r="P1159" s="79"/>
      <c r="Q1159" s="79"/>
      <c r="R1159" s="79"/>
      <c r="S1159" s="79"/>
      <c r="T1159" s="79"/>
      <c r="U1159" s="79"/>
      <c r="V1159" s="79"/>
      <c r="W1159" s="79"/>
      <c r="X1159" s="79"/>
      <c r="Y1159" s="79"/>
      <c r="Z1159" s="79"/>
      <c r="AA1159" s="79"/>
      <c r="AB1159" s="79"/>
    </row>
    <row r="1160" spans="1:28" ht="15" x14ac:dyDescent="0.2">
      <c r="A1160" s="100"/>
      <c r="B1160" s="101"/>
      <c r="C1160" s="101"/>
      <c r="D1160" s="101"/>
      <c r="E1160" s="101"/>
      <c r="F1160" s="101"/>
      <c r="G1160" s="101"/>
      <c r="H1160" s="101"/>
      <c r="I1160" s="101"/>
      <c r="J1160" s="79"/>
      <c r="K1160" s="79"/>
      <c r="L1160" s="79"/>
      <c r="M1160" s="79"/>
      <c r="N1160" s="79"/>
      <c r="O1160" s="79"/>
      <c r="P1160" s="79"/>
      <c r="Q1160" s="79"/>
      <c r="R1160" s="79"/>
      <c r="S1160" s="79"/>
      <c r="T1160" s="79"/>
      <c r="U1160" s="79"/>
      <c r="V1160" s="79"/>
      <c r="W1160" s="79"/>
      <c r="X1160" s="79"/>
      <c r="Y1160" s="79"/>
      <c r="Z1160" s="79"/>
      <c r="AA1160" s="79"/>
      <c r="AB1160" s="79"/>
    </row>
    <row r="1161" spans="1:28" ht="15" x14ac:dyDescent="0.2">
      <c r="A1161" s="100"/>
      <c r="B1161" s="101"/>
      <c r="C1161" s="101"/>
      <c r="D1161" s="101"/>
      <c r="E1161" s="101"/>
      <c r="F1161" s="101"/>
      <c r="G1161" s="101"/>
      <c r="H1161" s="101"/>
      <c r="I1161" s="101"/>
      <c r="J1161" s="79"/>
      <c r="K1161" s="79"/>
      <c r="L1161" s="79"/>
      <c r="M1161" s="79"/>
      <c r="N1161" s="79"/>
      <c r="O1161" s="79"/>
      <c r="P1161" s="79"/>
      <c r="Q1161" s="79"/>
      <c r="R1161" s="79"/>
      <c r="S1161" s="79"/>
      <c r="T1161" s="79"/>
      <c r="U1161" s="79"/>
      <c r="V1161" s="79"/>
      <c r="W1161" s="79"/>
      <c r="X1161" s="79"/>
      <c r="Y1161" s="79"/>
      <c r="Z1161" s="79"/>
      <c r="AA1161" s="79"/>
      <c r="AB1161" s="79"/>
    </row>
    <row r="1162" spans="1:28" ht="15" x14ac:dyDescent="0.2">
      <c r="A1162" s="100"/>
      <c r="B1162" s="101"/>
      <c r="C1162" s="101"/>
      <c r="D1162" s="101"/>
      <c r="E1162" s="101"/>
      <c r="F1162" s="101"/>
      <c r="G1162" s="101"/>
      <c r="H1162" s="101"/>
      <c r="I1162" s="101"/>
      <c r="J1162" s="79"/>
      <c r="K1162" s="79"/>
      <c r="L1162" s="79"/>
      <c r="M1162" s="79"/>
      <c r="N1162" s="79"/>
      <c r="O1162" s="79"/>
      <c r="P1162" s="79"/>
      <c r="Q1162" s="79"/>
      <c r="R1162" s="79"/>
      <c r="S1162" s="79"/>
      <c r="T1162" s="79"/>
      <c r="U1162" s="79"/>
      <c r="V1162" s="79"/>
      <c r="W1162" s="79"/>
      <c r="X1162" s="79"/>
      <c r="Y1162" s="79"/>
      <c r="Z1162" s="79"/>
      <c r="AA1162" s="79"/>
      <c r="AB1162" s="79"/>
    </row>
    <row r="1163" spans="1:28" ht="15" x14ac:dyDescent="0.2">
      <c r="A1163" s="100"/>
      <c r="B1163" s="101"/>
      <c r="C1163" s="101"/>
      <c r="D1163" s="101"/>
      <c r="E1163" s="101"/>
      <c r="F1163" s="101"/>
      <c r="G1163" s="101"/>
      <c r="H1163" s="101"/>
      <c r="I1163" s="101"/>
      <c r="J1163" s="79"/>
      <c r="K1163" s="79"/>
      <c r="L1163" s="79"/>
      <c r="M1163" s="79"/>
      <c r="N1163" s="79"/>
      <c r="O1163" s="79"/>
      <c r="P1163" s="79"/>
      <c r="Q1163" s="79"/>
      <c r="R1163" s="79"/>
      <c r="S1163" s="79"/>
      <c r="T1163" s="79"/>
      <c r="U1163" s="79"/>
      <c r="V1163" s="79"/>
      <c r="W1163" s="79"/>
      <c r="X1163" s="79"/>
      <c r="Y1163" s="79"/>
      <c r="Z1163" s="79"/>
      <c r="AA1163" s="79"/>
      <c r="AB1163" s="79"/>
    </row>
    <row r="1164" spans="1:28" ht="15" x14ac:dyDescent="0.2">
      <c r="A1164" s="100"/>
      <c r="B1164" s="101"/>
      <c r="C1164" s="101"/>
      <c r="D1164" s="101"/>
      <c r="E1164" s="101"/>
      <c r="F1164" s="101"/>
      <c r="G1164" s="101"/>
      <c r="H1164" s="101"/>
      <c r="I1164" s="101"/>
      <c r="J1164" s="79"/>
      <c r="K1164" s="79"/>
      <c r="L1164" s="79"/>
      <c r="M1164" s="79"/>
      <c r="N1164" s="79"/>
      <c r="O1164" s="79"/>
      <c r="P1164" s="79"/>
      <c r="Q1164" s="79"/>
      <c r="R1164" s="79"/>
      <c r="S1164" s="79"/>
      <c r="T1164" s="79"/>
      <c r="U1164" s="79"/>
      <c r="V1164" s="79"/>
      <c r="W1164" s="79"/>
      <c r="X1164" s="79"/>
      <c r="Y1164" s="79"/>
      <c r="Z1164" s="79"/>
      <c r="AA1164" s="79"/>
      <c r="AB1164" s="79"/>
    </row>
    <row r="1165" spans="1:28" ht="15" x14ac:dyDescent="0.2">
      <c r="A1165" s="100"/>
      <c r="B1165" s="101"/>
      <c r="C1165" s="101"/>
      <c r="D1165" s="101"/>
      <c r="E1165" s="101"/>
      <c r="F1165" s="101"/>
      <c r="G1165" s="101"/>
      <c r="H1165" s="101"/>
      <c r="I1165" s="101"/>
      <c r="J1165" s="79"/>
      <c r="K1165" s="79"/>
      <c r="L1165" s="79"/>
      <c r="M1165" s="79"/>
      <c r="N1165" s="79"/>
      <c r="O1165" s="79"/>
      <c r="P1165" s="79"/>
      <c r="Q1165" s="79"/>
      <c r="R1165" s="79"/>
      <c r="S1165" s="79"/>
      <c r="T1165" s="79"/>
      <c r="U1165" s="79"/>
      <c r="V1165" s="79"/>
      <c r="W1165" s="79"/>
      <c r="X1165" s="79"/>
      <c r="Y1165" s="79"/>
      <c r="Z1165" s="79"/>
      <c r="AA1165" s="79"/>
      <c r="AB1165" s="79"/>
    </row>
    <row r="1166" spans="1:28" ht="15" x14ac:dyDescent="0.2">
      <c r="A1166" s="100"/>
      <c r="B1166" s="101"/>
      <c r="C1166" s="101"/>
      <c r="D1166" s="101"/>
      <c r="E1166" s="101"/>
      <c r="F1166" s="101"/>
      <c r="G1166" s="101"/>
      <c r="H1166" s="101"/>
      <c r="I1166" s="101"/>
      <c r="J1166" s="79"/>
      <c r="K1166" s="79"/>
      <c r="L1166" s="79"/>
      <c r="M1166" s="79"/>
      <c r="N1166" s="79"/>
      <c r="O1166" s="79"/>
      <c r="P1166" s="79"/>
      <c r="Q1166" s="79"/>
      <c r="R1166" s="79"/>
      <c r="S1166" s="79"/>
      <c r="T1166" s="79"/>
      <c r="U1166" s="79"/>
      <c r="V1166" s="79"/>
      <c r="W1166" s="79"/>
      <c r="X1166" s="79"/>
      <c r="Y1166" s="79"/>
      <c r="Z1166" s="79"/>
      <c r="AA1166" s="79"/>
      <c r="AB1166" s="79"/>
    </row>
    <row r="1167" spans="1:28" ht="15" x14ac:dyDescent="0.2">
      <c r="A1167" s="100"/>
      <c r="B1167" s="101"/>
      <c r="C1167" s="101"/>
      <c r="D1167" s="101"/>
      <c r="E1167" s="101"/>
      <c r="F1167" s="101"/>
      <c r="G1167" s="101"/>
      <c r="H1167" s="101"/>
      <c r="I1167" s="101"/>
      <c r="J1167" s="79"/>
      <c r="K1167" s="79"/>
      <c r="L1167" s="79"/>
      <c r="M1167" s="79"/>
      <c r="N1167" s="79"/>
      <c r="O1167" s="79"/>
      <c r="P1167" s="79"/>
      <c r="Q1167" s="79"/>
      <c r="R1167" s="79"/>
      <c r="S1167" s="79"/>
      <c r="T1167" s="79"/>
      <c r="U1167" s="79"/>
      <c r="V1167" s="79"/>
      <c r="W1167" s="79"/>
      <c r="X1167" s="79"/>
      <c r="Y1167" s="79"/>
      <c r="Z1167" s="79"/>
      <c r="AA1167" s="79"/>
      <c r="AB1167" s="79"/>
    </row>
    <row r="1168" spans="1:28" ht="15" x14ac:dyDescent="0.2">
      <c r="A1168" s="100"/>
      <c r="B1168" s="101"/>
      <c r="C1168" s="101"/>
      <c r="D1168" s="101"/>
      <c r="E1168" s="101"/>
      <c r="F1168" s="101"/>
      <c r="G1168" s="101"/>
      <c r="H1168" s="101"/>
      <c r="I1168" s="101"/>
      <c r="J1168" s="79"/>
      <c r="K1168" s="79"/>
      <c r="L1168" s="79"/>
      <c r="M1168" s="79"/>
      <c r="N1168" s="79"/>
      <c r="O1168" s="79"/>
      <c r="P1168" s="79"/>
      <c r="Q1168" s="79"/>
      <c r="R1168" s="79"/>
      <c r="S1168" s="79"/>
      <c r="T1168" s="79"/>
      <c r="U1168" s="79"/>
      <c r="V1168" s="79"/>
      <c r="W1168" s="79"/>
      <c r="X1168" s="79"/>
      <c r="Y1168" s="79"/>
      <c r="Z1168" s="79"/>
      <c r="AA1168" s="79"/>
      <c r="AB1168" s="79"/>
    </row>
    <row r="1169" spans="1:28" ht="15" x14ac:dyDescent="0.2">
      <c r="A1169" s="100"/>
      <c r="B1169" s="101"/>
      <c r="C1169" s="101"/>
      <c r="D1169" s="101"/>
      <c r="E1169" s="101"/>
      <c r="F1169" s="101"/>
      <c r="G1169" s="101"/>
      <c r="H1169" s="101"/>
      <c r="I1169" s="101"/>
      <c r="J1169" s="79"/>
      <c r="K1169" s="79"/>
      <c r="L1169" s="79"/>
      <c r="M1169" s="79"/>
      <c r="N1169" s="79"/>
      <c r="O1169" s="79"/>
      <c r="P1169" s="79"/>
      <c r="Q1169" s="79"/>
      <c r="R1169" s="79"/>
      <c r="S1169" s="79"/>
      <c r="T1169" s="79"/>
      <c r="U1169" s="79"/>
      <c r="V1169" s="79"/>
      <c r="W1169" s="79"/>
      <c r="X1169" s="79"/>
      <c r="Y1169" s="79"/>
      <c r="Z1169" s="79"/>
      <c r="AA1169" s="79"/>
      <c r="AB1169" s="79"/>
    </row>
    <row r="1170" spans="1:28" ht="15" x14ac:dyDescent="0.2">
      <c r="A1170" s="100"/>
      <c r="B1170" s="101"/>
      <c r="C1170" s="101"/>
      <c r="D1170" s="101"/>
      <c r="E1170" s="101"/>
      <c r="F1170" s="101"/>
      <c r="G1170" s="101"/>
      <c r="H1170" s="101"/>
      <c r="I1170" s="101"/>
      <c r="J1170" s="79"/>
      <c r="K1170" s="79"/>
      <c r="L1170" s="79"/>
      <c r="M1170" s="79"/>
      <c r="N1170" s="79"/>
      <c r="O1170" s="79"/>
      <c r="P1170" s="79"/>
      <c r="Q1170" s="79"/>
      <c r="R1170" s="79"/>
      <c r="S1170" s="79"/>
      <c r="T1170" s="79"/>
      <c r="U1170" s="79"/>
      <c r="V1170" s="79"/>
      <c r="W1170" s="79"/>
      <c r="X1170" s="79"/>
      <c r="Y1170" s="79"/>
      <c r="Z1170" s="79"/>
      <c r="AA1170" s="79"/>
      <c r="AB1170" s="79"/>
    </row>
    <row r="1171" spans="1:28" ht="15" x14ac:dyDescent="0.2">
      <c r="A1171" s="100"/>
      <c r="B1171" s="101"/>
      <c r="C1171" s="101"/>
      <c r="D1171" s="101"/>
      <c r="E1171" s="101"/>
      <c r="F1171" s="101"/>
      <c r="G1171" s="101"/>
      <c r="H1171" s="101"/>
      <c r="I1171" s="101"/>
      <c r="J1171" s="79"/>
      <c r="K1171" s="79"/>
      <c r="L1171" s="79"/>
      <c r="M1171" s="79"/>
      <c r="N1171" s="79"/>
      <c r="O1171" s="79"/>
      <c r="P1171" s="79"/>
      <c r="Q1171" s="79"/>
      <c r="R1171" s="79"/>
      <c r="S1171" s="79"/>
      <c r="T1171" s="79"/>
      <c r="U1171" s="79"/>
      <c r="V1171" s="79"/>
      <c r="W1171" s="79"/>
      <c r="X1171" s="79"/>
      <c r="Y1171" s="79"/>
      <c r="Z1171" s="79"/>
      <c r="AA1171" s="79"/>
      <c r="AB1171" s="79"/>
    </row>
    <row r="1172" spans="1:28" ht="15" x14ac:dyDescent="0.2">
      <c r="A1172" s="100"/>
      <c r="B1172" s="101"/>
      <c r="C1172" s="101"/>
      <c r="D1172" s="101"/>
      <c r="E1172" s="101"/>
      <c r="F1172" s="101"/>
      <c r="G1172" s="101"/>
      <c r="H1172" s="101"/>
      <c r="I1172" s="101"/>
      <c r="J1172" s="79"/>
      <c r="K1172" s="79"/>
      <c r="L1172" s="79"/>
      <c r="M1172" s="79"/>
      <c r="N1172" s="79"/>
      <c r="O1172" s="79"/>
      <c r="P1172" s="79"/>
      <c r="Q1172" s="79"/>
      <c r="R1172" s="79"/>
      <c r="S1172" s="79"/>
      <c r="T1172" s="79"/>
      <c r="U1172" s="79"/>
      <c r="V1172" s="79"/>
      <c r="W1172" s="79"/>
      <c r="X1172" s="79"/>
      <c r="Y1172" s="79"/>
      <c r="Z1172" s="79"/>
      <c r="AA1172" s="79"/>
      <c r="AB1172" s="79"/>
    </row>
    <row r="1173" spans="1:28" ht="15" x14ac:dyDescent="0.2">
      <c r="A1173" s="100"/>
      <c r="B1173" s="101"/>
      <c r="C1173" s="101"/>
      <c r="D1173" s="101"/>
      <c r="E1173" s="101"/>
      <c r="F1173" s="101"/>
      <c r="G1173" s="101"/>
      <c r="H1173" s="101"/>
      <c r="I1173" s="101"/>
      <c r="J1173" s="79"/>
      <c r="K1173" s="79"/>
      <c r="L1173" s="79"/>
      <c r="M1173" s="79"/>
      <c r="N1173" s="79"/>
      <c r="O1173" s="79"/>
      <c r="P1173" s="79"/>
      <c r="Q1173" s="79"/>
      <c r="R1173" s="79"/>
      <c r="S1173" s="79"/>
      <c r="T1173" s="79"/>
      <c r="U1173" s="79"/>
      <c r="V1173" s="79"/>
      <c r="W1173" s="79"/>
      <c r="X1173" s="79"/>
      <c r="Y1173" s="79"/>
      <c r="Z1173" s="79"/>
      <c r="AA1173" s="79"/>
      <c r="AB1173" s="79"/>
    </row>
    <row r="1174" spans="1:28" ht="15" x14ac:dyDescent="0.2">
      <c r="A1174" s="100"/>
      <c r="B1174" s="101"/>
      <c r="C1174" s="101"/>
      <c r="D1174" s="101"/>
      <c r="E1174" s="101"/>
      <c r="F1174" s="101"/>
      <c r="G1174" s="101"/>
      <c r="H1174" s="101"/>
      <c r="I1174" s="101"/>
      <c r="J1174" s="79"/>
      <c r="K1174" s="79"/>
      <c r="L1174" s="79"/>
      <c r="M1174" s="79"/>
      <c r="N1174" s="79"/>
      <c r="O1174" s="79"/>
      <c r="P1174" s="79"/>
      <c r="Q1174" s="79"/>
      <c r="R1174" s="79"/>
      <c r="S1174" s="79"/>
      <c r="T1174" s="79"/>
      <c r="U1174" s="79"/>
      <c r="V1174" s="79"/>
      <c r="W1174" s="79"/>
      <c r="X1174" s="79"/>
      <c r="Y1174" s="79"/>
      <c r="Z1174" s="79"/>
      <c r="AA1174" s="79"/>
      <c r="AB1174" s="79"/>
    </row>
    <row r="1175" spans="1:28" ht="15" x14ac:dyDescent="0.2">
      <c r="A1175" s="100"/>
      <c r="B1175" s="101"/>
      <c r="C1175" s="101"/>
      <c r="D1175" s="101"/>
      <c r="E1175" s="101"/>
      <c r="F1175" s="101"/>
      <c r="G1175" s="101"/>
      <c r="H1175" s="101"/>
      <c r="I1175" s="101"/>
      <c r="J1175" s="79"/>
      <c r="K1175" s="79"/>
      <c r="L1175" s="79"/>
      <c r="M1175" s="79"/>
      <c r="N1175" s="79"/>
      <c r="O1175" s="79"/>
      <c r="P1175" s="79"/>
      <c r="Q1175" s="79"/>
      <c r="R1175" s="79"/>
      <c r="S1175" s="79"/>
      <c r="T1175" s="79"/>
      <c r="U1175" s="79"/>
      <c r="V1175" s="79"/>
      <c r="W1175" s="79"/>
      <c r="X1175" s="79"/>
      <c r="Y1175" s="79"/>
      <c r="Z1175" s="79"/>
      <c r="AA1175" s="79"/>
      <c r="AB1175" s="79"/>
    </row>
    <row r="1176" spans="1:28" ht="15" x14ac:dyDescent="0.2">
      <c r="A1176" s="100"/>
      <c r="B1176" s="101"/>
      <c r="C1176" s="101"/>
      <c r="D1176" s="101"/>
      <c r="E1176" s="101"/>
      <c r="F1176" s="101"/>
      <c r="G1176" s="101"/>
      <c r="H1176" s="101"/>
      <c r="I1176" s="101"/>
      <c r="J1176" s="79"/>
      <c r="K1176" s="79"/>
      <c r="L1176" s="79"/>
      <c r="M1176" s="79"/>
      <c r="N1176" s="79"/>
      <c r="O1176" s="79"/>
      <c r="P1176" s="79"/>
      <c r="Q1176" s="79"/>
      <c r="R1176" s="79"/>
      <c r="S1176" s="79"/>
      <c r="T1176" s="79"/>
      <c r="U1176" s="79"/>
      <c r="V1176" s="79"/>
      <c r="W1176" s="79"/>
      <c r="X1176" s="79"/>
      <c r="Y1176" s="79"/>
      <c r="Z1176" s="79"/>
      <c r="AA1176" s="79"/>
      <c r="AB1176" s="79"/>
    </row>
    <row r="1177" spans="1:28" ht="15" x14ac:dyDescent="0.2">
      <c r="A1177" s="100"/>
      <c r="B1177" s="101"/>
      <c r="C1177" s="101"/>
      <c r="D1177" s="101"/>
      <c r="E1177" s="101"/>
      <c r="F1177" s="101"/>
      <c r="G1177" s="101"/>
      <c r="H1177" s="101"/>
      <c r="I1177" s="101"/>
      <c r="J1177" s="79"/>
      <c r="K1177" s="79"/>
      <c r="L1177" s="79"/>
      <c r="M1177" s="79"/>
      <c r="N1177" s="79"/>
      <c r="O1177" s="79"/>
      <c r="P1177" s="79"/>
      <c r="Q1177" s="79"/>
      <c r="R1177" s="79"/>
      <c r="S1177" s="79"/>
      <c r="T1177" s="79"/>
      <c r="U1177" s="79"/>
      <c r="V1177" s="79"/>
      <c r="W1177" s="79"/>
      <c r="X1177" s="79"/>
      <c r="Y1177" s="79"/>
      <c r="Z1177" s="79"/>
      <c r="AA1177" s="79"/>
      <c r="AB1177" s="79"/>
    </row>
    <row r="1178" spans="1:28" ht="15" x14ac:dyDescent="0.2">
      <c r="A1178" s="100"/>
      <c r="B1178" s="101"/>
      <c r="C1178" s="101"/>
      <c r="D1178" s="101"/>
      <c r="E1178" s="101"/>
      <c r="F1178" s="101"/>
      <c r="G1178" s="101"/>
      <c r="H1178" s="101"/>
      <c r="I1178" s="101"/>
      <c r="J1178" s="79"/>
      <c r="K1178" s="79"/>
      <c r="L1178" s="79"/>
      <c r="M1178" s="79"/>
      <c r="N1178" s="79"/>
      <c r="O1178" s="79"/>
      <c r="P1178" s="79"/>
      <c r="Q1178" s="79"/>
      <c r="R1178" s="79"/>
      <c r="S1178" s="79"/>
      <c r="T1178" s="79"/>
      <c r="U1178" s="79"/>
      <c r="V1178" s="79"/>
      <c r="W1178" s="79"/>
      <c r="X1178" s="79"/>
      <c r="Y1178" s="79"/>
      <c r="Z1178" s="79"/>
      <c r="AA1178" s="79"/>
      <c r="AB1178" s="79"/>
    </row>
    <row r="1179" spans="1:28" ht="15" x14ac:dyDescent="0.2">
      <c r="A1179" s="100"/>
      <c r="B1179" s="101"/>
      <c r="C1179" s="101"/>
      <c r="D1179" s="101"/>
      <c r="E1179" s="101"/>
      <c r="F1179" s="101"/>
      <c r="G1179" s="101"/>
      <c r="H1179" s="101"/>
      <c r="I1179" s="101"/>
      <c r="J1179" s="79"/>
      <c r="K1179" s="79"/>
      <c r="L1179" s="79"/>
      <c r="M1179" s="79"/>
      <c r="N1179" s="79"/>
      <c r="O1179" s="79"/>
      <c r="P1179" s="79"/>
      <c r="Q1179" s="79"/>
      <c r="R1179" s="79"/>
      <c r="S1179" s="79"/>
      <c r="T1179" s="79"/>
      <c r="U1179" s="79"/>
      <c r="V1179" s="79"/>
      <c r="W1179" s="79"/>
      <c r="X1179" s="79"/>
      <c r="Y1179" s="79"/>
      <c r="Z1179" s="79"/>
      <c r="AA1179" s="79"/>
      <c r="AB1179" s="79"/>
    </row>
    <row r="1180" spans="1:28" ht="15" x14ac:dyDescent="0.2">
      <c r="A1180" s="100"/>
      <c r="B1180" s="101"/>
      <c r="C1180" s="101"/>
      <c r="D1180" s="101"/>
      <c r="E1180" s="101"/>
      <c r="F1180" s="101"/>
      <c r="G1180" s="101"/>
      <c r="H1180" s="101"/>
      <c r="I1180" s="101"/>
      <c r="J1180" s="79"/>
      <c r="K1180" s="79"/>
      <c r="L1180" s="79"/>
      <c r="M1180" s="79"/>
      <c r="N1180" s="79"/>
      <c r="O1180" s="79"/>
      <c r="P1180" s="79"/>
      <c r="Q1180" s="79"/>
      <c r="R1180" s="79"/>
      <c r="S1180" s="79"/>
      <c r="T1180" s="79"/>
      <c r="U1180" s="79"/>
      <c r="V1180" s="79"/>
      <c r="W1180" s="79"/>
      <c r="X1180" s="79"/>
      <c r="Y1180" s="79"/>
      <c r="Z1180" s="79"/>
      <c r="AA1180" s="79"/>
      <c r="AB1180" s="79"/>
    </row>
    <row r="1181" spans="1:28" ht="15" x14ac:dyDescent="0.2">
      <c r="A1181" s="100"/>
      <c r="B1181" s="101"/>
      <c r="C1181" s="101"/>
      <c r="D1181" s="101"/>
      <c r="E1181" s="101"/>
      <c r="F1181" s="101"/>
      <c r="G1181" s="101"/>
      <c r="H1181" s="101"/>
      <c r="I1181" s="101"/>
      <c r="J1181" s="79"/>
      <c r="K1181" s="79"/>
      <c r="L1181" s="79"/>
      <c r="M1181" s="79"/>
      <c r="N1181" s="79"/>
      <c r="O1181" s="79"/>
      <c r="P1181" s="79"/>
      <c r="Q1181" s="79"/>
      <c r="R1181" s="79"/>
      <c r="S1181" s="79"/>
      <c r="T1181" s="79"/>
      <c r="U1181" s="79"/>
      <c r="V1181" s="79"/>
      <c r="W1181" s="79"/>
      <c r="X1181" s="79"/>
      <c r="Y1181" s="79"/>
      <c r="Z1181" s="79"/>
      <c r="AA1181" s="79"/>
      <c r="AB1181" s="79"/>
    </row>
    <row r="1182" spans="1:28" ht="15" x14ac:dyDescent="0.2">
      <c r="A1182" s="100"/>
      <c r="B1182" s="101"/>
      <c r="C1182" s="101"/>
      <c r="D1182" s="101"/>
      <c r="E1182" s="101"/>
      <c r="F1182" s="101"/>
      <c r="G1182" s="101"/>
      <c r="H1182" s="101"/>
      <c r="I1182" s="101"/>
      <c r="J1182" s="79"/>
      <c r="K1182" s="79"/>
      <c r="L1182" s="79"/>
      <c r="M1182" s="79"/>
      <c r="N1182" s="79"/>
      <c r="O1182" s="79"/>
      <c r="P1182" s="79"/>
      <c r="Q1182" s="79"/>
      <c r="R1182" s="79"/>
      <c r="S1182" s="79"/>
      <c r="T1182" s="79"/>
      <c r="U1182" s="79"/>
      <c r="V1182" s="79"/>
      <c r="W1182" s="79"/>
      <c r="X1182" s="79"/>
      <c r="Y1182" s="79"/>
      <c r="Z1182" s="79"/>
      <c r="AA1182" s="79"/>
      <c r="AB1182" s="79"/>
    </row>
    <row r="1183" spans="1:28" ht="15" x14ac:dyDescent="0.2">
      <c r="A1183" s="100"/>
      <c r="B1183" s="101"/>
      <c r="C1183" s="101"/>
      <c r="D1183" s="101"/>
      <c r="E1183" s="101"/>
      <c r="F1183" s="101"/>
      <c r="G1183" s="101"/>
      <c r="H1183" s="101"/>
      <c r="I1183" s="101"/>
      <c r="J1183" s="79"/>
      <c r="K1183" s="79"/>
      <c r="L1183" s="79"/>
      <c r="M1183" s="79"/>
      <c r="N1183" s="79"/>
      <c r="O1183" s="79"/>
      <c r="P1183" s="79"/>
      <c r="Q1183" s="79"/>
      <c r="R1183" s="79"/>
      <c r="S1183" s="79"/>
      <c r="T1183" s="79"/>
      <c r="U1183" s="79"/>
      <c r="V1183" s="79"/>
      <c r="W1183" s="79"/>
      <c r="X1183" s="79"/>
      <c r="Y1183" s="79"/>
      <c r="Z1183" s="79"/>
      <c r="AA1183" s="79"/>
      <c r="AB1183" s="79"/>
    </row>
    <row r="1184" spans="1:28" ht="15" x14ac:dyDescent="0.2">
      <c r="A1184" s="100"/>
      <c r="B1184" s="101"/>
      <c r="C1184" s="101"/>
      <c r="D1184" s="101"/>
      <c r="E1184" s="101"/>
      <c r="F1184" s="101"/>
      <c r="G1184" s="101"/>
      <c r="H1184" s="101"/>
      <c r="I1184" s="101"/>
      <c r="J1184" s="79"/>
      <c r="K1184" s="79"/>
      <c r="L1184" s="79"/>
      <c r="M1184" s="79"/>
      <c r="N1184" s="79"/>
      <c r="O1184" s="79"/>
      <c r="P1184" s="79"/>
      <c r="Q1184" s="79"/>
      <c r="R1184" s="79"/>
      <c r="S1184" s="79"/>
      <c r="T1184" s="79"/>
      <c r="U1184" s="79"/>
      <c r="V1184" s="79"/>
      <c r="W1184" s="79"/>
      <c r="X1184" s="79"/>
      <c r="Y1184" s="79"/>
      <c r="Z1184" s="79"/>
      <c r="AA1184" s="79"/>
      <c r="AB1184" s="79"/>
    </row>
    <row r="1185" spans="1:28" ht="15" x14ac:dyDescent="0.2">
      <c r="A1185" s="100"/>
      <c r="B1185" s="101"/>
      <c r="C1185" s="101"/>
      <c r="D1185" s="101"/>
      <c r="E1185" s="101"/>
      <c r="F1185" s="101"/>
      <c r="G1185" s="101"/>
      <c r="H1185" s="101"/>
      <c r="I1185" s="101"/>
      <c r="J1185" s="79"/>
      <c r="K1185" s="79"/>
      <c r="L1185" s="79"/>
      <c r="M1185" s="79"/>
      <c r="N1185" s="79"/>
      <c r="O1185" s="79"/>
      <c r="P1185" s="79"/>
      <c r="Q1185" s="79"/>
      <c r="R1185" s="79"/>
      <c r="S1185" s="79"/>
      <c r="T1185" s="79"/>
      <c r="U1185" s="79"/>
      <c r="V1185" s="79"/>
      <c r="W1185" s="79"/>
      <c r="X1185" s="79"/>
      <c r="Y1185" s="79"/>
      <c r="Z1185" s="79"/>
      <c r="AA1185" s="79"/>
      <c r="AB1185" s="79"/>
    </row>
    <row r="1186" spans="1:28" ht="15" x14ac:dyDescent="0.2">
      <c r="A1186" s="100"/>
      <c r="B1186" s="101"/>
      <c r="C1186" s="101"/>
      <c r="D1186" s="101"/>
      <c r="E1186" s="101"/>
      <c r="F1186" s="101"/>
      <c r="G1186" s="101"/>
      <c r="H1186" s="101"/>
      <c r="I1186" s="101"/>
      <c r="J1186" s="79"/>
      <c r="K1186" s="79"/>
      <c r="L1186" s="79"/>
      <c r="M1186" s="79"/>
      <c r="N1186" s="79"/>
      <c r="O1186" s="79"/>
      <c r="P1186" s="79"/>
      <c r="Q1186" s="79"/>
      <c r="R1186" s="79"/>
      <c r="S1186" s="79"/>
      <c r="T1186" s="79"/>
      <c r="U1186" s="79"/>
      <c r="V1186" s="79"/>
      <c r="W1186" s="79"/>
      <c r="X1186" s="79"/>
      <c r="Y1186" s="79"/>
      <c r="Z1186" s="79"/>
      <c r="AA1186" s="79"/>
      <c r="AB1186" s="79"/>
    </row>
    <row r="1187" spans="1:28" ht="15" x14ac:dyDescent="0.2">
      <c r="A1187" s="100"/>
      <c r="B1187" s="101"/>
      <c r="C1187" s="101"/>
      <c r="D1187" s="101"/>
      <c r="E1187" s="101"/>
      <c r="F1187" s="101"/>
      <c r="G1187" s="101"/>
      <c r="H1187" s="101"/>
      <c r="I1187" s="101"/>
      <c r="J1187" s="79"/>
      <c r="K1187" s="79"/>
      <c r="L1187" s="79"/>
      <c r="M1187" s="79"/>
      <c r="N1187" s="79"/>
      <c r="O1187" s="79"/>
      <c r="P1187" s="79"/>
      <c r="Q1187" s="79"/>
      <c r="R1187" s="79"/>
      <c r="S1187" s="79"/>
      <c r="T1187" s="79"/>
      <c r="U1187" s="79"/>
      <c r="V1187" s="79"/>
      <c r="W1187" s="79"/>
      <c r="X1187" s="79"/>
      <c r="Y1187" s="79"/>
      <c r="Z1187" s="79"/>
      <c r="AA1187" s="79"/>
      <c r="AB1187" s="79"/>
    </row>
    <row r="1188" spans="1:28" ht="15" x14ac:dyDescent="0.2">
      <c r="A1188" s="100"/>
      <c r="B1188" s="101"/>
      <c r="C1188" s="101"/>
      <c r="D1188" s="101"/>
      <c r="E1188" s="101"/>
      <c r="F1188" s="101"/>
      <c r="G1188" s="101"/>
      <c r="H1188" s="101"/>
      <c r="I1188" s="101"/>
      <c r="J1188" s="79"/>
      <c r="K1188" s="79"/>
      <c r="L1188" s="79"/>
      <c r="M1188" s="79"/>
      <c r="N1188" s="79"/>
      <c r="O1188" s="79"/>
      <c r="P1188" s="79"/>
      <c r="Q1188" s="79"/>
      <c r="R1188" s="79"/>
      <c r="S1188" s="79"/>
      <c r="T1188" s="79"/>
      <c r="U1188" s="79"/>
      <c r="V1188" s="79"/>
      <c r="W1188" s="79"/>
      <c r="X1188" s="79"/>
      <c r="Y1188" s="79"/>
      <c r="Z1188" s="79"/>
      <c r="AA1188" s="79"/>
      <c r="AB1188" s="79"/>
    </row>
    <row r="1189" spans="1:28" ht="15" x14ac:dyDescent="0.2">
      <c r="A1189" s="100"/>
      <c r="B1189" s="101"/>
      <c r="C1189" s="101"/>
      <c r="D1189" s="101"/>
      <c r="E1189" s="101"/>
      <c r="F1189" s="101"/>
      <c r="G1189" s="101"/>
      <c r="H1189" s="101"/>
      <c r="I1189" s="101"/>
      <c r="J1189" s="79"/>
      <c r="K1189" s="79"/>
      <c r="L1189" s="79"/>
      <c r="M1189" s="79"/>
      <c r="N1189" s="79"/>
      <c r="O1189" s="79"/>
      <c r="P1189" s="79"/>
      <c r="Q1189" s="79"/>
      <c r="R1189" s="79"/>
      <c r="S1189" s="79"/>
      <c r="T1189" s="79"/>
      <c r="U1189" s="79"/>
      <c r="V1189" s="79"/>
      <c r="W1189" s="79"/>
      <c r="X1189" s="79"/>
      <c r="Y1189" s="79"/>
      <c r="Z1189" s="79"/>
      <c r="AA1189" s="79"/>
      <c r="AB1189" s="79"/>
    </row>
    <row r="1190" spans="1:28" ht="15" x14ac:dyDescent="0.2">
      <c r="A1190" s="100"/>
      <c r="B1190" s="101"/>
      <c r="C1190" s="101"/>
      <c r="D1190" s="101"/>
      <c r="E1190" s="101"/>
      <c r="F1190" s="101"/>
      <c r="G1190" s="101"/>
      <c r="H1190" s="101"/>
      <c r="I1190" s="101"/>
      <c r="J1190" s="79"/>
      <c r="K1190" s="79"/>
      <c r="L1190" s="79"/>
      <c r="M1190" s="79"/>
      <c r="N1190" s="79"/>
      <c r="O1190" s="79"/>
      <c r="P1190" s="79"/>
      <c r="Q1190" s="79"/>
      <c r="R1190" s="79"/>
      <c r="S1190" s="79"/>
      <c r="T1190" s="79"/>
      <c r="U1190" s="79"/>
      <c r="V1190" s="79"/>
      <c r="W1190" s="79"/>
      <c r="X1190" s="79"/>
      <c r="Y1190" s="79"/>
      <c r="Z1190" s="79"/>
      <c r="AA1190" s="79"/>
      <c r="AB1190" s="79"/>
    </row>
    <row r="1191" spans="1:28" ht="15" x14ac:dyDescent="0.2">
      <c r="A1191" s="100"/>
      <c r="B1191" s="101"/>
      <c r="C1191" s="101"/>
      <c r="D1191" s="101"/>
      <c r="E1191" s="101"/>
      <c r="F1191" s="101"/>
      <c r="G1191" s="101"/>
      <c r="H1191" s="101"/>
      <c r="I1191" s="101"/>
      <c r="J1191" s="79"/>
      <c r="K1191" s="79"/>
      <c r="L1191" s="79"/>
      <c r="M1191" s="79"/>
      <c r="N1191" s="79"/>
      <c r="O1191" s="79"/>
      <c r="P1191" s="79"/>
      <c r="Q1191" s="79"/>
      <c r="R1191" s="79"/>
      <c r="S1191" s="79"/>
      <c r="T1191" s="79"/>
      <c r="U1191" s="79"/>
      <c r="V1191" s="79"/>
      <c r="W1191" s="79"/>
      <c r="X1191" s="79"/>
      <c r="Y1191" s="79"/>
      <c r="Z1191" s="79"/>
      <c r="AA1191" s="79"/>
      <c r="AB1191" s="79"/>
    </row>
    <row r="1192" spans="1:28" ht="15" x14ac:dyDescent="0.2">
      <c r="A1192" s="100"/>
      <c r="B1192" s="101"/>
      <c r="C1192" s="101"/>
      <c r="D1192" s="101"/>
      <c r="E1192" s="101"/>
      <c r="F1192" s="101"/>
      <c r="G1192" s="101"/>
      <c r="H1192" s="101"/>
      <c r="I1192" s="101"/>
      <c r="J1192" s="79"/>
      <c r="K1192" s="79"/>
      <c r="L1192" s="79"/>
      <c r="M1192" s="79"/>
      <c r="N1192" s="79"/>
      <c r="O1192" s="79"/>
      <c r="P1192" s="79"/>
      <c r="Q1192" s="79"/>
      <c r="R1192" s="79"/>
      <c r="S1192" s="79"/>
      <c r="T1192" s="79"/>
      <c r="U1192" s="79"/>
      <c r="V1192" s="79"/>
      <c r="W1192" s="79"/>
      <c r="X1192" s="79"/>
      <c r="Y1192" s="79"/>
      <c r="Z1192" s="79"/>
      <c r="AA1192" s="79"/>
      <c r="AB1192" s="79"/>
    </row>
    <row r="1193" spans="1:28" ht="15" x14ac:dyDescent="0.2">
      <c r="A1193" s="100"/>
      <c r="B1193" s="101"/>
      <c r="C1193" s="101"/>
      <c r="D1193" s="101"/>
      <c r="E1193" s="101"/>
      <c r="F1193" s="101"/>
      <c r="G1193" s="101"/>
      <c r="H1193" s="101"/>
      <c r="I1193" s="101"/>
      <c r="J1193" s="79"/>
      <c r="K1193" s="79"/>
      <c r="L1193" s="79"/>
      <c r="M1193" s="79"/>
      <c r="N1193" s="79"/>
      <c r="O1193" s="79"/>
      <c r="P1193" s="79"/>
      <c r="Q1193" s="79"/>
      <c r="R1193" s="79"/>
      <c r="S1193" s="79"/>
      <c r="T1193" s="79"/>
      <c r="U1193" s="79"/>
      <c r="V1193" s="79"/>
      <c r="W1193" s="79"/>
      <c r="X1193" s="79"/>
      <c r="Y1193" s="79"/>
      <c r="Z1193" s="79"/>
      <c r="AA1193" s="79"/>
      <c r="AB1193" s="79"/>
    </row>
    <row r="1194" spans="1:28" ht="15" x14ac:dyDescent="0.2">
      <c r="A1194" s="100"/>
      <c r="B1194" s="101"/>
      <c r="C1194" s="101"/>
      <c r="D1194" s="101"/>
      <c r="E1194" s="101"/>
      <c r="F1194" s="101"/>
      <c r="G1194" s="101"/>
      <c r="H1194" s="101"/>
      <c r="I1194" s="101"/>
      <c r="J1194" s="79"/>
      <c r="K1194" s="79"/>
      <c r="L1194" s="79"/>
      <c r="M1194" s="79"/>
      <c r="N1194" s="79"/>
      <c r="O1194" s="79"/>
      <c r="P1194" s="79"/>
      <c r="Q1194" s="79"/>
      <c r="R1194" s="79"/>
      <c r="S1194" s="79"/>
      <c r="T1194" s="79"/>
      <c r="U1194" s="79"/>
      <c r="V1194" s="79"/>
      <c r="W1194" s="79"/>
      <c r="X1194" s="79"/>
      <c r="Y1194" s="79"/>
      <c r="Z1194" s="79"/>
      <c r="AA1194" s="79"/>
      <c r="AB1194" s="79"/>
    </row>
    <row r="1195" spans="1:28" ht="15" x14ac:dyDescent="0.2">
      <c r="A1195" s="100"/>
      <c r="B1195" s="101"/>
      <c r="C1195" s="101"/>
      <c r="D1195" s="101"/>
      <c r="E1195" s="101"/>
      <c r="F1195" s="101"/>
      <c r="G1195" s="101"/>
      <c r="H1195" s="101"/>
      <c r="I1195" s="101"/>
      <c r="J1195" s="79"/>
      <c r="K1195" s="79"/>
      <c r="L1195" s="79"/>
      <c r="M1195" s="79"/>
      <c r="N1195" s="79"/>
      <c r="O1195" s="79"/>
      <c r="P1195" s="79"/>
      <c r="Q1195" s="79"/>
      <c r="R1195" s="79"/>
      <c r="S1195" s="79"/>
      <c r="T1195" s="79"/>
      <c r="U1195" s="79"/>
      <c r="V1195" s="79"/>
      <c r="W1195" s="79"/>
      <c r="X1195" s="79"/>
      <c r="Y1195" s="79"/>
      <c r="Z1195" s="79"/>
      <c r="AA1195" s="79"/>
      <c r="AB1195" s="79"/>
    </row>
    <row r="1196" spans="1:28" ht="15" x14ac:dyDescent="0.2">
      <c r="A1196" s="100"/>
      <c r="B1196" s="101"/>
      <c r="C1196" s="101"/>
      <c r="D1196" s="101"/>
      <c r="E1196" s="101"/>
      <c r="F1196" s="101"/>
      <c r="G1196" s="101"/>
      <c r="H1196" s="101"/>
      <c r="I1196" s="101"/>
      <c r="J1196" s="79"/>
      <c r="K1196" s="79"/>
      <c r="L1196" s="79"/>
      <c r="M1196" s="79"/>
      <c r="N1196" s="79"/>
      <c r="O1196" s="79"/>
      <c r="P1196" s="79"/>
      <c r="Q1196" s="79"/>
      <c r="R1196" s="79"/>
      <c r="S1196" s="79"/>
      <c r="T1196" s="79"/>
      <c r="U1196" s="79"/>
      <c r="V1196" s="79"/>
      <c r="W1196" s="79"/>
      <c r="X1196" s="79"/>
      <c r="Y1196" s="79"/>
      <c r="Z1196" s="79"/>
      <c r="AA1196" s="79"/>
      <c r="AB1196" s="79"/>
    </row>
    <row r="1197" spans="1:28" ht="15" x14ac:dyDescent="0.2">
      <c r="A1197" s="100"/>
      <c r="B1197" s="101"/>
      <c r="C1197" s="101"/>
      <c r="D1197" s="101"/>
      <c r="E1197" s="101"/>
      <c r="F1197" s="101"/>
      <c r="G1197" s="101"/>
      <c r="H1197" s="101"/>
      <c r="I1197" s="101"/>
      <c r="J1197" s="79"/>
      <c r="K1197" s="79"/>
      <c r="L1197" s="79"/>
      <c r="M1197" s="79"/>
      <c r="N1197" s="79"/>
      <c r="O1197" s="79"/>
      <c r="P1197" s="79"/>
      <c r="Q1197" s="79"/>
      <c r="R1197" s="79"/>
      <c r="S1197" s="79"/>
      <c r="T1197" s="79"/>
      <c r="U1197" s="79"/>
      <c r="V1197" s="79"/>
      <c r="W1197" s="79"/>
      <c r="X1197" s="79"/>
      <c r="Y1197" s="79"/>
      <c r="Z1197" s="79"/>
      <c r="AA1197" s="79"/>
      <c r="AB1197" s="79"/>
    </row>
    <row r="1198" spans="1:28" ht="15" x14ac:dyDescent="0.2">
      <c r="A1198" s="100"/>
      <c r="B1198" s="101"/>
      <c r="C1198" s="101"/>
      <c r="D1198" s="101"/>
      <c r="E1198" s="101"/>
      <c r="F1198" s="101"/>
      <c r="G1198" s="101"/>
      <c r="H1198" s="101"/>
      <c r="I1198" s="101"/>
      <c r="J1198" s="79"/>
      <c r="K1198" s="79"/>
      <c r="L1198" s="79"/>
      <c r="M1198" s="79"/>
      <c r="N1198" s="79"/>
      <c r="O1198" s="79"/>
      <c r="P1198" s="79"/>
      <c r="Q1198" s="79"/>
      <c r="R1198" s="79"/>
      <c r="S1198" s="79"/>
      <c r="T1198" s="79"/>
      <c r="U1198" s="79"/>
      <c r="V1198" s="79"/>
      <c r="W1198" s="79"/>
      <c r="X1198" s="79"/>
      <c r="Y1198" s="79"/>
      <c r="Z1198" s="79"/>
      <c r="AA1198" s="79"/>
      <c r="AB1198" s="79"/>
    </row>
    <row r="1199" spans="1:28" ht="15" x14ac:dyDescent="0.2">
      <c r="A1199" s="100"/>
      <c r="B1199" s="101"/>
      <c r="C1199" s="101"/>
      <c r="D1199" s="101"/>
      <c r="E1199" s="101"/>
      <c r="F1199" s="101"/>
      <c r="G1199" s="101"/>
      <c r="H1199" s="101"/>
      <c r="I1199" s="101"/>
      <c r="J1199" s="79"/>
      <c r="K1199" s="79"/>
      <c r="L1199" s="79"/>
      <c r="M1199" s="79"/>
      <c r="N1199" s="79"/>
      <c r="O1199" s="79"/>
      <c r="P1199" s="79"/>
      <c r="Q1199" s="79"/>
      <c r="R1199" s="79"/>
      <c r="S1199" s="79"/>
      <c r="T1199" s="79"/>
      <c r="U1199" s="79"/>
      <c r="V1199" s="79"/>
      <c r="W1199" s="79"/>
      <c r="X1199" s="79"/>
      <c r="Y1199" s="79"/>
      <c r="Z1199" s="79"/>
      <c r="AA1199" s="79"/>
      <c r="AB1199" s="79"/>
    </row>
    <row r="1200" spans="1:28" ht="15" x14ac:dyDescent="0.2">
      <c r="A1200" s="100"/>
      <c r="B1200" s="101"/>
      <c r="C1200" s="101"/>
      <c r="D1200" s="101"/>
      <c r="E1200" s="101"/>
      <c r="F1200" s="101"/>
      <c r="G1200" s="101"/>
      <c r="H1200" s="101"/>
      <c r="I1200" s="101"/>
      <c r="J1200" s="79"/>
      <c r="K1200" s="79"/>
      <c r="L1200" s="79"/>
      <c r="M1200" s="79"/>
      <c r="N1200" s="79"/>
      <c r="O1200" s="79"/>
      <c r="P1200" s="79"/>
      <c r="Q1200" s="79"/>
      <c r="R1200" s="79"/>
      <c r="S1200" s="79"/>
      <c r="T1200" s="79"/>
      <c r="U1200" s="79"/>
      <c r="V1200" s="79"/>
      <c r="W1200" s="79"/>
      <c r="X1200" s="79"/>
      <c r="Y1200" s="79"/>
      <c r="Z1200" s="79"/>
      <c r="AA1200" s="79"/>
      <c r="AB1200" s="79"/>
    </row>
    <row r="1201" spans="1:28" ht="15" x14ac:dyDescent="0.2">
      <c r="A1201" s="100"/>
      <c r="B1201" s="101"/>
      <c r="C1201" s="101"/>
      <c r="D1201" s="101"/>
      <c r="E1201" s="101"/>
      <c r="F1201" s="101"/>
      <c r="G1201" s="101"/>
      <c r="H1201" s="101"/>
      <c r="I1201" s="101"/>
      <c r="J1201" s="79"/>
      <c r="K1201" s="79"/>
      <c r="L1201" s="79"/>
      <c r="M1201" s="79"/>
      <c r="N1201" s="79"/>
      <c r="O1201" s="79"/>
      <c r="P1201" s="79"/>
      <c r="Q1201" s="79"/>
      <c r="R1201" s="79"/>
      <c r="S1201" s="79"/>
      <c r="T1201" s="79"/>
      <c r="U1201" s="79"/>
      <c r="V1201" s="79"/>
      <c r="W1201" s="79"/>
      <c r="X1201" s="79"/>
      <c r="Y1201" s="79"/>
      <c r="Z1201" s="79"/>
      <c r="AA1201" s="79"/>
      <c r="AB1201" s="79"/>
    </row>
    <row r="1202" spans="1:28" ht="15" x14ac:dyDescent="0.2">
      <c r="A1202" s="100"/>
      <c r="B1202" s="101"/>
      <c r="C1202" s="101"/>
      <c r="D1202" s="101"/>
      <c r="E1202" s="101"/>
      <c r="F1202" s="101"/>
      <c r="G1202" s="101"/>
      <c r="H1202" s="101"/>
      <c r="I1202" s="101"/>
      <c r="J1202" s="79"/>
      <c r="K1202" s="79"/>
      <c r="L1202" s="79"/>
      <c r="M1202" s="79"/>
      <c r="N1202" s="79"/>
      <c r="O1202" s="79"/>
      <c r="P1202" s="79"/>
      <c r="Q1202" s="79"/>
      <c r="R1202" s="79"/>
      <c r="S1202" s="79"/>
      <c r="T1202" s="79"/>
      <c r="U1202" s="79"/>
      <c r="V1202" s="79"/>
      <c r="W1202" s="79"/>
      <c r="X1202" s="79"/>
      <c r="Y1202" s="79"/>
      <c r="Z1202" s="79"/>
      <c r="AA1202" s="79"/>
      <c r="AB1202" s="79"/>
    </row>
    <row r="1203" spans="1:28" ht="15" x14ac:dyDescent="0.2">
      <c r="A1203" s="100"/>
      <c r="B1203" s="101"/>
      <c r="C1203" s="101"/>
      <c r="D1203" s="101"/>
      <c r="E1203" s="101"/>
      <c r="F1203" s="101"/>
      <c r="G1203" s="101"/>
      <c r="H1203" s="101"/>
      <c r="I1203" s="101"/>
      <c r="J1203" s="79"/>
      <c r="K1203" s="79"/>
      <c r="L1203" s="79"/>
      <c r="M1203" s="79"/>
      <c r="N1203" s="79"/>
      <c r="O1203" s="79"/>
      <c r="P1203" s="79"/>
      <c r="Q1203" s="79"/>
      <c r="R1203" s="79"/>
      <c r="S1203" s="79"/>
      <c r="T1203" s="79"/>
      <c r="U1203" s="79"/>
      <c r="V1203" s="79"/>
      <c r="W1203" s="79"/>
      <c r="X1203" s="79"/>
      <c r="Y1203" s="79"/>
      <c r="Z1203" s="79"/>
      <c r="AA1203" s="79"/>
      <c r="AB1203" s="79"/>
    </row>
    <row r="1204" spans="1:28" ht="15" x14ac:dyDescent="0.2">
      <c r="A1204" s="100"/>
      <c r="B1204" s="101"/>
      <c r="C1204" s="101"/>
      <c r="D1204" s="101"/>
      <c r="E1204" s="101"/>
      <c r="F1204" s="101"/>
      <c r="G1204" s="101"/>
      <c r="H1204" s="101"/>
      <c r="I1204" s="101"/>
      <c r="J1204" s="79"/>
      <c r="K1204" s="79"/>
      <c r="L1204" s="79"/>
      <c r="M1204" s="79"/>
      <c r="N1204" s="79"/>
      <c r="O1204" s="79"/>
      <c r="P1204" s="79"/>
      <c r="Q1204" s="79"/>
      <c r="R1204" s="79"/>
      <c r="S1204" s="79"/>
      <c r="T1204" s="79"/>
      <c r="U1204" s="79"/>
      <c r="V1204" s="79"/>
      <c r="W1204" s="79"/>
      <c r="X1204" s="79"/>
      <c r="Y1204" s="79"/>
      <c r="Z1204" s="79"/>
      <c r="AA1204" s="79"/>
      <c r="AB1204" s="79"/>
    </row>
    <row r="1205" spans="1:28" ht="15" x14ac:dyDescent="0.2">
      <c r="A1205" s="100"/>
      <c r="B1205" s="101"/>
      <c r="C1205" s="101"/>
      <c r="D1205" s="101"/>
      <c r="E1205" s="101"/>
      <c r="F1205" s="101"/>
      <c r="G1205" s="101"/>
      <c r="H1205" s="101"/>
      <c r="I1205" s="101"/>
      <c r="J1205" s="79"/>
      <c r="K1205" s="79"/>
      <c r="L1205" s="79"/>
      <c r="M1205" s="79"/>
      <c r="N1205" s="79"/>
      <c r="O1205" s="79"/>
      <c r="P1205" s="79"/>
      <c r="Q1205" s="79"/>
      <c r="R1205" s="79"/>
      <c r="S1205" s="79"/>
      <c r="T1205" s="79"/>
      <c r="U1205" s="79"/>
      <c r="V1205" s="79"/>
      <c r="W1205" s="79"/>
      <c r="X1205" s="79"/>
      <c r="Y1205" s="79"/>
      <c r="Z1205" s="79"/>
      <c r="AA1205" s="79"/>
      <c r="AB1205" s="79"/>
    </row>
    <row r="1206" spans="1:28" ht="15" x14ac:dyDescent="0.2">
      <c r="A1206" s="100"/>
      <c r="B1206" s="101"/>
      <c r="C1206" s="101"/>
      <c r="D1206" s="101"/>
      <c r="E1206" s="101"/>
      <c r="F1206" s="101"/>
      <c r="G1206" s="101"/>
      <c r="H1206" s="101"/>
      <c r="I1206" s="101"/>
      <c r="J1206" s="79"/>
      <c r="K1206" s="79"/>
      <c r="L1206" s="79"/>
      <c r="M1206" s="79"/>
      <c r="N1206" s="79"/>
      <c r="O1206" s="79"/>
      <c r="P1206" s="79"/>
      <c r="Q1206" s="79"/>
      <c r="R1206" s="79"/>
      <c r="S1206" s="79"/>
      <c r="T1206" s="79"/>
      <c r="U1206" s="79"/>
      <c r="V1206" s="79"/>
      <c r="W1206" s="79"/>
      <c r="X1206" s="79"/>
      <c r="Y1206" s="79"/>
      <c r="Z1206" s="79"/>
      <c r="AA1206" s="79"/>
      <c r="AB1206" s="79"/>
    </row>
    <row r="1207" spans="1:28" ht="15" x14ac:dyDescent="0.2">
      <c r="A1207" s="100"/>
      <c r="B1207" s="101"/>
      <c r="C1207" s="101"/>
      <c r="D1207" s="101"/>
      <c r="E1207" s="101"/>
      <c r="F1207" s="101"/>
      <c r="G1207" s="101"/>
      <c r="H1207" s="101"/>
      <c r="I1207" s="101"/>
      <c r="J1207" s="79"/>
      <c r="K1207" s="79"/>
      <c r="L1207" s="79"/>
      <c r="M1207" s="79"/>
      <c r="N1207" s="79"/>
      <c r="O1207" s="79"/>
      <c r="P1207" s="79"/>
      <c r="Q1207" s="79"/>
      <c r="R1207" s="79"/>
      <c r="S1207" s="79"/>
      <c r="T1207" s="79"/>
      <c r="U1207" s="79"/>
      <c r="V1207" s="79"/>
      <c r="W1207" s="79"/>
      <c r="X1207" s="79"/>
      <c r="Y1207" s="79"/>
      <c r="Z1207" s="79"/>
      <c r="AA1207" s="79"/>
      <c r="AB1207" s="79"/>
    </row>
    <row r="1208" spans="1:28" ht="15" x14ac:dyDescent="0.2">
      <c r="A1208" s="100"/>
      <c r="B1208" s="101"/>
      <c r="C1208" s="101"/>
      <c r="D1208" s="101"/>
      <c r="E1208" s="101"/>
      <c r="F1208" s="101"/>
      <c r="G1208" s="101"/>
      <c r="H1208" s="101"/>
      <c r="I1208" s="101"/>
      <c r="J1208" s="79"/>
      <c r="K1208" s="79"/>
      <c r="L1208" s="79"/>
      <c r="M1208" s="79"/>
      <c r="N1208" s="79"/>
      <c r="O1208" s="79"/>
      <c r="P1208" s="79"/>
      <c r="Q1208" s="79"/>
      <c r="R1208" s="79"/>
      <c r="S1208" s="79"/>
      <c r="T1208" s="79"/>
      <c r="U1208" s="79"/>
      <c r="V1208" s="79"/>
      <c r="W1208" s="79"/>
      <c r="X1208" s="79"/>
      <c r="Y1208" s="79"/>
      <c r="Z1208" s="79"/>
      <c r="AA1208" s="79"/>
      <c r="AB1208" s="79"/>
    </row>
    <row r="1209" spans="1:28" ht="15" x14ac:dyDescent="0.2">
      <c r="A1209" s="100"/>
      <c r="B1209" s="101"/>
      <c r="C1209" s="101"/>
      <c r="D1209" s="101"/>
      <c r="E1209" s="101"/>
      <c r="F1209" s="101"/>
      <c r="G1209" s="101"/>
      <c r="H1209" s="101"/>
      <c r="I1209" s="101"/>
      <c r="J1209" s="79"/>
      <c r="K1209" s="79"/>
      <c r="L1209" s="79"/>
      <c r="M1209" s="79"/>
      <c r="N1209" s="79"/>
      <c r="O1209" s="79"/>
      <c r="P1209" s="79"/>
      <c r="Q1209" s="79"/>
      <c r="R1209" s="79"/>
      <c r="S1209" s="79"/>
      <c r="T1209" s="79"/>
      <c r="U1209" s="79"/>
      <c r="V1209" s="79"/>
      <c r="W1209" s="79"/>
      <c r="X1209" s="79"/>
      <c r="Y1209" s="79"/>
      <c r="Z1209" s="79"/>
      <c r="AA1209" s="79"/>
      <c r="AB1209" s="79"/>
    </row>
    <row r="1210" spans="1:28" ht="15" x14ac:dyDescent="0.2">
      <c r="A1210" s="100"/>
      <c r="B1210" s="101"/>
      <c r="C1210" s="101"/>
      <c r="D1210" s="101"/>
      <c r="E1210" s="101"/>
      <c r="F1210" s="101"/>
      <c r="G1210" s="101"/>
      <c r="H1210" s="101"/>
      <c r="I1210" s="101"/>
      <c r="J1210" s="79"/>
      <c r="K1210" s="79"/>
      <c r="L1210" s="79"/>
      <c r="M1210" s="79"/>
      <c r="N1210" s="79"/>
      <c r="O1210" s="79"/>
      <c r="P1210" s="79"/>
      <c r="Q1210" s="79"/>
      <c r="R1210" s="79"/>
      <c r="S1210" s="79"/>
      <c r="T1210" s="79"/>
      <c r="U1210" s="79"/>
      <c r="V1210" s="79"/>
      <c r="W1210" s="79"/>
      <c r="X1210" s="79"/>
      <c r="Y1210" s="79"/>
      <c r="Z1210" s="79"/>
      <c r="AA1210" s="79"/>
      <c r="AB1210" s="79"/>
    </row>
    <row r="1211" spans="1:28" ht="15" x14ac:dyDescent="0.2">
      <c r="A1211" s="100"/>
      <c r="B1211" s="101"/>
      <c r="C1211" s="101"/>
      <c r="D1211" s="101"/>
      <c r="E1211" s="101"/>
      <c r="F1211" s="101"/>
      <c r="G1211" s="101"/>
      <c r="H1211" s="101"/>
      <c r="I1211" s="101"/>
      <c r="J1211" s="79"/>
      <c r="K1211" s="79"/>
      <c r="L1211" s="79"/>
      <c r="M1211" s="79"/>
      <c r="N1211" s="79"/>
      <c r="O1211" s="79"/>
      <c r="P1211" s="79"/>
      <c r="Q1211" s="79"/>
      <c r="R1211" s="79"/>
      <c r="S1211" s="79"/>
      <c r="T1211" s="79"/>
      <c r="U1211" s="79"/>
      <c r="V1211" s="79"/>
      <c r="W1211" s="79"/>
      <c r="X1211" s="79"/>
      <c r="Y1211" s="79"/>
      <c r="Z1211" s="79"/>
      <c r="AA1211" s="79"/>
      <c r="AB1211" s="79"/>
    </row>
    <row r="1212" spans="1:28" ht="15" x14ac:dyDescent="0.2">
      <c r="A1212" s="100"/>
      <c r="B1212" s="101"/>
      <c r="C1212" s="101"/>
      <c r="D1212" s="101"/>
      <c r="E1212" s="101"/>
      <c r="F1212" s="101"/>
      <c r="G1212" s="101"/>
      <c r="H1212" s="101"/>
      <c r="I1212" s="101"/>
      <c r="J1212" s="79"/>
      <c r="K1212" s="79"/>
      <c r="L1212" s="79"/>
      <c r="M1212" s="79"/>
      <c r="N1212" s="79"/>
      <c r="O1212" s="79"/>
      <c r="P1212" s="79"/>
      <c r="Q1212" s="79"/>
      <c r="R1212" s="79"/>
      <c r="S1212" s="79"/>
      <c r="T1212" s="79"/>
      <c r="U1212" s="79"/>
      <c r="V1212" s="79"/>
      <c r="W1212" s="79"/>
      <c r="X1212" s="79"/>
      <c r="Y1212" s="79"/>
      <c r="Z1212" s="79"/>
      <c r="AA1212" s="79"/>
      <c r="AB1212" s="79"/>
    </row>
    <row r="1213" spans="1:28" ht="15" x14ac:dyDescent="0.2">
      <c r="A1213" s="100"/>
      <c r="B1213" s="101"/>
      <c r="C1213" s="101"/>
      <c r="D1213" s="101"/>
      <c r="E1213" s="101"/>
      <c r="F1213" s="101"/>
      <c r="G1213" s="101"/>
      <c r="H1213" s="101"/>
      <c r="I1213" s="101"/>
      <c r="J1213" s="79"/>
      <c r="K1213" s="79"/>
      <c r="L1213" s="79"/>
      <c r="M1213" s="79"/>
      <c r="N1213" s="79"/>
      <c r="O1213" s="79"/>
      <c r="P1213" s="79"/>
      <c r="Q1213" s="79"/>
      <c r="R1213" s="79"/>
      <c r="S1213" s="79"/>
      <c r="T1213" s="79"/>
      <c r="U1213" s="79"/>
      <c r="V1213" s="79"/>
      <c r="W1213" s="79"/>
      <c r="X1213" s="79"/>
      <c r="Y1213" s="79"/>
      <c r="Z1213" s="79"/>
      <c r="AA1213" s="79"/>
      <c r="AB1213" s="79"/>
    </row>
    <row r="1214" spans="1:28" ht="15" x14ac:dyDescent="0.2">
      <c r="A1214" s="100"/>
      <c r="B1214" s="101"/>
      <c r="C1214" s="101"/>
      <c r="D1214" s="101"/>
      <c r="E1214" s="101"/>
      <c r="F1214" s="101"/>
      <c r="G1214" s="101"/>
      <c r="H1214" s="101"/>
      <c r="I1214" s="101"/>
      <c r="J1214" s="79"/>
      <c r="K1214" s="79"/>
      <c r="L1214" s="79"/>
      <c r="M1214" s="79"/>
      <c r="N1214" s="79"/>
      <c r="O1214" s="79"/>
      <c r="P1214" s="79"/>
      <c r="Q1214" s="79"/>
      <c r="R1214" s="79"/>
      <c r="S1214" s="79"/>
      <c r="T1214" s="79"/>
      <c r="U1214" s="79"/>
      <c r="V1214" s="79"/>
      <c r="W1214" s="79"/>
      <c r="X1214" s="79"/>
      <c r="Y1214" s="79"/>
      <c r="Z1214" s="79"/>
      <c r="AA1214" s="79"/>
      <c r="AB1214" s="79"/>
    </row>
    <row r="1215" spans="1:28" ht="15" x14ac:dyDescent="0.2">
      <c r="A1215" s="100"/>
      <c r="B1215" s="101"/>
      <c r="C1215" s="101"/>
      <c r="D1215" s="101"/>
      <c r="E1215" s="101"/>
      <c r="F1215" s="101"/>
      <c r="G1215" s="101"/>
      <c r="H1215" s="101"/>
      <c r="I1215" s="101"/>
      <c r="J1215" s="79"/>
      <c r="K1215" s="79"/>
      <c r="L1215" s="79"/>
      <c r="M1215" s="79"/>
      <c r="N1215" s="79"/>
      <c r="O1215" s="79"/>
      <c r="P1215" s="79"/>
      <c r="Q1215" s="79"/>
      <c r="R1215" s="79"/>
      <c r="S1215" s="79"/>
      <c r="T1215" s="79"/>
      <c r="U1215" s="79"/>
      <c r="V1215" s="79"/>
      <c r="W1215" s="79"/>
      <c r="X1215" s="79"/>
      <c r="Y1215" s="79"/>
      <c r="Z1215" s="79"/>
      <c r="AA1215" s="79"/>
      <c r="AB1215" s="79"/>
    </row>
    <row r="1216" spans="1:28" ht="15" x14ac:dyDescent="0.2">
      <c r="A1216" s="100"/>
      <c r="B1216" s="101"/>
      <c r="C1216" s="101"/>
      <c r="D1216" s="101"/>
      <c r="E1216" s="101"/>
      <c r="F1216" s="101"/>
      <c r="G1216" s="101"/>
      <c r="H1216" s="101"/>
      <c r="I1216" s="101"/>
      <c r="J1216" s="79"/>
      <c r="K1216" s="79"/>
      <c r="L1216" s="79"/>
      <c r="M1216" s="79"/>
      <c r="N1216" s="79"/>
      <c r="O1216" s="79"/>
      <c r="P1216" s="79"/>
      <c r="Q1216" s="79"/>
      <c r="R1216" s="79"/>
      <c r="S1216" s="79"/>
      <c r="T1216" s="79"/>
      <c r="U1216" s="79"/>
      <c r="V1216" s="79"/>
      <c r="W1216" s="79"/>
      <c r="X1216" s="79"/>
      <c r="Y1216" s="79"/>
      <c r="Z1216" s="79"/>
      <c r="AA1216" s="79"/>
      <c r="AB1216" s="79"/>
    </row>
    <row r="1217" spans="1:28" ht="15" x14ac:dyDescent="0.2">
      <c r="A1217" s="100"/>
      <c r="B1217" s="101"/>
      <c r="C1217" s="101"/>
      <c r="D1217" s="101"/>
      <c r="E1217" s="101"/>
      <c r="F1217" s="101"/>
      <c r="G1217" s="101"/>
      <c r="H1217" s="101"/>
      <c r="I1217" s="101"/>
      <c r="J1217" s="79"/>
      <c r="K1217" s="79"/>
      <c r="L1217" s="79"/>
      <c r="M1217" s="79"/>
      <c r="N1217" s="79"/>
      <c r="O1217" s="79"/>
      <c r="P1217" s="79"/>
      <c r="Q1217" s="79"/>
      <c r="R1217" s="79"/>
      <c r="S1217" s="79"/>
      <c r="T1217" s="79"/>
      <c r="U1217" s="79"/>
      <c r="V1217" s="79"/>
      <c r="W1217" s="79"/>
      <c r="X1217" s="79"/>
      <c r="Y1217" s="79"/>
      <c r="Z1217" s="79"/>
      <c r="AA1217" s="79"/>
      <c r="AB1217" s="79"/>
    </row>
    <row r="1218" spans="1:28" ht="15" x14ac:dyDescent="0.2">
      <c r="A1218" s="100"/>
      <c r="B1218" s="101"/>
      <c r="C1218" s="101"/>
      <c r="D1218" s="101"/>
      <c r="E1218" s="101"/>
      <c r="F1218" s="101"/>
      <c r="G1218" s="101"/>
      <c r="H1218" s="101"/>
      <c r="I1218" s="101"/>
      <c r="J1218" s="79"/>
      <c r="K1218" s="79"/>
      <c r="L1218" s="79"/>
      <c r="M1218" s="79"/>
      <c r="N1218" s="79"/>
      <c r="O1218" s="79"/>
      <c r="P1218" s="79"/>
      <c r="Q1218" s="79"/>
      <c r="R1218" s="79"/>
      <c r="S1218" s="79"/>
      <c r="T1218" s="79"/>
      <c r="U1218" s="79"/>
      <c r="V1218" s="79"/>
      <c r="W1218" s="79"/>
      <c r="X1218" s="79"/>
      <c r="Y1218" s="79"/>
      <c r="Z1218" s="79"/>
      <c r="AA1218" s="79"/>
      <c r="AB1218" s="79"/>
    </row>
    <row r="1219" spans="1:28" ht="15" x14ac:dyDescent="0.2">
      <c r="A1219" s="100"/>
      <c r="B1219" s="101"/>
      <c r="C1219" s="101"/>
      <c r="D1219" s="101"/>
      <c r="E1219" s="101"/>
      <c r="F1219" s="101"/>
      <c r="G1219" s="101"/>
      <c r="H1219" s="101"/>
      <c r="I1219" s="101"/>
      <c r="J1219" s="79"/>
      <c r="K1219" s="79"/>
      <c r="L1219" s="79"/>
      <c r="M1219" s="79"/>
      <c r="N1219" s="79"/>
      <c r="O1219" s="79"/>
      <c r="P1219" s="79"/>
      <c r="Q1219" s="79"/>
      <c r="R1219" s="79"/>
      <c r="S1219" s="79"/>
      <c r="T1219" s="79"/>
      <c r="U1219" s="79"/>
      <c r="V1219" s="79"/>
      <c r="W1219" s="79"/>
      <c r="X1219" s="79"/>
      <c r="Y1219" s="79"/>
      <c r="Z1219" s="79"/>
      <c r="AA1219" s="79"/>
      <c r="AB1219" s="79"/>
    </row>
    <row r="1220" spans="1:28" ht="15" x14ac:dyDescent="0.2">
      <c r="A1220" s="100"/>
      <c r="B1220" s="101"/>
      <c r="C1220" s="101"/>
      <c r="D1220" s="101"/>
      <c r="E1220" s="101"/>
      <c r="F1220" s="101"/>
      <c r="G1220" s="101"/>
      <c r="H1220" s="101"/>
      <c r="I1220" s="101"/>
      <c r="J1220" s="79"/>
      <c r="K1220" s="79"/>
      <c r="L1220" s="79"/>
      <c r="M1220" s="79"/>
      <c r="N1220" s="79"/>
      <c r="O1220" s="79"/>
      <c r="P1220" s="79"/>
      <c r="Q1220" s="79"/>
      <c r="R1220" s="79"/>
      <c r="S1220" s="79"/>
      <c r="T1220" s="79"/>
      <c r="U1220" s="79"/>
      <c r="V1220" s="79"/>
      <c r="W1220" s="79"/>
      <c r="X1220" s="79"/>
      <c r="Y1220" s="79"/>
      <c r="Z1220" s="79"/>
      <c r="AA1220" s="79"/>
      <c r="AB1220" s="79"/>
    </row>
    <row r="1221" spans="1:28" ht="15" x14ac:dyDescent="0.2">
      <c r="A1221" s="100"/>
      <c r="B1221" s="101"/>
      <c r="C1221" s="101"/>
      <c r="D1221" s="101"/>
      <c r="E1221" s="101"/>
      <c r="F1221" s="101"/>
      <c r="G1221" s="101"/>
      <c r="H1221" s="101"/>
      <c r="I1221" s="101"/>
      <c r="J1221" s="79"/>
      <c r="K1221" s="79"/>
      <c r="L1221" s="79"/>
      <c r="M1221" s="79"/>
      <c r="N1221" s="79"/>
      <c r="O1221" s="79"/>
      <c r="P1221" s="79"/>
      <c r="Q1221" s="79"/>
      <c r="R1221" s="79"/>
      <c r="S1221" s="79"/>
      <c r="T1221" s="79"/>
      <c r="U1221" s="79"/>
      <c r="V1221" s="79"/>
      <c r="W1221" s="79"/>
      <c r="X1221" s="79"/>
      <c r="Y1221" s="79"/>
      <c r="Z1221" s="79"/>
      <c r="AA1221" s="79"/>
      <c r="AB1221" s="79"/>
    </row>
    <row r="1222" spans="1:28" ht="15" x14ac:dyDescent="0.2">
      <c r="A1222" s="100"/>
      <c r="B1222" s="101"/>
      <c r="C1222" s="101"/>
      <c r="D1222" s="101"/>
      <c r="E1222" s="101"/>
      <c r="F1222" s="101"/>
      <c r="G1222" s="101"/>
      <c r="H1222" s="101"/>
      <c r="I1222" s="101"/>
      <c r="J1222" s="79"/>
      <c r="K1222" s="79"/>
      <c r="L1222" s="79"/>
      <c r="M1222" s="79"/>
      <c r="N1222" s="79"/>
      <c r="O1222" s="79"/>
      <c r="P1222" s="79"/>
      <c r="Q1222" s="79"/>
      <c r="R1222" s="79"/>
      <c r="S1222" s="79"/>
      <c r="T1222" s="79"/>
      <c r="U1222" s="79"/>
      <c r="V1222" s="79"/>
      <c r="W1222" s="79"/>
      <c r="X1222" s="79"/>
      <c r="Y1222" s="79"/>
      <c r="Z1222" s="79"/>
      <c r="AA1222" s="79"/>
      <c r="AB1222" s="79"/>
    </row>
    <row r="1223" spans="1:28" ht="15" x14ac:dyDescent="0.2">
      <c r="A1223" s="100"/>
      <c r="B1223" s="101"/>
      <c r="C1223" s="101"/>
      <c r="D1223" s="101"/>
      <c r="E1223" s="101"/>
      <c r="F1223" s="101"/>
      <c r="G1223" s="101"/>
      <c r="H1223" s="101"/>
      <c r="I1223" s="101"/>
      <c r="J1223" s="79"/>
      <c r="K1223" s="79"/>
      <c r="L1223" s="79"/>
      <c r="M1223" s="79"/>
      <c r="N1223" s="79"/>
      <c r="O1223" s="79"/>
      <c r="P1223" s="79"/>
      <c r="Q1223" s="79"/>
      <c r="R1223" s="79"/>
      <c r="S1223" s="79"/>
      <c r="T1223" s="79"/>
      <c r="U1223" s="79"/>
      <c r="V1223" s="79"/>
      <c r="W1223" s="79"/>
      <c r="X1223" s="79"/>
      <c r="Y1223" s="79"/>
      <c r="Z1223" s="79"/>
      <c r="AA1223" s="79"/>
      <c r="AB1223" s="79"/>
    </row>
    <row r="1224" spans="1:28" ht="15" x14ac:dyDescent="0.2">
      <c r="A1224" s="100"/>
      <c r="B1224" s="101"/>
      <c r="C1224" s="101"/>
      <c r="D1224" s="101"/>
      <c r="E1224" s="101"/>
      <c r="F1224" s="101"/>
      <c r="G1224" s="101"/>
      <c r="H1224" s="101"/>
      <c r="I1224" s="101"/>
      <c r="J1224" s="79"/>
      <c r="K1224" s="79"/>
      <c r="L1224" s="79"/>
      <c r="M1224" s="79"/>
      <c r="N1224" s="79"/>
      <c r="O1224" s="79"/>
      <c r="P1224" s="79"/>
      <c r="Q1224" s="79"/>
      <c r="R1224" s="79"/>
      <c r="S1224" s="79"/>
      <c r="T1224" s="79"/>
      <c r="U1224" s="79"/>
      <c r="V1224" s="79"/>
      <c r="W1224" s="79"/>
      <c r="X1224" s="79"/>
      <c r="Y1224" s="79"/>
      <c r="Z1224" s="79"/>
      <c r="AA1224" s="79"/>
      <c r="AB1224" s="79"/>
    </row>
    <row r="1225" spans="1:28" ht="15" x14ac:dyDescent="0.2">
      <c r="A1225" s="100"/>
      <c r="B1225" s="101"/>
      <c r="C1225" s="101"/>
      <c r="D1225" s="101"/>
      <c r="E1225" s="101"/>
      <c r="F1225" s="101"/>
      <c r="G1225" s="101"/>
      <c r="H1225" s="101"/>
      <c r="I1225" s="101"/>
      <c r="J1225" s="79"/>
      <c r="K1225" s="79"/>
      <c r="L1225" s="79"/>
      <c r="M1225" s="79"/>
      <c r="N1225" s="79"/>
      <c r="O1225" s="79"/>
      <c r="P1225" s="79"/>
      <c r="Q1225" s="79"/>
      <c r="R1225" s="79"/>
      <c r="S1225" s="79"/>
      <c r="T1225" s="79"/>
      <c r="U1225" s="79"/>
      <c r="V1225" s="79"/>
      <c r="W1225" s="79"/>
      <c r="X1225" s="79"/>
      <c r="Y1225" s="79"/>
      <c r="Z1225" s="79"/>
      <c r="AA1225" s="79"/>
      <c r="AB1225" s="79"/>
    </row>
    <row r="1226" spans="1:28" ht="15" x14ac:dyDescent="0.2">
      <c r="A1226" s="100"/>
      <c r="B1226" s="101"/>
      <c r="C1226" s="101"/>
      <c r="D1226" s="101"/>
      <c r="E1226" s="101"/>
      <c r="F1226" s="101"/>
      <c r="G1226" s="101"/>
      <c r="H1226" s="101"/>
      <c r="I1226" s="101"/>
      <c r="J1226" s="79"/>
      <c r="K1226" s="79"/>
      <c r="L1226" s="79"/>
      <c r="M1226" s="79"/>
      <c r="N1226" s="79"/>
      <c r="O1226" s="79"/>
      <c r="P1226" s="79"/>
      <c r="Q1226" s="79"/>
      <c r="R1226" s="79"/>
      <c r="S1226" s="79"/>
      <c r="T1226" s="79"/>
      <c r="U1226" s="79"/>
      <c r="V1226" s="79"/>
      <c r="W1226" s="79"/>
      <c r="X1226" s="79"/>
      <c r="Y1226" s="79"/>
      <c r="Z1226" s="79"/>
      <c r="AA1226" s="79"/>
      <c r="AB1226" s="79"/>
    </row>
    <row r="1227" spans="1:28" ht="15" x14ac:dyDescent="0.2">
      <c r="A1227" s="100"/>
      <c r="B1227" s="101"/>
      <c r="C1227" s="101"/>
      <c r="D1227" s="101"/>
      <c r="E1227" s="101"/>
      <c r="F1227" s="101"/>
      <c r="G1227" s="101"/>
      <c r="H1227" s="101"/>
      <c r="I1227" s="101"/>
      <c r="J1227" s="79"/>
      <c r="K1227" s="79"/>
      <c r="L1227" s="79"/>
      <c r="M1227" s="79"/>
      <c r="N1227" s="79"/>
      <c r="O1227" s="79"/>
      <c r="P1227" s="79"/>
      <c r="Q1227" s="79"/>
      <c r="R1227" s="79"/>
      <c r="S1227" s="79"/>
      <c r="T1227" s="79"/>
      <c r="U1227" s="79"/>
      <c r="V1227" s="79"/>
      <c r="W1227" s="79"/>
      <c r="X1227" s="79"/>
      <c r="Y1227" s="79"/>
      <c r="Z1227" s="79"/>
      <c r="AA1227" s="79"/>
      <c r="AB1227" s="79"/>
    </row>
    <row r="1228" spans="1:28" ht="15" x14ac:dyDescent="0.2">
      <c r="A1228" s="100"/>
      <c r="B1228" s="101"/>
      <c r="C1228" s="101"/>
      <c r="D1228" s="101"/>
      <c r="E1228" s="101"/>
      <c r="F1228" s="101"/>
      <c r="G1228" s="101"/>
      <c r="H1228" s="101"/>
      <c r="I1228" s="101"/>
      <c r="J1228" s="79"/>
      <c r="K1228" s="79"/>
      <c r="L1228" s="79"/>
      <c r="M1228" s="79"/>
      <c r="N1228" s="79"/>
      <c r="O1228" s="79"/>
      <c r="P1228" s="79"/>
      <c r="Q1228" s="79"/>
      <c r="R1228" s="79"/>
      <c r="S1228" s="79"/>
      <c r="T1228" s="79"/>
      <c r="U1228" s="79"/>
      <c r="V1228" s="79"/>
      <c r="W1228" s="79"/>
      <c r="X1228" s="79"/>
      <c r="Y1228" s="79"/>
      <c r="Z1228" s="79"/>
      <c r="AA1228" s="79"/>
      <c r="AB1228" s="79"/>
    </row>
    <row r="1229" spans="1:28" ht="15" x14ac:dyDescent="0.2">
      <c r="A1229" s="100"/>
      <c r="B1229" s="101"/>
      <c r="C1229" s="101"/>
      <c r="D1229" s="101"/>
      <c r="E1229" s="101"/>
      <c r="F1229" s="101"/>
      <c r="G1229" s="101"/>
      <c r="H1229" s="101"/>
      <c r="I1229" s="101"/>
      <c r="J1229" s="79"/>
      <c r="K1229" s="79"/>
      <c r="L1229" s="79"/>
      <c r="M1229" s="79"/>
      <c r="N1229" s="79"/>
      <c r="O1229" s="79"/>
      <c r="P1229" s="79"/>
      <c r="Q1229" s="79"/>
      <c r="R1229" s="79"/>
      <c r="S1229" s="79"/>
      <c r="T1229" s="79"/>
      <c r="U1229" s="79"/>
      <c r="V1229" s="79"/>
      <c r="W1229" s="79"/>
      <c r="X1229" s="79"/>
      <c r="Y1229" s="79"/>
      <c r="Z1229" s="79"/>
      <c r="AA1229" s="79"/>
      <c r="AB1229" s="79"/>
    </row>
    <row r="1230" spans="1:28" ht="15" x14ac:dyDescent="0.2">
      <c r="A1230" s="100"/>
      <c r="B1230" s="101"/>
      <c r="C1230" s="101"/>
      <c r="D1230" s="101"/>
      <c r="E1230" s="101"/>
      <c r="F1230" s="101"/>
      <c r="G1230" s="101"/>
      <c r="H1230" s="101"/>
      <c r="I1230" s="101"/>
      <c r="J1230" s="79"/>
      <c r="K1230" s="79"/>
      <c r="L1230" s="79"/>
      <c r="M1230" s="79"/>
      <c r="N1230" s="79"/>
      <c r="O1230" s="79"/>
      <c r="P1230" s="79"/>
      <c r="Q1230" s="79"/>
      <c r="R1230" s="79"/>
      <c r="S1230" s="79"/>
      <c r="T1230" s="79"/>
      <c r="U1230" s="79"/>
      <c r="V1230" s="79"/>
      <c r="W1230" s="79"/>
      <c r="X1230" s="79"/>
      <c r="Y1230" s="79"/>
      <c r="Z1230" s="79"/>
      <c r="AA1230" s="79"/>
      <c r="AB1230" s="79"/>
    </row>
    <row r="1231" spans="1:28" ht="15" x14ac:dyDescent="0.2">
      <c r="A1231" s="100"/>
      <c r="B1231" s="101"/>
      <c r="C1231" s="101"/>
      <c r="D1231" s="101"/>
      <c r="E1231" s="101"/>
      <c r="F1231" s="101"/>
      <c r="G1231" s="101"/>
      <c r="H1231" s="101"/>
      <c r="I1231" s="101"/>
      <c r="J1231" s="79"/>
      <c r="K1231" s="79"/>
      <c r="L1231" s="79"/>
      <c r="M1231" s="79"/>
      <c r="N1231" s="79"/>
      <c r="O1231" s="79"/>
      <c r="P1231" s="79"/>
      <c r="Q1231" s="79"/>
      <c r="R1231" s="79"/>
      <c r="S1231" s="79"/>
      <c r="T1231" s="79"/>
      <c r="U1231" s="79"/>
      <c r="V1231" s="79"/>
      <c r="W1231" s="79"/>
      <c r="X1231" s="79"/>
      <c r="Y1231" s="79"/>
      <c r="Z1231" s="79"/>
      <c r="AA1231" s="79"/>
      <c r="AB1231" s="79"/>
    </row>
    <row r="1232" spans="1:28" ht="15" x14ac:dyDescent="0.2">
      <c r="A1232" s="100"/>
      <c r="B1232" s="101"/>
      <c r="C1232" s="101"/>
      <c r="D1232" s="101"/>
      <c r="E1232" s="101"/>
      <c r="F1232" s="101"/>
      <c r="G1232" s="101"/>
      <c r="H1232" s="101"/>
      <c r="I1232" s="101"/>
      <c r="J1232" s="79"/>
      <c r="K1232" s="79"/>
      <c r="L1232" s="79"/>
      <c r="M1232" s="79"/>
      <c r="N1232" s="79"/>
      <c r="O1232" s="79"/>
      <c r="P1232" s="79"/>
      <c r="Q1232" s="79"/>
      <c r="R1232" s="79"/>
      <c r="S1232" s="79"/>
      <c r="T1232" s="79"/>
      <c r="U1232" s="79"/>
      <c r="V1232" s="79"/>
      <c r="W1232" s="79"/>
      <c r="X1232" s="79"/>
      <c r="Y1232" s="79"/>
      <c r="Z1232" s="79"/>
      <c r="AA1232" s="79"/>
      <c r="AB1232" s="79"/>
    </row>
    <row r="1233" spans="1:28" ht="15" x14ac:dyDescent="0.2">
      <c r="A1233" s="100"/>
      <c r="B1233" s="101"/>
      <c r="C1233" s="101"/>
      <c r="D1233" s="101"/>
      <c r="E1233" s="101"/>
      <c r="F1233" s="101"/>
      <c r="G1233" s="101"/>
      <c r="H1233" s="101"/>
      <c r="I1233" s="101"/>
      <c r="J1233" s="79"/>
      <c r="K1233" s="79"/>
      <c r="L1233" s="79"/>
      <c r="M1233" s="79"/>
      <c r="N1233" s="79"/>
      <c r="O1233" s="79"/>
      <c r="P1233" s="79"/>
      <c r="Q1233" s="79"/>
      <c r="R1233" s="79"/>
      <c r="S1233" s="79"/>
      <c r="T1233" s="79"/>
      <c r="U1233" s="79"/>
      <c r="V1233" s="79"/>
      <c r="W1233" s="79"/>
      <c r="X1233" s="79"/>
      <c r="Y1233" s="79"/>
      <c r="Z1233" s="79"/>
      <c r="AA1233" s="79"/>
      <c r="AB1233" s="79"/>
    </row>
    <row r="1234" spans="1:28" ht="15" x14ac:dyDescent="0.2">
      <c r="A1234" s="100"/>
      <c r="B1234" s="101"/>
      <c r="C1234" s="101"/>
      <c r="D1234" s="101"/>
      <c r="E1234" s="101"/>
      <c r="F1234" s="101"/>
      <c r="G1234" s="101"/>
      <c r="H1234" s="101"/>
      <c r="I1234" s="101"/>
      <c r="J1234" s="79"/>
      <c r="K1234" s="79"/>
      <c r="L1234" s="79"/>
      <c r="M1234" s="79"/>
      <c r="N1234" s="79"/>
      <c r="O1234" s="79"/>
      <c r="P1234" s="79"/>
      <c r="Q1234" s="79"/>
      <c r="R1234" s="79"/>
      <c r="S1234" s="79"/>
      <c r="T1234" s="79"/>
      <c r="U1234" s="79"/>
      <c r="V1234" s="79"/>
      <c r="W1234" s="79"/>
      <c r="X1234" s="79"/>
      <c r="Y1234" s="79"/>
      <c r="Z1234" s="79"/>
      <c r="AA1234" s="79"/>
      <c r="AB1234" s="79"/>
    </row>
    <row r="1235" spans="1:28" ht="15" x14ac:dyDescent="0.2">
      <c r="A1235" s="100"/>
      <c r="B1235" s="101"/>
      <c r="C1235" s="101"/>
      <c r="D1235" s="101"/>
      <c r="E1235" s="101"/>
      <c r="F1235" s="101"/>
      <c r="G1235" s="101"/>
      <c r="H1235" s="101"/>
      <c r="I1235" s="101"/>
      <c r="J1235" s="79"/>
      <c r="K1235" s="79"/>
      <c r="L1235" s="79"/>
      <c r="M1235" s="79"/>
      <c r="N1235" s="79"/>
      <c r="O1235" s="79"/>
      <c r="P1235" s="79"/>
      <c r="Q1235" s="79"/>
      <c r="R1235" s="79"/>
      <c r="S1235" s="79"/>
      <c r="T1235" s="79"/>
      <c r="U1235" s="79"/>
      <c r="V1235" s="79"/>
      <c r="W1235" s="79"/>
      <c r="X1235" s="79"/>
      <c r="Y1235" s="79"/>
      <c r="Z1235" s="79"/>
      <c r="AA1235" s="79"/>
      <c r="AB1235" s="79"/>
    </row>
    <row r="1236" spans="1:28" ht="15" x14ac:dyDescent="0.2">
      <c r="A1236" s="100"/>
      <c r="B1236" s="101"/>
      <c r="C1236" s="101"/>
      <c r="D1236" s="101"/>
      <c r="E1236" s="101"/>
      <c r="F1236" s="101"/>
      <c r="G1236" s="101"/>
      <c r="H1236" s="101"/>
      <c r="I1236" s="101"/>
      <c r="J1236" s="79"/>
      <c r="K1236" s="79"/>
      <c r="L1236" s="79"/>
      <c r="M1236" s="79"/>
      <c r="N1236" s="79"/>
      <c r="O1236" s="79"/>
      <c r="P1236" s="79"/>
      <c r="Q1236" s="79"/>
      <c r="R1236" s="79"/>
      <c r="S1236" s="79"/>
      <c r="T1236" s="79"/>
      <c r="U1236" s="79"/>
      <c r="V1236" s="79"/>
      <c r="W1236" s="79"/>
      <c r="X1236" s="79"/>
      <c r="Y1236" s="79"/>
      <c r="Z1236" s="79"/>
      <c r="AA1236" s="79"/>
      <c r="AB1236" s="79"/>
    </row>
    <row r="1237" spans="1:28" ht="15" x14ac:dyDescent="0.2">
      <c r="A1237" s="100"/>
      <c r="B1237" s="101"/>
      <c r="C1237" s="101"/>
      <c r="D1237" s="101"/>
      <c r="E1237" s="101"/>
      <c r="F1237" s="101"/>
      <c r="G1237" s="101"/>
      <c r="H1237" s="101"/>
      <c r="I1237" s="101"/>
      <c r="J1237" s="79"/>
      <c r="K1237" s="79"/>
      <c r="L1237" s="79"/>
      <c r="M1237" s="79"/>
      <c r="N1237" s="79"/>
      <c r="O1237" s="79"/>
      <c r="P1237" s="79"/>
      <c r="Q1237" s="79"/>
      <c r="R1237" s="79"/>
      <c r="S1237" s="79"/>
      <c r="T1237" s="79"/>
      <c r="U1237" s="79"/>
      <c r="V1237" s="79"/>
      <c r="W1237" s="79"/>
      <c r="X1237" s="79"/>
      <c r="Y1237" s="79"/>
      <c r="Z1237" s="79"/>
      <c r="AA1237" s="79"/>
      <c r="AB1237" s="79"/>
    </row>
    <row r="1238" spans="1:28" ht="15" x14ac:dyDescent="0.2">
      <c r="A1238" s="100"/>
      <c r="B1238" s="101"/>
      <c r="C1238" s="101"/>
      <c r="D1238" s="101"/>
      <c r="E1238" s="101"/>
      <c r="F1238" s="101"/>
      <c r="G1238" s="101"/>
      <c r="H1238" s="101"/>
      <c r="I1238" s="101"/>
      <c r="J1238" s="79"/>
      <c r="K1238" s="79"/>
      <c r="L1238" s="79"/>
      <c r="M1238" s="79"/>
      <c r="N1238" s="79"/>
      <c r="O1238" s="79"/>
      <c r="P1238" s="79"/>
      <c r="Q1238" s="79"/>
      <c r="R1238" s="79"/>
      <c r="S1238" s="79"/>
      <c r="T1238" s="79"/>
      <c r="U1238" s="79"/>
      <c r="V1238" s="79"/>
      <c r="W1238" s="79"/>
      <c r="X1238" s="79"/>
      <c r="Y1238" s="79"/>
      <c r="Z1238" s="79"/>
      <c r="AA1238" s="79"/>
      <c r="AB1238" s="79"/>
    </row>
    <row r="1239" spans="1:28" ht="15" x14ac:dyDescent="0.2">
      <c r="A1239" s="100"/>
      <c r="B1239" s="101"/>
      <c r="C1239" s="101"/>
      <c r="D1239" s="101"/>
      <c r="E1239" s="101"/>
      <c r="F1239" s="101"/>
      <c r="G1239" s="101"/>
      <c r="H1239" s="101"/>
      <c r="I1239" s="101"/>
      <c r="J1239" s="79"/>
      <c r="K1239" s="79"/>
      <c r="L1239" s="79"/>
      <c r="M1239" s="79"/>
      <c r="N1239" s="79"/>
      <c r="O1239" s="79"/>
      <c r="P1239" s="79"/>
      <c r="Q1239" s="79"/>
      <c r="R1239" s="79"/>
      <c r="S1239" s="79"/>
      <c r="T1239" s="79"/>
      <c r="U1239" s="79"/>
      <c r="V1239" s="79"/>
      <c r="W1239" s="79"/>
      <c r="X1239" s="79"/>
      <c r="Y1239" s="79"/>
      <c r="Z1239" s="79"/>
      <c r="AA1239" s="79"/>
      <c r="AB1239" s="79"/>
    </row>
    <row r="1240" spans="1:28" ht="15" x14ac:dyDescent="0.2">
      <c r="A1240" s="100"/>
      <c r="B1240" s="101"/>
      <c r="C1240" s="101"/>
      <c r="D1240" s="101"/>
      <c r="E1240" s="101"/>
      <c r="F1240" s="101"/>
      <c r="G1240" s="101"/>
      <c r="H1240" s="101"/>
      <c r="I1240" s="101"/>
      <c r="J1240" s="79"/>
      <c r="K1240" s="79"/>
      <c r="L1240" s="79"/>
      <c r="M1240" s="79"/>
      <c r="N1240" s="79"/>
      <c r="O1240" s="79"/>
      <c r="P1240" s="79"/>
      <c r="Q1240" s="79"/>
      <c r="R1240" s="79"/>
      <c r="S1240" s="79"/>
      <c r="T1240" s="79"/>
      <c r="U1240" s="79"/>
      <c r="V1240" s="79"/>
      <c r="W1240" s="79"/>
      <c r="X1240" s="79"/>
      <c r="Y1240" s="79"/>
      <c r="Z1240" s="79"/>
      <c r="AA1240" s="79"/>
      <c r="AB1240" s="79"/>
    </row>
    <row r="1241" spans="1:28" ht="15" x14ac:dyDescent="0.2">
      <c r="A1241" s="100"/>
      <c r="B1241" s="101"/>
      <c r="C1241" s="101"/>
      <c r="D1241" s="101"/>
      <c r="E1241" s="101"/>
      <c r="F1241" s="101"/>
      <c r="G1241" s="101"/>
      <c r="H1241" s="101"/>
      <c r="I1241" s="101"/>
      <c r="J1241" s="79"/>
      <c r="K1241" s="79"/>
      <c r="L1241" s="79"/>
      <c r="M1241" s="79"/>
      <c r="N1241" s="79"/>
      <c r="O1241" s="79"/>
      <c r="P1241" s="79"/>
      <c r="Q1241" s="79"/>
      <c r="R1241" s="79"/>
      <c r="S1241" s="79"/>
      <c r="T1241" s="79"/>
      <c r="U1241" s="79"/>
      <c r="V1241" s="79"/>
      <c r="W1241" s="79"/>
      <c r="X1241" s="79"/>
      <c r="Y1241" s="79"/>
      <c r="Z1241" s="79"/>
      <c r="AA1241" s="79"/>
      <c r="AB1241" s="79"/>
    </row>
    <row r="1242" spans="1:28" ht="15" x14ac:dyDescent="0.2">
      <c r="A1242" s="100"/>
      <c r="B1242" s="101"/>
      <c r="C1242" s="101"/>
      <c r="D1242" s="101"/>
      <c r="E1242" s="101"/>
      <c r="F1242" s="101"/>
      <c r="G1242" s="101"/>
      <c r="H1242" s="101"/>
      <c r="I1242" s="101"/>
      <c r="J1242" s="79"/>
      <c r="K1242" s="79"/>
      <c r="L1242" s="79"/>
      <c r="M1242" s="79"/>
      <c r="N1242" s="79"/>
      <c r="O1242" s="79"/>
      <c r="P1242" s="79"/>
      <c r="Q1242" s="79"/>
      <c r="R1242" s="79"/>
      <c r="S1242" s="79"/>
      <c r="T1242" s="79"/>
      <c r="U1242" s="79"/>
      <c r="V1242" s="79"/>
      <c r="W1242" s="79"/>
      <c r="X1242" s="79"/>
      <c r="Y1242" s="79"/>
      <c r="Z1242" s="79"/>
      <c r="AA1242" s="79"/>
      <c r="AB1242" s="79"/>
    </row>
  </sheetData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13"/>
  <sheetViews>
    <sheetView workbookViewId="0">
      <selection activeCell="G2" sqref="G2"/>
    </sheetView>
  </sheetViews>
  <sheetFormatPr baseColWidth="10" defaultColWidth="12.6640625" defaultRowHeight="15.75" customHeight="1" x14ac:dyDescent="0.15"/>
  <cols>
    <col min="1" max="1" width="8.5" bestFit="1" customWidth="1"/>
    <col min="2" max="2" width="19" style="140" bestFit="1" customWidth="1"/>
    <col min="3" max="3" width="19.6640625" style="140" bestFit="1" customWidth="1"/>
    <col min="4" max="4" width="13.33203125" style="140" bestFit="1" customWidth="1"/>
    <col min="5" max="5" width="16.33203125" style="140" bestFit="1" customWidth="1"/>
    <col min="6" max="6" width="13" style="140" bestFit="1" customWidth="1"/>
    <col min="7" max="7" width="12.33203125" style="140" bestFit="1" customWidth="1"/>
    <col min="8" max="8" width="14.1640625" style="140" bestFit="1" customWidth="1"/>
    <col min="9" max="9" width="13.6640625" customWidth="1"/>
  </cols>
  <sheetData>
    <row r="1" spans="1:22" s="127" customFormat="1" ht="15.75" customHeight="1" x14ac:dyDescent="0.15">
      <c r="A1" s="103" t="s">
        <v>4</v>
      </c>
      <c r="B1" s="104" t="s">
        <v>137</v>
      </c>
      <c r="C1" s="105" t="s">
        <v>5</v>
      </c>
      <c r="D1" s="105" t="s">
        <v>6</v>
      </c>
      <c r="E1" s="105" t="s">
        <v>7</v>
      </c>
      <c r="F1" s="105" t="s">
        <v>8</v>
      </c>
      <c r="G1" s="105" t="s">
        <v>421</v>
      </c>
      <c r="H1" s="135" t="s">
        <v>422</v>
      </c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</row>
    <row r="2" spans="1:22" ht="15" x14ac:dyDescent="0.2">
      <c r="A2" s="7">
        <v>1</v>
      </c>
      <c r="B2" s="12" t="str">
        <f>Cod_Gen6[[#This Row],[Codigo]]</f>
        <v>ATHEMS5-1</v>
      </c>
      <c r="C2" s="12" t="str">
        <f>Cod_Gen6[[#This Row],[Tipo de Equipo]]</f>
        <v>ATRILES MICROFONOS</v>
      </c>
      <c r="D2" s="12" t="str">
        <f>Cod_Gen6[[#This Row],[Marca]]</f>
        <v>HERCULES</v>
      </c>
      <c r="E2" s="12" t="str">
        <f>Cod_Gen6[[#This Row],[Modelo]]</f>
        <v>MS533B</v>
      </c>
      <c r="F2" s="12">
        <f>Cod_Gen6[[#This Row],[N* Serie]]</f>
        <v>0</v>
      </c>
      <c r="G2" s="9"/>
      <c r="H2" s="3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15" x14ac:dyDescent="0.2">
      <c r="A3" s="11">
        <v>2</v>
      </c>
      <c r="B3" s="12" t="str">
        <f>Cod_Gen6[[#This Row],[Codigo]]</f>
        <v>ATHEMS5-2</v>
      </c>
      <c r="C3" s="12" t="str">
        <f>Cod_Gen6[[#This Row],[Tipo de Equipo]]</f>
        <v>ATRILES MICROFONOS</v>
      </c>
      <c r="D3" s="12" t="str">
        <f>Cod_Gen6[[#This Row],[Marca]]</f>
        <v>HERCULES</v>
      </c>
      <c r="E3" s="12" t="str">
        <f>Cod_Gen6[[#This Row],[Modelo]]</f>
        <v>MS533B</v>
      </c>
      <c r="F3" s="12">
        <f>Cod_Gen6[[#This Row],[N* Serie]]</f>
        <v>0</v>
      </c>
      <c r="G3" s="8"/>
      <c r="H3" s="40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5" x14ac:dyDescent="0.2">
      <c r="A4" s="11">
        <v>3</v>
      </c>
      <c r="B4" s="12" t="str">
        <f>Cod_Gen6[[#This Row],[Codigo]]</f>
        <v>ATHESS2-1</v>
      </c>
      <c r="C4" s="12" t="str">
        <f>Cod_Gen6[[#This Row],[Tipo de Equipo]]</f>
        <v>ATRILES PARLANTES</v>
      </c>
      <c r="D4" s="12" t="str">
        <f>Cod_Gen6[[#This Row],[Marca]]</f>
        <v>HERCULES</v>
      </c>
      <c r="E4" s="12" t="str">
        <f>Cod_Gen6[[#This Row],[Modelo]]</f>
        <v>SS200BB</v>
      </c>
      <c r="F4" s="12">
        <f>Cod_Gen6[[#This Row],[N* Serie]]</f>
        <v>0</v>
      </c>
      <c r="G4" s="9"/>
      <c r="H4" s="3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15" x14ac:dyDescent="0.2">
      <c r="A5" s="11">
        <v>4</v>
      </c>
      <c r="B5" s="12" t="str">
        <f>Cod_Gen6[[#This Row],[Codigo]]</f>
        <v>ATHESS2-2</v>
      </c>
      <c r="C5" s="12" t="str">
        <f>Cod_Gen6[[#This Row],[Tipo de Equipo]]</f>
        <v>ATRILES PARLANTES</v>
      </c>
      <c r="D5" s="12" t="str">
        <f>Cod_Gen6[[#This Row],[Marca]]</f>
        <v>HERCULES</v>
      </c>
      <c r="E5" s="12" t="str">
        <f>Cod_Gen6[[#This Row],[Modelo]]</f>
        <v>SS200BB</v>
      </c>
      <c r="F5" s="12">
        <f>Cod_Gen6[[#This Row],[N* Serie]]</f>
        <v>0</v>
      </c>
      <c r="G5" s="8"/>
      <c r="H5" s="40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" x14ac:dyDescent="0.2">
      <c r="A6" s="11">
        <v>5</v>
      </c>
      <c r="B6" s="12" t="str">
        <f>Cod_Gen6[[#This Row],[Codigo]]</f>
        <v>ATHESS2-3</v>
      </c>
      <c r="C6" s="12" t="str">
        <f>Cod_Gen6[[#This Row],[Tipo de Equipo]]</f>
        <v>ATRILES PARLANTES</v>
      </c>
      <c r="D6" s="12" t="str">
        <f>Cod_Gen6[[#This Row],[Marca]]</f>
        <v>HERCULES</v>
      </c>
      <c r="E6" s="12" t="str">
        <f>Cod_Gen6[[#This Row],[Modelo]]</f>
        <v>SS200BB</v>
      </c>
      <c r="F6" s="12">
        <f>Cod_Gen6[[#This Row],[N* Serie]]</f>
        <v>0</v>
      </c>
      <c r="G6" s="9"/>
      <c r="H6" s="3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5" x14ac:dyDescent="0.2">
      <c r="A7" s="11">
        <v>6</v>
      </c>
      <c r="B7" s="12" t="str">
        <f>Cod_Gen6[[#This Row],[Codigo]]</f>
        <v>ATHESS2-4</v>
      </c>
      <c r="C7" s="12" t="str">
        <f>Cod_Gen6[[#This Row],[Tipo de Equipo]]</f>
        <v>ATRILES PARLANTES</v>
      </c>
      <c r="D7" s="12" t="str">
        <f>Cod_Gen6[[#This Row],[Marca]]</f>
        <v>HERCULES</v>
      </c>
      <c r="E7" s="12" t="str">
        <f>Cod_Gen6[[#This Row],[Modelo]]</f>
        <v>SS200BB</v>
      </c>
      <c r="F7" s="12">
        <f>Cod_Gen6[[#This Row],[N* Serie]]</f>
        <v>0</v>
      </c>
      <c r="G7" s="8"/>
      <c r="H7" s="4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5" x14ac:dyDescent="0.2">
      <c r="A8" s="11">
        <v>7</v>
      </c>
      <c r="B8" s="12" t="str">
        <f>Cod_Gen6[[#This Row],[Codigo]]</f>
        <v>ATHESS2-5</v>
      </c>
      <c r="C8" s="12" t="str">
        <f>Cod_Gen6[[#This Row],[Tipo de Equipo]]</f>
        <v>ATRILES PARLANTES</v>
      </c>
      <c r="D8" s="12" t="str">
        <f>Cod_Gen6[[#This Row],[Marca]]</f>
        <v>HERCULES</v>
      </c>
      <c r="E8" s="12" t="str">
        <f>Cod_Gen6[[#This Row],[Modelo]]</f>
        <v>SS200BB</v>
      </c>
      <c r="F8" s="12">
        <f>Cod_Gen6[[#This Row],[N* Serie]]</f>
        <v>0</v>
      </c>
      <c r="G8" s="9"/>
      <c r="H8" s="3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5" x14ac:dyDescent="0.2">
      <c r="A9" s="11">
        <v>8</v>
      </c>
      <c r="B9" s="12" t="str">
        <f>Cod_Gen6[[#This Row],[Codigo]]</f>
        <v>ATHESS2-6</v>
      </c>
      <c r="C9" s="12" t="str">
        <f>Cod_Gen6[[#This Row],[Tipo de Equipo]]</f>
        <v>ATRILES PARLANTES</v>
      </c>
      <c r="D9" s="12" t="str">
        <f>Cod_Gen6[[#This Row],[Marca]]</f>
        <v>HERCULES</v>
      </c>
      <c r="E9" s="12" t="str">
        <f>Cod_Gen6[[#This Row],[Modelo]]</f>
        <v>SS200BB</v>
      </c>
      <c r="F9" s="12">
        <f>Cod_Gen6[[#This Row],[N* Serie]]</f>
        <v>0</v>
      </c>
      <c r="G9" s="8"/>
      <c r="H9" s="4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5" x14ac:dyDescent="0.2">
      <c r="A10" s="11">
        <v>9</v>
      </c>
      <c r="B10" s="12" t="str">
        <f>Cod_Gen6[[#This Row],[Codigo]]</f>
        <v>ATHESS2-7</v>
      </c>
      <c r="C10" s="12" t="str">
        <f>Cod_Gen6[[#This Row],[Tipo de Equipo]]</f>
        <v>ATRILES PARLANTES</v>
      </c>
      <c r="D10" s="12" t="str">
        <f>Cod_Gen6[[#This Row],[Marca]]</f>
        <v>HERCULES</v>
      </c>
      <c r="E10" s="12" t="str">
        <f>Cod_Gen6[[#This Row],[Modelo]]</f>
        <v>SS200BB</v>
      </c>
      <c r="F10" s="12">
        <f>Cod_Gen6[[#This Row],[N* Serie]]</f>
        <v>0</v>
      </c>
      <c r="G10" s="9"/>
      <c r="H10" s="3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5" x14ac:dyDescent="0.2">
      <c r="A11" s="11">
        <v>10</v>
      </c>
      <c r="B11" s="12" t="str">
        <f>Cod_Gen6[[#This Row],[Codigo]]</f>
        <v>ATHESS2-8</v>
      </c>
      <c r="C11" s="12" t="str">
        <f>Cod_Gen6[[#This Row],[Tipo de Equipo]]</f>
        <v>ATRILES PARLANTES</v>
      </c>
      <c r="D11" s="12" t="str">
        <f>Cod_Gen6[[#This Row],[Marca]]</f>
        <v>HERCULES</v>
      </c>
      <c r="E11" s="12" t="str">
        <f>Cod_Gen6[[#This Row],[Modelo]]</f>
        <v>SS200BB</v>
      </c>
      <c r="F11" s="12">
        <f>Cod_Gen6[[#This Row],[N* Serie]]</f>
        <v>0</v>
      </c>
      <c r="G11" s="8"/>
      <c r="H11" s="4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5" x14ac:dyDescent="0.2">
      <c r="A12" s="11">
        <v>11</v>
      </c>
      <c r="B12" s="12" t="str">
        <f>Cod_Gen6[[#This Row],[Codigo]]</f>
        <v>ATK&amp;254-1</v>
      </c>
      <c r="C12" s="12" t="str">
        <f>Cod_Gen6[[#This Row],[Tipo de Equipo]]</f>
        <v>ATRILES MICROFONOS</v>
      </c>
      <c r="D12" s="12" t="str">
        <f>Cod_Gen6[[#This Row],[Marca]]</f>
        <v>K&amp;M</v>
      </c>
      <c r="E12" s="12">
        <f>Cod_Gen6[[#This Row],[Modelo]]</f>
        <v>25400</v>
      </c>
      <c r="F12" s="12">
        <f>Cod_Gen6[[#This Row],[N* Serie]]</f>
        <v>0</v>
      </c>
      <c r="G12" s="9"/>
      <c r="H12" s="3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5" x14ac:dyDescent="0.2">
      <c r="A13" s="11">
        <v>12</v>
      </c>
      <c r="B13" s="12" t="str">
        <f>Cod_Gen6[[#This Row],[Codigo]]</f>
        <v>ATK&amp;254-2</v>
      </c>
      <c r="C13" s="12" t="str">
        <f>Cod_Gen6[[#This Row],[Tipo de Equipo]]</f>
        <v>ATRILES MICROFONOS</v>
      </c>
      <c r="D13" s="12" t="str">
        <f>Cod_Gen6[[#This Row],[Marca]]</f>
        <v>K&amp;M</v>
      </c>
      <c r="E13" s="12">
        <f>Cod_Gen6[[#This Row],[Modelo]]</f>
        <v>25400</v>
      </c>
      <c r="F13" s="12">
        <f>Cod_Gen6[[#This Row],[N* Serie]]</f>
        <v>0</v>
      </c>
      <c r="G13" s="8"/>
      <c r="H13" s="4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5" x14ac:dyDescent="0.2">
      <c r="A14" s="11">
        <v>13</v>
      </c>
      <c r="B14" s="12" t="str">
        <f>Cod_Gen6[[#This Row],[Codigo]]</f>
        <v>ATK&amp;254-3</v>
      </c>
      <c r="C14" s="12" t="str">
        <f>Cod_Gen6[[#This Row],[Tipo de Equipo]]</f>
        <v>ATRILES MICROFONOS</v>
      </c>
      <c r="D14" s="12" t="str">
        <f>Cod_Gen6[[#This Row],[Marca]]</f>
        <v>K&amp;M</v>
      </c>
      <c r="E14" s="12">
        <f>Cod_Gen6[[#This Row],[Modelo]]</f>
        <v>25400</v>
      </c>
      <c r="F14" s="12">
        <f>Cod_Gen6[[#This Row],[N* Serie]]</f>
        <v>0</v>
      </c>
      <c r="G14" s="9"/>
      <c r="H14" s="3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5" x14ac:dyDescent="0.2">
      <c r="A15" s="11">
        <v>14</v>
      </c>
      <c r="B15" s="12" t="str">
        <f>Cod_Gen6[[#This Row],[Codigo]]</f>
        <v>ATK&amp;254-4</v>
      </c>
      <c r="C15" s="12" t="str">
        <f>Cod_Gen6[[#This Row],[Tipo de Equipo]]</f>
        <v>ATRILES MICROFONOS</v>
      </c>
      <c r="D15" s="12" t="str">
        <f>Cod_Gen6[[#This Row],[Marca]]</f>
        <v>K&amp;M</v>
      </c>
      <c r="E15" s="12">
        <f>Cod_Gen6[[#This Row],[Modelo]]</f>
        <v>25400</v>
      </c>
      <c r="F15" s="12">
        <f>Cod_Gen6[[#This Row],[N* Serie]]</f>
        <v>0</v>
      </c>
      <c r="G15" s="8"/>
      <c r="H15" s="4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5" x14ac:dyDescent="0.2">
      <c r="A16" s="11">
        <v>15</v>
      </c>
      <c r="B16" s="12" t="str">
        <f>Cod_Gen6[[#This Row],[Codigo]]</f>
        <v>ATK&amp;254-5</v>
      </c>
      <c r="C16" s="12" t="str">
        <f>Cod_Gen6[[#This Row],[Tipo de Equipo]]</f>
        <v>ATRILES MICROFONOS</v>
      </c>
      <c r="D16" s="12" t="str">
        <f>Cod_Gen6[[#This Row],[Marca]]</f>
        <v>K&amp;M</v>
      </c>
      <c r="E16" s="12">
        <f>Cod_Gen6[[#This Row],[Modelo]]</f>
        <v>25400</v>
      </c>
      <c r="F16" s="12">
        <f>Cod_Gen6[[#This Row],[N* Serie]]</f>
        <v>0</v>
      </c>
      <c r="G16" s="9"/>
      <c r="H16" s="3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5" x14ac:dyDescent="0.2">
      <c r="A17" s="11">
        <v>16</v>
      </c>
      <c r="B17" s="12" t="str">
        <f>Cod_Gen6[[#This Row],[Codigo]]</f>
        <v>ATK&amp;254-6</v>
      </c>
      <c r="C17" s="12" t="str">
        <f>Cod_Gen6[[#This Row],[Tipo de Equipo]]</f>
        <v>ATRILES MICROFONOS</v>
      </c>
      <c r="D17" s="12" t="str">
        <f>Cod_Gen6[[#This Row],[Marca]]</f>
        <v>K&amp;M</v>
      </c>
      <c r="E17" s="12">
        <f>Cod_Gen6[[#This Row],[Modelo]]</f>
        <v>25400</v>
      </c>
      <c r="F17" s="12">
        <f>Cod_Gen6[[#This Row],[N* Serie]]</f>
        <v>0</v>
      </c>
      <c r="G17" s="8"/>
      <c r="H17" s="4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5" x14ac:dyDescent="0.2">
      <c r="A18" s="11">
        <v>17</v>
      </c>
      <c r="B18" s="12" t="str">
        <f>Cod_Gen6[[#This Row],[Codigo]]</f>
        <v>ATK&amp;254-7</v>
      </c>
      <c r="C18" s="12" t="str">
        <f>Cod_Gen6[[#This Row],[Tipo de Equipo]]</f>
        <v>ATRILES MICROFONOS</v>
      </c>
      <c r="D18" s="12" t="str">
        <f>Cod_Gen6[[#This Row],[Marca]]</f>
        <v>K&amp;M</v>
      </c>
      <c r="E18" s="12">
        <f>Cod_Gen6[[#This Row],[Modelo]]</f>
        <v>25400</v>
      </c>
      <c r="F18" s="12">
        <f>Cod_Gen6[[#This Row],[N* Serie]]</f>
        <v>0</v>
      </c>
      <c r="G18" s="9"/>
      <c r="H18" s="3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5" x14ac:dyDescent="0.2">
      <c r="A19" s="11">
        <v>18</v>
      </c>
      <c r="B19" s="12" t="str">
        <f>Cod_Gen6[[#This Row],[Codigo]]</f>
        <v>ATK&amp;254-8</v>
      </c>
      <c r="C19" s="12" t="str">
        <f>Cod_Gen6[[#This Row],[Tipo de Equipo]]</f>
        <v>ATRILES MICROFONOS</v>
      </c>
      <c r="D19" s="12" t="str">
        <f>Cod_Gen6[[#This Row],[Marca]]</f>
        <v>K&amp;M</v>
      </c>
      <c r="E19" s="12">
        <f>Cod_Gen6[[#This Row],[Modelo]]</f>
        <v>25400</v>
      </c>
      <c r="F19" s="12">
        <f>Cod_Gen6[[#This Row],[N* Serie]]</f>
        <v>0</v>
      </c>
      <c r="G19" s="8"/>
      <c r="H19" s="4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5" x14ac:dyDescent="0.2">
      <c r="A20" s="11">
        <v>19</v>
      </c>
      <c r="B20" s="12" t="str">
        <f>Cod_Gen6[[#This Row],[Codigo]]</f>
        <v>ATK&amp;254-9</v>
      </c>
      <c r="C20" s="12" t="str">
        <f>Cod_Gen6[[#This Row],[Tipo de Equipo]]</f>
        <v>ATRILES MICROFONOS</v>
      </c>
      <c r="D20" s="12" t="str">
        <f>Cod_Gen6[[#This Row],[Marca]]</f>
        <v>K&amp;M</v>
      </c>
      <c r="E20" s="12">
        <f>Cod_Gen6[[#This Row],[Modelo]]</f>
        <v>25400</v>
      </c>
      <c r="F20" s="12">
        <f>Cod_Gen6[[#This Row],[N* Serie]]</f>
        <v>0</v>
      </c>
      <c r="G20" s="9"/>
      <c r="H20" s="3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5" x14ac:dyDescent="0.2">
      <c r="A21" s="11">
        <v>20</v>
      </c>
      <c r="B21" s="12" t="str">
        <f>Cod_Gen6[[#This Row],[Codigo]]</f>
        <v>ATK&amp;254-10</v>
      </c>
      <c r="C21" s="12" t="str">
        <f>Cod_Gen6[[#This Row],[Tipo de Equipo]]</f>
        <v>ATRILES MICROFONOS</v>
      </c>
      <c r="D21" s="12" t="str">
        <f>Cod_Gen6[[#This Row],[Marca]]</f>
        <v>K&amp;M</v>
      </c>
      <c r="E21" s="12">
        <f>Cod_Gen6[[#This Row],[Modelo]]</f>
        <v>25400</v>
      </c>
      <c r="F21" s="12">
        <f>Cod_Gen6[[#This Row],[N* Serie]]</f>
        <v>0</v>
      </c>
      <c r="G21" s="8"/>
      <c r="H21" s="4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15" x14ac:dyDescent="0.2">
      <c r="A22" s="11">
        <v>21</v>
      </c>
      <c r="B22" s="12" t="str">
        <f>Cod_Gen6[[#This Row],[Codigo]]</f>
        <v>BAGATIP-1</v>
      </c>
      <c r="C22" s="12" t="str">
        <f>Cod_Gen6[[#This Row],[Tipo de Equipo]]</f>
        <v>BASES TRUSS</v>
      </c>
      <c r="D22" s="12" t="str">
        <f>Cod_Gen6[[#This Row],[Marca]]</f>
        <v>GALAXY</v>
      </c>
      <c r="E22" s="12" t="str">
        <f>Cod_Gen6[[#This Row],[Modelo]]</f>
        <v>TIPO CUADRADA</v>
      </c>
      <c r="F22" s="12">
        <f>Cod_Gen6[[#This Row],[N* Serie]]</f>
        <v>0</v>
      </c>
      <c r="G22" s="9"/>
      <c r="H22" s="3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ht="15" x14ac:dyDescent="0.2">
      <c r="A23" s="11">
        <v>22</v>
      </c>
      <c r="B23" s="12" t="str">
        <f>Cod_Gen6[[#This Row],[Codigo]]</f>
        <v>BAGATIP-2</v>
      </c>
      <c r="C23" s="12" t="str">
        <f>Cod_Gen6[[#This Row],[Tipo de Equipo]]</f>
        <v>BASES TRUSS</v>
      </c>
      <c r="D23" s="12" t="str">
        <f>Cod_Gen6[[#This Row],[Marca]]</f>
        <v>GALAXY</v>
      </c>
      <c r="E23" s="12" t="str">
        <f>Cod_Gen6[[#This Row],[Modelo]]</f>
        <v>TIPO CUADRADA</v>
      </c>
      <c r="F23" s="12">
        <f>Cod_Gen6[[#This Row],[N* Serie]]</f>
        <v>0</v>
      </c>
      <c r="G23" s="8"/>
      <c r="H23" s="4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5" x14ac:dyDescent="0.2">
      <c r="A24" s="11">
        <v>23</v>
      </c>
      <c r="B24" s="12" t="str">
        <f>Cod_Gen6[[#This Row],[Codigo]]</f>
        <v>BAGEN/A-1</v>
      </c>
      <c r="C24" s="12" t="str">
        <f>Cod_Gen6[[#This Row],[Tipo de Equipo]]</f>
        <v>BARRA T</v>
      </c>
      <c r="D24" s="12" t="str">
        <f>Cod_Gen6[[#This Row],[Marca]]</f>
        <v>GENERICO</v>
      </c>
      <c r="E24" s="12" t="str">
        <f>Cod_Gen6[[#This Row],[Modelo]]</f>
        <v>N/A</v>
      </c>
      <c r="F24" s="12">
        <f>Cod_Gen6[[#This Row],[N* Serie]]</f>
        <v>0</v>
      </c>
      <c r="G24" s="9"/>
      <c r="H24" s="3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5" x14ac:dyDescent="0.2">
      <c r="A25" s="11">
        <v>24</v>
      </c>
      <c r="B25" s="12" t="str">
        <f>Cod_Gen6[[#This Row],[Codigo]]</f>
        <v>BAGEN/A-2</v>
      </c>
      <c r="C25" s="12" t="str">
        <f>Cod_Gen6[[#This Row],[Tipo de Equipo]]</f>
        <v>BARRA T</v>
      </c>
      <c r="D25" s="12" t="str">
        <f>Cod_Gen6[[#This Row],[Marca]]</f>
        <v>GENERICO</v>
      </c>
      <c r="E25" s="12" t="str">
        <f>Cod_Gen6[[#This Row],[Modelo]]</f>
        <v>N/A</v>
      </c>
      <c r="F25" s="12">
        <f>Cod_Gen6[[#This Row],[N* Serie]]</f>
        <v>0</v>
      </c>
      <c r="G25" s="8"/>
      <c r="H25" s="4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15" x14ac:dyDescent="0.2">
      <c r="A26" s="11">
        <v>25</v>
      </c>
      <c r="B26" s="12" t="str">
        <f>Cod_Gen6[[#This Row],[Codigo]]</f>
        <v>BAGEN/A-3</v>
      </c>
      <c r="C26" s="12" t="str">
        <f>Cod_Gen6[[#This Row],[Tipo de Equipo]]</f>
        <v>BARRA T</v>
      </c>
      <c r="D26" s="12" t="str">
        <f>Cod_Gen6[[#This Row],[Marca]]</f>
        <v>GENERICO</v>
      </c>
      <c r="E26" s="12" t="str">
        <f>Cod_Gen6[[#This Row],[Modelo]]</f>
        <v>N/A</v>
      </c>
      <c r="F26" s="12">
        <f>Cod_Gen6[[#This Row],[N* Serie]]</f>
        <v>0</v>
      </c>
      <c r="G26" s="9"/>
      <c r="H26" s="3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ht="15" x14ac:dyDescent="0.2">
      <c r="A27" s="11">
        <v>26</v>
      </c>
      <c r="B27" s="12" t="str">
        <f>Cod_Gen6[[#This Row],[Codigo]]</f>
        <v>BAGEN/A-4</v>
      </c>
      <c r="C27" s="12" t="str">
        <f>Cod_Gen6[[#This Row],[Tipo de Equipo]]</f>
        <v>BARRA T</v>
      </c>
      <c r="D27" s="12" t="str">
        <f>Cod_Gen6[[#This Row],[Marca]]</f>
        <v>GENERICO</v>
      </c>
      <c r="E27" s="12" t="str">
        <f>Cod_Gen6[[#This Row],[Modelo]]</f>
        <v>N/A</v>
      </c>
      <c r="F27" s="12">
        <f>Cod_Gen6[[#This Row],[N* Serie]]</f>
        <v>0</v>
      </c>
      <c r="G27" s="8"/>
      <c r="H27" s="40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ht="15" x14ac:dyDescent="0.2">
      <c r="A28" s="11">
        <v>27</v>
      </c>
      <c r="B28" s="12" t="str">
        <f>Cod_Gen6[[#This Row],[Codigo]]</f>
        <v>BAGEN/A-5</v>
      </c>
      <c r="C28" s="12" t="str">
        <f>Cod_Gen6[[#This Row],[Tipo de Equipo]]</f>
        <v>BARRA T</v>
      </c>
      <c r="D28" s="12" t="str">
        <f>Cod_Gen6[[#This Row],[Marca]]</f>
        <v>GENERICO</v>
      </c>
      <c r="E28" s="12" t="str">
        <f>Cod_Gen6[[#This Row],[Modelo]]</f>
        <v>N/A</v>
      </c>
      <c r="F28" s="12">
        <f>Cod_Gen6[[#This Row],[N* Serie]]</f>
        <v>0</v>
      </c>
      <c r="G28" s="9"/>
      <c r="H28" s="3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ht="15" x14ac:dyDescent="0.2">
      <c r="A29" s="11">
        <v>28</v>
      </c>
      <c r="B29" s="12" t="str">
        <f>Cod_Gen6[[#This Row],[Codigo]]</f>
        <v>BAGEN/A-6</v>
      </c>
      <c r="C29" s="12" t="str">
        <f>Cod_Gen6[[#This Row],[Tipo de Equipo]]</f>
        <v>BARRA T</v>
      </c>
      <c r="D29" s="12" t="str">
        <f>Cod_Gen6[[#This Row],[Marca]]</f>
        <v>GENERICO</v>
      </c>
      <c r="E29" s="12" t="str">
        <f>Cod_Gen6[[#This Row],[Modelo]]</f>
        <v>N/A</v>
      </c>
      <c r="F29" s="12">
        <f>Cod_Gen6[[#This Row],[N* Serie]]</f>
        <v>0</v>
      </c>
      <c r="G29" s="8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ht="15" x14ac:dyDescent="0.2">
      <c r="A30" s="11">
        <v>29</v>
      </c>
      <c r="B30" s="12" t="str">
        <f>Cod_Gen6[[#This Row],[Codigo]]</f>
        <v>BAGEN/A-1</v>
      </c>
      <c r="C30" s="12" t="str">
        <f>Cod_Gen6[[#This Row],[Tipo de Equipo]]</f>
        <v>BASES TRUSS</v>
      </c>
      <c r="D30" s="12" t="str">
        <f>Cod_Gen6[[#This Row],[Marca]]</f>
        <v>GENERICO</v>
      </c>
      <c r="E30" s="12" t="str">
        <f>Cod_Gen6[[#This Row],[Modelo]]</f>
        <v>N/A</v>
      </c>
      <c r="F30" s="12">
        <f>Cod_Gen6[[#This Row],[N* Serie]]</f>
        <v>0</v>
      </c>
      <c r="G30" s="9"/>
      <c r="H30" s="3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5" x14ac:dyDescent="0.2">
      <c r="A31" s="11">
        <v>30</v>
      </c>
      <c r="B31" s="12" t="str">
        <f>Cod_Gen6[[#This Row],[Codigo]]</f>
        <v>BAGEN/A-2</v>
      </c>
      <c r="C31" s="12" t="str">
        <f>Cod_Gen6[[#This Row],[Tipo de Equipo]]</f>
        <v>BASES TRUSS</v>
      </c>
      <c r="D31" s="12" t="str">
        <f>Cod_Gen6[[#This Row],[Marca]]</f>
        <v>GENERICO</v>
      </c>
      <c r="E31" s="12" t="str">
        <f>Cod_Gen6[[#This Row],[Modelo]]</f>
        <v>N/A</v>
      </c>
      <c r="F31" s="12">
        <f>Cod_Gen6[[#This Row],[N* Serie]]</f>
        <v>0</v>
      </c>
      <c r="G31" s="8"/>
      <c r="H31" s="40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5" x14ac:dyDescent="0.2">
      <c r="A32" s="11">
        <v>31</v>
      </c>
      <c r="B32" s="12" t="str">
        <f>Cod_Gen6[[#This Row],[Codigo]]</f>
        <v>BAGEN/A-3</v>
      </c>
      <c r="C32" s="12" t="str">
        <f>Cod_Gen6[[#This Row],[Tipo de Equipo]]</f>
        <v>BASES TRUSS</v>
      </c>
      <c r="D32" s="12" t="str">
        <f>Cod_Gen6[[#This Row],[Marca]]</f>
        <v>GENERICO</v>
      </c>
      <c r="E32" s="12" t="str">
        <f>Cod_Gen6[[#This Row],[Modelo]]</f>
        <v>N/A</v>
      </c>
      <c r="F32" s="12">
        <f>Cod_Gen6[[#This Row],[N* Serie]]</f>
        <v>0</v>
      </c>
      <c r="G32" s="9"/>
      <c r="H32" s="3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5" x14ac:dyDescent="0.2">
      <c r="A33" s="11">
        <v>32</v>
      </c>
      <c r="B33" s="12" t="str">
        <f>Cod_Gen6[[#This Row],[Codigo]]</f>
        <v>BAGEN/A-4</v>
      </c>
      <c r="C33" s="12" t="str">
        <f>Cod_Gen6[[#This Row],[Tipo de Equipo]]</f>
        <v>BASES TRUSS</v>
      </c>
      <c r="D33" s="12" t="str">
        <f>Cod_Gen6[[#This Row],[Marca]]</f>
        <v>GENERICO</v>
      </c>
      <c r="E33" s="12" t="str">
        <f>Cod_Gen6[[#This Row],[Modelo]]</f>
        <v>N/A</v>
      </c>
      <c r="F33" s="12">
        <f>Cod_Gen6[[#This Row],[N* Serie]]</f>
        <v>0</v>
      </c>
      <c r="G33" s="8"/>
      <c r="H33" s="40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15" x14ac:dyDescent="0.2">
      <c r="A34" s="11">
        <v>33</v>
      </c>
      <c r="B34" s="12" t="str">
        <f>Cod_Gen6[[#This Row],[Codigo]]</f>
        <v>BASA720-1</v>
      </c>
      <c r="C34" s="12" t="str">
        <f>Cod_Gen6[[#This Row],[Tipo de Equipo]]</f>
        <v>BARRA STROBE</v>
      </c>
      <c r="D34" s="12" t="str">
        <f>Cod_Gen6[[#This Row],[Marca]]</f>
        <v>SANYI LIGHT</v>
      </c>
      <c r="E34" s="12">
        <f>Cod_Gen6[[#This Row],[Modelo]]</f>
        <v>720</v>
      </c>
      <c r="F34" s="12">
        <f>Cod_Gen6[[#This Row],[N* Serie]]</f>
        <v>0</v>
      </c>
      <c r="G34" s="9"/>
      <c r="H34" s="3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ht="15" x14ac:dyDescent="0.2">
      <c r="A35" s="11">
        <v>34</v>
      </c>
      <c r="B35" s="12" t="str">
        <f>Cod_Gen6[[#This Row],[Codigo]]</f>
        <v>BASA720-2</v>
      </c>
      <c r="C35" s="12" t="str">
        <f>Cod_Gen6[[#This Row],[Tipo de Equipo]]</f>
        <v>BARRA STROBE</v>
      </c>
      <c r="D35" s="12" t="str">
        <f>Cod_Gen6[[#This Row],[Marca]]</f>
        <v>SANYI LIGHT</v>
      </c>
      <c r="E35" s="12">
        <f>Cod_Gen6[[#This Row],[Modelo]]</f>
        <v>720</v>
      </c>
      <c r="F35" s="12">
        <f>Cod_Gen6[[#This Row],[N* Serie]]</f>
        <v>0</v>
      </c>
      <c r="G35" s="8"/>
      <c r="H35" s="40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ht="15" x14ac:dyDescent="0.2">
      <c r="A36" s="11">
        <v>35</v>
      </c>
      <c r="B36" s="12" t="str">
        <f>Cod_Gen6[[#This Row],[Codigo]]</f>
        <v>BASA720-3</v>
      </c>
      <c r="C36" s="12" t="str">
        <f>Cod_Gen6[[#This Row],[Tipo de Equipo]]</f>
        <v>BARRA STROBE</v>
      </c>
      <c r="D36" s="12" t="str">
        <f>Cod_Gen6[[#This Row],[Marca]]</f>
        <v>SANYI LIGHT</v>
      </c>
      <c r="E36" s="12">
        <f>Cod_Gen6[[#This Row],[Modelo]]</f>
        <v>720</v>
      </c>
      <c r="F36" s="12">
        <f>Cod_Gen6[[#This Row],[N* Serie]]</f>
        <v>0</v>
      </c>
      <c r="G36" s="9"/>
      <c r="H36" s="3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ht="15" x14ac:dyDescent="0.2">
      <c r="A37" s="11">
        <v>36</v>
      </c>
      <c r="B37" s="12" t="str">
        <f>Cod_Gen6[[#This Row],[Codigo]]</f>
        <v>BASA720-4</v>
      </c>
      <c r="C37" s="12" t="str">
        <f>Cod_Gen6[[#This Row],[Tipo de Equipo]]</f>
        <v>BARRA STROBE</v>
      </c>
      <c r="D37" s="12" t="str">
        <f>Cod_Gen6[[#This Row],[Marca]]</f>
        <v>SANYI LIGHT</v>
      </c>
      <c r="E37" s="12">
        <f>Cod_Gen6[[#This Row],[Modelo]]</f>
        <v>720</v>
      </c>
      <c r="F37" s="12">
        <f>Cod_Gen6[[#This Row],[N* Serie]]</f>
        <v>0</v>
      </c>
      <c r="G37" s="8"/>
      <c r="H37" s="40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ht="15" x14ac:dyDescent="0.2">
      <c r="A38" s="11">
        <v>37</v>
      </c>
      <c r="B38" s="12" t="str">
        <f>Cod_Gen6[[#This Row],[Codigo]]</f>
        <v>BASA720-5</v>
      </c>
      <c r="C38" s="12" t="str">
        <f>Cod_Gen6[[#This Row],[Tipo de Equipo]]</f>
        <v>BARRA STROBE</v>
      </c>
      <c r="D38" s="12" t="str">
        <f>Cod_Gen6[[#This Row],[Marca]]</f>
        <v>SANYI LIGHT</v>
      </c>
      <c r="E38" s="12">
        <f>Cod_Gen6[[#This Row],[Modelo]]</f>
        <v>720</v>
      </c>
      <c r="F38" s="12">
        <f>Cod_Gen6[[#This Row],[N* Serie]]</f>
        <v>0</v>
      </c>
      <c r="G38" s="9"/>
      <c r="H38" s="3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2" ht="15" x14ac:dyDescent="0.2">
      <c r="A39" s="11">
        <v>38</v>
      </c>
      <c r="B39" s="12" t="str">
        <f>Cod_Gen6[[#This Row],[Codigo]]</f>
        <v>BASA720-6</v>
      </c>
      <c r="C39" s="12" t="str">
        <f>Cod_Gen6[[#This Row],[Tipo de Equipo]]</f>
        <v>BARRA STROBE</v>
      </c>
      <c r="D39" s="12" t="str">
        <f>Cod_Gen6[[#This Row],[Marca]]</f>
        <v>SANYI LIGHT</v>
      </c>
      <c r="E39" s="12">
        <f>Cod_Gen6[[#This Row],[Modelo]]</f>
        <v>720</v>
      </c>
      <c r="F39" s="12">
        <f>Cod_Gen6[[#This Row],[N* Serie]]</f>
        <v>0</v>
      </c>
      <c r="G39" s="8"/>
      <c r="H39" s="40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x14ac:dyDescent="0.2">
      <c r="A40" s="11">
        <v>39</v>
      </c>
      <c r="B40" s="12" t="str">
        <f>Cod_Gen6[[#This Row],[Codigo]]</f>
        <v>BASA720-7</v>
      </c>
      <c r="C40" s="12" t="str">
        <f>Cod_Gen6[[#This Row],[Tipo de Equipo]]</f>
        <v>BARRA STROBE</v>
      </c>
      <c r="D40" s="12" t="str">
        <f>Cod_Gen6[[#This Row],[Marca]]</f>
        <v>SANYI LIGHT</v>
      </c>
      <c r="E40" s="12">
        <f>Cod_Gen6[[#This Row],[Modelo]]</f>
        <v>720</v>
      </c>
      <c r="F40" s="12">
        <f>Cod_Gen6[[#This Row],[N* Serie]]</f>
        <v>0</v>
      </c>
      <c r="G40" s="9"/>
      <c r="H40" s="3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x14ac:dyDescent="0.2">
      <c r="A41" s="11">
        <v>40</v>
      </c>
      <c r="B41" s="12" t="str">
        <f>Cod_Gen6[[#This Row],[Codigo]]</f>
        <v>BASA720-8</v>
      </c>
      <c r="C41" s="12" t="str">
        <f>Cod_Gen6[[#This Row],[Tipo de Equipo]]</f>
        <v>BARRA STROBE</v>
      </c>
      <c r="D41" s="12" t="str">
        <f>Cod_Gen6[[#This Row],[Marca]]</f>
        <v>SANYI LIGHT</v>
      </c>
      <c r="E41" s="12">
        <f>Cod_Gen6[[#This Row],[Modelo]]</f>
        <v>720</v>
      </c>
      <c r="F41" s="12">
        <f>Cod_Gen6[[#This Row],[N* Serie]]</f>
        <v>0</v>
      </c>
      <c r="G41" s="8"/>
      <c r="H41" s="40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x14ac:dyDescent="0.2">
      <c r="A42" s="11">
        <v>41</v>
      </c>
      <c r="B42" s="12" t="str">
        <f>Cod_Gen6[[#This Row],[Codigo]]</f>
        <v>BATE6X5-1</v>
      </c>
      <c r="C42" s="12" t="str">
        <f>Cod_Gen6[[#This Row],[Tipo de Equipo]]</f>
        <v>BARRAS PIN</v>
      </c>
      <c r="D42" s="12" t="str">
        <f>Cod_Gen6[[#This Row],[Marca]]</f>
        <v>TECHSHOW</v>
      </c>
      <c r="E42" s="12" t="str">
        <f>Cod_Gen6[[#This Row],[Modelo]]</f>
        <v>6X5W</v>
      </c>
      <c r="F42" s="12">
        <f>Cod_Gen6[[#This Row],[N* Serie]]</f>
        <v>0</v>
      </c>
      <c r="G42" s="9"/>
      <c r="H42" s="3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x14ac:dyDescent="0.2">
      <c r="A43" s="11">
        <v>42</v>
      </c>
      <c r="B43" s="12" t="str">
        <f>Cod_Gen6[[#This Row],[Codigo]]</f>
        <v>BATE6X5-2</v>
      </c>
      <c r="C43" s="12" t="str">
        <f>Cod_Gen6[[#This Row],[Tipo de Equipo]]</f>
        <v>BARRAS PIN</v>
      </c>
      <c r="D43" s="12" t="str">
        <f>Cod_Gen6[[#This Row],[Marca]]</f>
        <v>TECHSHOW</v>
      </c>
      <c r="E43" s="12" t="str">
        <f>Cod_Gen6[[#This Row],[Modelo]]</f>
        <v>6X5W</v>
      </c>
      <c r="F43" s="12">
        <f>Cod_Gen6[[#This Row],[N* Serie]]</f>
        <v>0</v>
      </c>
      <c r="G43" s="8"/>
      <c r="H43" s="4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x14ac:dyDescent="0.2">
      <c r="A44" s="11">
        <v>43</v>
      </c>
      <c r="B44" s="12" t="str">
        <f>Cod_Gen6[[#This Row],[Codigo]]</f>
        <v>BATE6X5-3</v>
      </c>
      <c r="C44" s="12" t="str">
        <f>Cod_Gen6[[#This Row],[Tipo de Equipo]]</f>
        <v>BARRAS PIN</v>
      </c>
      <c r="D44" s="12" t="str">
        <f>Cod_Gen6[[#This Row],[Marca]]</f>
        <v>TECHSHOW</v>
      </c>
      <c r="E44" s="12" t="str">
        <f>Cod_Gen6[[#This Row],[Modelo]]</f>
        <v>6X5W</v>
      </c>
      <c r="F44" s="12">
        <f>Cod_Gen6[[#This Row],[N* Serie]]</f>
        <v>0</v>
      </c>
      <c r="G44" s="78"/>
      <c r="H44" s="13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x14ac:dyDescent="0.2">
      <c r="A45" s="11">
        <v>44</v>
      </c>
      <c r="B45" s="12" t="str">
        <f>Cod_Gen6[[#This Row],[Codigo]]</f>
        <v>BATE6X5-4</v>
      </c>
      <c r="C45" s="12" t="str">
        <f>Cod_Gen6[[#This Row],[Tipo de Equipo]]</f>
        <v>BARRAS PIN</v>
      </c>
      <c r="D45" s="12" t="str">
        <f>Cod_Gen6[[#This Row],[Marca]]</f>
        <v>TECHSHOW</v>
      </c>
      <c r="E45" s="12" t="str">
        <f>Cod_Gen6[[#This Row],[Modelo]]</f>
        <v>6X5W</v>
      </c>
      <c r="F45" s="12">
        <f>Cod_Gen6[[#This Row],[N* Serie]]</f>
        <v>0</v>
      </c>
      <c r="G45" s="78"/>
      <c r="H45" s="13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x14ac:dyDescent="0.2">
      <c r="A46" s="11">
        <v>45</v>
      </c>
      <c r="B46" s="12" t="str">
        <f>Cod_Gen6[[#This Row],[Codigo]]</f>
        <v>BAKE6X2-1</v>
      </c>
      <c r="C46" s="12" t="str">
        <f>Cod_Gen6[[#This Row],[Tipo de Equipo]]</f>
        <v>BARRAS PIN</v>
      </c>
      <c r="D46" s="12" t="str">
        <f>Cod_Gen6[[#This Row],[Marca]]</f>
        <v>KEMAX</v>
      </c>
      <c r="E46" s="12" t="str">
        <f>Cod_Gen6[[#This Row],[Modelo]]</f>
        <v>6X20W</v>
      </c>
      <c r="F46" s="12">
        <f>Cod_Gen6[[#This Row],[N* Serie]]</f>
        <v>0</v>
      </c>
      <c r="G46" s="78"/>
      <c r="H46" s="13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x14ac:dyDescent="0.2">
      <c r="A47" s="11">
        <v>46</v>
      </c>
      <c r="B47" s="12" t="str">
        <f>Cod_Gen6[[#This Row],[Codigo]]</f>
        <v>BAKE6X2-2</v>
      </c>
      <c r="C47" s="12" t="str">
        <f>Cod_Gen6[[#This Row],[Tipo de Equipo]]</f>
        <v>BARRAS PIN</v>
      </c>
      <c r="D47" s="12" t="str">
        <f>Cod_Gen6[[#This Row],[Marca]]</f>
        <v>KEMAX</v>
      </c>
      <c r="E47" s="12" t="str">
        <f>Cod_Gen6[[#This Row],[Modelo]]</f>
        <v>6X20W</v>
      </c>
      <c r="F47" s="12">
        <f>Cod_Gen6[[#This Row],[N* Serie]]</f>
        <v>0</v>
      </c>
      <c r="G47" s="78"/>
      <c r="H47" s="13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x14ac:dyDescent="0.2">
      <c r="A48" s="11">
        <v>47</v>
      </c>
      <c r="B48" s="12" t="str">
        <f>Cod_Gen6[[#This Row],[Codigo]]</f>
        <v>BAKE6X2-3</v>
      </c>
      <c r="C48" s="12" t="str">
        <f>Cod_Gen6[[#This Row],[Tipo de Equipo]]</f>
        <v>BARRAS PIN</v>
      </c>
      <c r="D48" s="12" t="str">
        <f>Cod_Gen6[[#This Row],[Marca]]</f>
        <v>KEMAX</v>
      </c>
      <c r="E48" s="12" t="str">
        <f>Cod_Gen6[[#This Row],[Modelo]]</f>
        <v>6X20W</v>
      </c>
      <c r="F48" s="12">
        <f>Cod_Gen6[[#This Row],[N* Serie]]</f>
        <v>0</v>
      </c>
      <c r="G48" s="9"/>
      <c r="H48" s="3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x14ac:dyDescent="0.2">
      <c r="A49" s="11">
        <v>48</v>
      </c>
      <c r="B49" s="12" t="str">
        <f>Cod_Gen6[[#This Row],[Codigo]]</f>
        <v>BAKE6X2-4</v>
      </c>
      <c r="C49" s="12" t="str">
        <f>Cod_Gen6[[#This Row],[Tipo de Equipo]]</f>
        <v>BARRAS PIN</v>
      </c>
      <c r="D49" s="12" t="str">
        <f>Cod_Gen6[[#This Row],[Marca]]</f>
        <v>KEMAX</v>
      </c>
      <c r="E49" s="12" t="str">
        <f>Cod_Gen6[[#This Row],[Modelo]]</f>
        <v>6X20W</v>
      </c>
      <c r="F49" s="12">
        <f>Cod_Gen6[[#This Row],[N* Serie]]</f>
        <v>0</v>
      </c>
      <c r="G49" s="8"/>
      <c r="H49" s="40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x14ac:dyDescent="0.2">
      <c r="A50" s="11">
        <v>49</v>
      </c>
      <c r="B50" s="12" t="str">
        <f>Cod_Gen6[[#This Row],[Codigo]]</f>
        <v>BIGEN/A-1</v>
      </c>
      <c r="C50" s="12" t="str">
        <f>Cod_Gen6[[#This Row],[Tipo de Equipo]]</f>
        <v>BIOMBO</v>
      </c>
      <c r="D50" s="12" t="str">
        <f>Cod_Gen6[[#This Row],[Marca]]</f>
        <v>GENERICO</v>
      </c>
      <c r="E50" s="12" t="str">
        <f>Cod_Gen6[[#This Row],[Modelo]]</f>
        <v>N/A</v>
      </c>
      <c r="F50" s="12">
        <f>Cod_Gen6[[#This Row],[N* Serie]]</f>
        <v>0</v>
      </c>
      <c r="G50" s="9"/>
      <c r="H50" s="3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5" x14ac:dyDescent="0.2">
      <c r="A51" s="11">
        <v>50</v>
      </c>
      <c r="B51" s="12" t="str">
        <f>Cod_Gen6[[#This Row],[Codigo]]</f>
        <v>BIGEN/A-2</v>
      </c>
      <c r="C51" s="12" t="str">
        <f>Cod_Gen6[[#This Row],[Tipo de Equipo]]</f>
        <v>BIOMBO</v>
      </c>
      <c r="D51" s="12" t="str">
        <f>Cod_Gen6[[#This Row],[Marca]]</f>
        <v>GENERICO</v>
      </c>
      <c r="E51" s="12" t="str">
        <f>Cod_Gen6[[#This Row],[Modelo]]</f>
        <v>N/A</v>
      </c>
      <c r="F51" s="12">
        <f>Cod_Gen6[[#This Row],[N* Serie]]</f>
        <v>0</v>
      </c>
      <c r="G51" s="8"/>
      <c r="H51" s="4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spans="1:22" ht="15" x14ac:dyDescent="0.2">
      <c r="A52" s="11">
        <v>51</v>
      </c>
      <c r="B52" s="12" t="str">
        <f>Cod_Gen6[[#This Row],[Codigo]]</f>
        <v>BIGEN/A-3</v>
      </c>
      <c r="C52" s="12" t="str">
        <f>Cod_Gen6[[#This Row],[Tipo de Equipo]]</f>
        <v>BIOMBO</v>
      </c>
      <c r="D52" s="12" t="str">
        <f>Cod_Gen6[[#This Row],[Marca]]</f>
        <v>GENERICO</v>
      </c>
      <c r="E52" s="12" t="str">
        <f>Cod_Gen6[[#This Row],[Modelo]]</f>
        <v>N/A</v>
      </c>
      <c r="F52" s="12">
        <f>Cod_Gen6[[#This Row],[N* Serie]]</f>
        <v>0</v>
      </c>
      <c r="G52" s="9"/>
      <c r="H52" s="3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1:22" ht="15" x14ac:dyDescent="0.2">
      <c r="A53" s="11">
        <v>52</v>
      </c>
      <c r="B53" s="12" t="str">
        <f>Cod_Gen6[[#This Row],[Codigo]]</f>
        <v>BIGEN/A-4</v>
      </c>
      <c r="C53" s="12" t="str">
        <f>Cod_Gen6[[#This Row],[Tipo de Equipo]]</f>
        <v>BIOMBO</v>
      </c>
      <c r="D53" s="12" t="str">
        <f>Cod_Gen6[[#This Row],[Marca]]</f>
        <v>GENERICO</v>
      </c>
      <c r="E53" s="12" t="str">
        <f>Cod_Gen6[[#This Row],[Modelo]]</f>
        <v>N/A</v>
      </c>
      <c r="F53" s="12">
        <f>Cod_Gen6[[#This Row],[N* Serie]]</f>
        <v>0</v>
      </c>
      <c r="G53" s="8"/>
      <c r="H53" s="40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spans="1:22" ht="15" x14ac:dyDescent="0.2">
      <c r="A54" s="11">
        <v>53</v>
      </c>
      <c r="B54" s="12" t="str">
        <f>Cod_Gen6[[#This Row],[Codigo]]</f>
        <v>BIGEN/A-5</v>
      </c>
      <c r="C54" s="12" t="str">
        <f>Cod_Gen6[[#This Row],[Tipo de Equipo]]</f>
        <v>BIOMBO</v>
      </c>
      <c r="D54" s="12" t="str">
        <f>Cod_Gen6[[#This Row],[Marca]]</f>
        <v>GENERICO</v>
      </c>
      <c r="E54" s="12" t="str">
        <f>Cod_Gen6[[#This Row],[Modelo]]</f>
        <v>N/A</v>
      </c>
      <c r="F54" s="12">
        <f>Cod_Gen6[[#This Row],[N* Serie]]</f>
        <v>0</v>
      </c>
      <c r="G54" s="9"/>
      <c r="H54" s="3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spans="1:22" ht="15" x14ac:dyDescent="0.2">
      <c r="A55" s="11">
        <v>54</v>
      </c>
      <c r="B55" s="12" t="str">
        <f>Cod_Gen6[[#This Row],[Codigo]]</f>
        <v>BIGEN/A-6</v>
      </c>
      <c r="C55" s="12" t="str">
        <f>Cod_Gen6[[#This Row],[Tipo de Equipo]]</f>
        <v>BIOMBO</v>
      </c>
      <c r="D55" s="12" t="str">
        <f>Cod_Gen6[[#This Row],[Marca]]</f>
        <v>GENERICO</v>
      </c>
      <c r="E55" s="12" t="str">
        <f>Cod_Gen6[[#This Row],[Modelo]]</f>
        <v>N/A</v>
      </c>
      <c r="F55" s="12">
        <f>Cod_Gen6[[#This Row],[N* Serie]]</f>
        <v>0</v>
      </c>
      <c r="G55" s="8"/>
      <c r="H55" s="4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spans="1:22" ht="15" x14ac:dyDescent="0.2">
      <c r="A56" s="11">
        <v>55</v>
      </c>
      <c r="B56" s="12" t="str">
        <f>Cod_Gen6[[#This Row],[Codigo]]</f>
        <v>BOWIWIL-1</v>
      </c>
      <c r="C56" s="12" t="str">
        <f>Cod_Gen6[[#This Row],[Tipo de Equipo]]</f>
        <v>BOLA DISCO 16"</v>
      </c>
      <c r="D56" s="12" t="str">
        <f>Cod_Gen6[[#This Row],[Marca]]</f>
        <v>WILDPRO</v>
      </c>
      <c r="E56" s="12" t="str">
        <f>Cod_Gen6[[#This Row],[Modelo]]</f>
        <v>WILDPRO</v>
      </c>
      <c r="F56" s="12">
        <f>Cod_Gen6[[#This Row],[N* Serie]]</f>
        <v>0</v>
      </c>
      <c r="G56" s="9"/>
      <c r="H56" s="3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1:22" ht="15" x14ac:dyDescent="0.2">
      <c r="A57" s="11">
        <v>56</v>
      </c>
      <c r="B57" s="12" t="str">
        <f>Cod_Gen6[[#This Row],[Codigo]]</f>
        <v>BOWIWIL-2</v>
      </c>
      <c r="C57" s="12" t="str">
        <f>Cod_Gen6[[#This Row],[Tipo de Equipo]]</f>
        <v>BOLA DISCO 16"</v>
      </c>
      <c r="D57" s="12" t="str">
        <f>Cod_Gen6[[#This Row],[Marca]]</f>
        <v>WILDPRO</v>
      </c>
      <c r="E57" s="12" t="str">
        <f>Cod_Gen6[[#This Row],[Modelo]]</f>
        <v>WILDPRO</v>
      </c>
      <c r="F57" s="12">
        <f>Cod_Gen6[[#This Row],[N* Serie]]</f>
        <v>0</v>
      </c>
      <c r="G57" s="8"/>
      <c r="H57" s="40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spans="1:22" ht="15" x14ac:dyDescent="0.2">
      <c r="A58" s="11">
        <v>57</v>
      </c>
      <c r="B58" s="12" t="str">
        <f>Cod_Gen6[[#This Row],[Codigo]]</f>
        <v>BOWIWIL-3</v>
      </c>
      <c r="C58" s="12" t="str">
        <f>Cod_Gen6[[#This Row],[Tipo de Equipo]]</f>
        <v>BOLA DISCO 16"</v>
      </c>
      <c r="D58" s="12" t="str">
        <f>Cod_Gen6[[#This Row],[Marca]]</f>
        <v>WILDPRO</v>
      </c>
      <c r="E58" s="12" t="str">
        <f>Cod_Gen6[[#This Row],[Modelo]]</f>
        <v>WILDPRO</v>
      </c>
      <c r="F58" s="12">
        <f>Cod_Gen6[[#This Row],[N* Serie]]</f>
        <v>0</v>
      </c>
      <c r="G58" s="9"/>
      <c r="H58" s="3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spans="1:22" ht="15" x14ac:dyDescent="0.2">
      <c r="A59" s="11">
        <v>58</v>
      </c>
      <c r="B59" s="12" t="str">
        <f>Cod_Gen6[[#This Row],[Codigo]]</f>
        <v>BOWIWIL-4</v>
      </c>
      <c r="C59" s="12" t="str">
        <f>Cod_Gen6[[#This Row],[Tipo de Equipo]]</f>
        <v>BOLA DISCO 16"</v>
      </c>
      <c r="D59" s="12" t="str">
        <f>Cod_Gen6[[#This Row],[Marca]]</f>
        <v>WILDPRO</v>
      </c>
      <c r="E59" s="12" t="str">
        <f>Cod_Gen6[[#This Row],[Modelo]]</f>
        <v>WILDPRO</v>
      </c>
      <c r="F59" s="12">
        <f>Cod_Gen6[[#This Row],[N* Serie]]</f>
        <v>0</v>
      </c>
      <c r="G59" s="8"/>
      <c r="H59" s="40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spans="1:22" ht="15" x14ac:dyDescent="0.2">
      <c r="A60" s="11">
        <v>59</v>
      </c>
      <c r="B60" s="12" t="str">
        <f>Cod_Gen6[[#This Row],[Codigo]]</f>
        <v>BOWIWIL-5</v>
      </c>
      <c r="C60" s="12" t="str">
        <f>Cod_Gen6[[#This Row],[Tipo de Equipo]]</f>
        <v>BOLA DISCO 16"</v>
      </c>
      <c r="D60" s="12" t="str">
        <f>Cod_Gen6[[#This Row],[Marca]]</f>
        <v>WILDPRO</v>
      </c>
      <c r="E60" s="12" t="str">
        <f>Cod_Gen6[[#This Row],[Modelo]]</f>
        <v>WILDPRO</v>
      </c>
      <c r="F60" s="12">
        <f>Cod_Gen6[[#This Row],[N* Serie]]</f>
        <v>0</v>
      </c>
      <c r="G60" s="9"/>
      <c r="H60" s="3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1:22" ht="15" x14ac:dyDescent="0.2">
      <c r="A61" s="11">
        <v>60</v>
      </c>
      <c r="B61" s="12" t="str">
        <f>Cod_Gen6[[#This Row],[Codigo]]</f>
        <v>BOWIWIL-6</v>
      </c>
      <c r="C61" s="12" t="str">
        <f>Cod_Gen6[[#This Row],[Tipo de Equipo]]</f>
        <v>BOLA DISCO 16"</v>
      </c>
      <c r="D61" s="12" t="str">
        <f>Cod_Gen6[[#This Row],[Marca]]</f>
        <v>WILDPRO</v>
      </c>
      <c r="E61" s="12" t="str">
        <f>Cod_Gen6[[#This Row],[Modelo]]</f>
        <v>WILDPRO</v>
      </c>
      <c r="F61" s="12">
        <f>Cod_Gen6[[#This Row],[N* Serie]]</f>
        <v>0</v>
      </c>
      <c r="G61" s="8"/>
      <c r="H61" s="4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1:22" ht="15" x14ac:dyDescent="0.2">
      <c r="A62" s="11">
        <v>61</v>
      </c>
      <c r="B62" s="12" t="str">
        <f>Cod_Gen6[[#This Row],[Codigo]]</f>
        <v>BOWIWIL-7</v>
      </c>
      <c r="C62" s="12" t="str">
        <f>Cod_Gen6[[#This Row],[Tipo de Equipo]]</f>
        <v>BOLA DISCO 16"</v>
      </c>
      <c r="D62" s="12" t="str">
        <f>Cod_Gen6[[#This Row],[Marca]]</f>
        <v>WILDPRO</v>
      </c>
      <c r="E62" s="12" t="str">
        <f>Cod_Gen6[[#This Row],[Modelo]]</f>
        <v>WILDPRO</v>
      </c>
      <c r="F62" s="12">
        <f>Cod_Gen6[[#This Row],[N* Serie]]</f>
        <v>0</v>
      </c>
      <c r="G62" s="9"/>
      <c r="H62" s="3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spans="1:22" ht="15" x14ac:dyDescent="0.2">
      <c r="A63" s="11">
        <v>62</v>
      </c>
      <c r="B63" s="12" t="str">
        <f>Cod_Gen6[[#This Row],[Codigo]]</f>
        <v>BOWIWIL-8</v>
      </c>
      <c r="C63" s="12" t="str">
        <f>Cod_Gen6[[#This Row],[Tipo de Equipo]]</f>
        <v>BOLA DISCO 16"</v>
      </c>
      <c r="D63" s="12" t="str">
        <f>Cod_Gen6[[#This Row],[Marca]]</f>
        <v>WILDPRO</v>
      </c>
      <c r="E63" s="12" t="str">
        <f>Cod_Gen6[[#This Row],[Modelo]]</f>
        <v>WILDPRO</v>
      </c>
      <c r="F63" s="12">
        <f>Cod_Gen6[[#This Row],[N* Serie]]</f>
        <v>0</v>
      </c>
      <c r="G63" s="8"/>
      <c r="H63" s="40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spans="1:22" ht="15" x14ac:dyDescent="0.2">
      <c r="A64" s="11">
        <v>63</v>
      </c>
      <c r="B64" s="12" t="str">
        <f>Cod_Gen6[[#This Row],[Codigo]]</f>
        <v>BOWIWIL-9</v>
      </c>
      <c r="C64" s="12" t="str">
        <f>Cod_Gen6[[#This Row],[Tipo de Equipo]]</f>
        <v>BOLA DISCO 16"</v>
      </c>
      <c r="D64" s="12" t="str">
        <f>Cod_Gen6[[#This Row],[Marca]]</f>
        <v>WILDPRO</v>
      </c>
      <c r="E64" s="12" t="str">
        <f>Cod_Gen6[[#This Row],[Modelo]]</f>
        <v>WILDPRO</v>
      </c>
      <c r="F64" s="12">
        <f>Cod_Gen6[[#This Row],[N* Serie]]</f>
        <v>0</v>
      </c>
      <c r="G64" s="9"/>
      <c r="H64" s="3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spans="1:22" ht="15" x14ac:dyDescent="0.2">
      <c r="A65" s="11">
        <v>64</v>
      </c>
      <c r="B65" s="12" t="str">
        <f>Cod_Gen6[[#This Row],[Codigo]]</f>
        <v>BOWIWIL-10</v>
      </c>
      <c r="C65" s="12" t="str">
        <f>Cod_Gen6[[#This Row],[Tipo de Equipo]]</f>
        <v>BOLA DISCO 16"</v>
      </c>
      <c r="D65" s="12" t="str">
        <f>Cod_Gen6[[#This Row],[Marca]]</f>
        <v>WILDPRO</v>
      </c>
      <c r="E65" s="12" t="str">
        <f>Cod_Gen6[[#This Row],[Modelo]]</f>
        <v>WILDPRO</v>
      </c>
      <c r="F65" s="12">
        <f>Cod_Gen6[[#This Row],[N* Serie]]</f>
        <v>0</v>
      </c>
      <c r="G65" s="8"/>
      <c r="H65" s="40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1:22" ht="15" x14ac:dyDescent="0.2">
      <c r="A66" s="11">
        <v>65</v>
      </c>
      <c r="B66" s="12" t="str">
        <f>Cod_Gen6[[#This Row],[Codigo]]</f>
        <v>BOWIWIL-11</v>
      </c>
      <c r="C66" s="12" t="str">
        <f>Cod_Gen6[[#This Row],[Tipo de Equipo]]</f>
        <v>BOLA DISCO 16"</v>
      </c>
      <c r="D66" s="12" t="str">
        <f>Cod_Gen6[[#This Row],[Marca]]</f>
        <v>WILDPRO</v>
      </c>
      <c r="E66" s="12" t="str">
        <f>Cod_Gen6[[#This Row],[Modelo]]</f>
        <v>WILDPRO</v>
      </c>
      <c r="F66" s="12">
        <f>Cod_Gen6[[#This Row],[N* Serie]]</f>
        <v>0</v>
      </c>
      <c r="G66" s="9"/>
      <c r="H66" s="3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spans="1:22" ht="15" x14ac:dyDescent="0.2">
      <c r="A67" s="11">
        <v>66</v>
      </c>
      <c r="B67" s="12" t="str">
        <f>Cod_Gen6[[#This Row],[Codigo]]</f>
        <v>BOWIWIL-12</v>
      </c>
      <c r="C67" s="12" t="str">
        <f>Cod_Gen6[[#This Row],[Tipo de Equipo]]</f>
        <v>BOLA DISCO 16"</v>
      </c>
      <c r="D67" s="12" t="str">
        <f>Cod_Gen6[[#This Row],[Marca]]</f>
        <v>WILDPRO</v>
      </c>
      <c r="E67" s="12" t="str">
        <f>Cod_Gen6[[#This Row],[Modelo]]</f>
        <v>WILDPRO</v>
      </c>
      <c r="F67" s="12">
        <f>Cod_Gen6[[#This Row],[N* Serie]]</f>
        <v>0</v>
      </c>
      <c r="G67" s="8"/>
      <c r="H67" s="40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spans="1:22" ht="15" x14ac:dyDescent="0.2">
      <c r="A68" s="11">
        <v>67</v>
      </c>
      <c r="B68" s="12" t="str">
        <f>Cod_Gen6[[#This Row],[Codigo]]</f>
        <v>BOWIWIL-13</v>
      </c>
      <c r="C68" s="12" t="str">
        <f>Cod_Gen6[[#This Row],[Tipo de Equipo]]</f>
        <v>BOLA DISCO 16"</v>
      </c>
      <c r="D68" s="12" t="str">
        <f>Cod_Gen6[[#This Row],[Marca]]</f>
        <v>WILDPRO</v>
      </c>
      <c r="E68" s="12" t="str">
        <f>Cod_Gen6[[#This Row],[Modelo]]</f>
        <v>WILDPRO</v>
      </c>
      <c r="F68" s="12">
        <f>Cod_Gen6[[#This Row],[N* Serie]]</f>
        <v>0</v>
      </c>
      <c r="G68" s="9"/>
      <c r="H68" s="3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spans="1:22" ht="15" x14ac:dyDescent="0.2">
      <c r="A69" s="11">
        <v>68</v>
      </c>
      <c r="B69" s="12" t="str">
        <f>Cod_Gen6[[#This Row],[Codigo]]</f>
        <v>BOWIWIL-14</v>
      </c>
      <c r="C69" s="12" t="str">
        <f>Cod_Gen6[[#This Row],[Tipo de Equipo]]</f>
        <v>BOLA DISCO 16"</v>
      </c>
      <c r="D69" s="12" t="str">
        <f>Cod_Gen6[[#This Row],[Marca]]</f>
        <v>WILDPRO</v>
      </c>
      <c r="E69" s="12" t="str">
        <f>Cod_Gen6[[#This Row],[Modelo]]</f>
        <v>WILDPRO</v>
      </c>
      <c r="F69" s="12">
        <f>Cod_Gen6[[#This Row],[N* Serie]]</f>
        <v>0</v>
      </c>
      <c r="G69" s="8"/>
      <c r="H69" s="40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spans="1:22" ht="15" x14ac:dyDescent="0.2">
      <c r="A70" s="11">
        <v>69</v>
      </c>
      <c r="B70" s="12" t="str">
        <f>Cod_Gen6[[#This Row],[Codigo]]</f>
        <v>BOWIWIL-15</v>
      </c>
      <c r="C70" s="12" t="str">
        <f>Cod_Gen6[[#This Row],[Tipo de Equipo]]</f>
        <v>BOLA DISCO 16"</v>
      </c>
      <c r="D70" s="12" t="str">
        <f>Cod_Gen6[[#This Row],[Marca]]</f>
        <v>WILDPRO</v>
      </c>
      <c r="E70" s="12" t="str">
        <f>Cod_Gen6[[#This Row],[Modelo]]</f>
        <v>WILDPRO</v>
      </c>
      <c r="F70" s="12">
        <f>Cod_Gen6[[#This Row],[N* Serie]]</f>
        <v>0</v>
      </c>
      <c r="G70" s="9"/>
      <c r="H70" s="3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2" ht="15" x14ac:dyDescent="0.2">
      <c r="A71" s="11">
        <v>70</v>
      </c>
      <c r="B71" s="12" t="str">
        <f>Cod_Gen6[[#This Row],[Codigo]]</f>
        <v>BOWIWIL-16</v>
      </c>
      <c r="C71" s="12" t="str">
        <f>Cod_Gen6[[#This Row],[Tipo de Equipo]]</f>
        <v>BOLA DISCO 16"</v>
      </c>
      <c r="D71" s="12" t="str">
        <f>Cod_Gen6[[#This Row],[Marca]]</f>
        <v>WILDPRO</v>
      </c>
      <c r="E71" s="12" t="str">
        <f>Cod_Gen6[[#This Row],[Modelo]]</f>
        <v>WILDPRO</v>
      </c>
      <c r="F71" s="12">
        <f>Cod_Gen6[[#This Row],[N* Serie]]</f>
        <v>0</v>
      </c>
      <c r="G71" s="8"/>
      <c r="H71" s="40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spans="1:22" ht="15" x14ac:dyDescent="0.2">
      <c r="A72" s="11">
        <v>71</v>
      </c>
      <c r="B72" s="12" t="str">
        <f>Cod_Gen6[[#This Row],[Codigo]]</f>
        <v>BOWIWIL-17</v>
      </c>
      <c r="C72" s="12" t="str">
        <f>Cod_Gen6[[#This Row],[Tipo de Equipo]]</f>
        <v>BOLA DISCO 16"</v>
      </c>
      <c r="D72" s="12" t="str">
        <f>Cod_Gen6[[#This Row],[Marca]]</f>
        <v>WILDPRO</v>
      </c>
      <c r="E72" s="12" t="str">
        <f>Cod_Gen6[[#This Row],[Modelo]]</f>
        <v>WILDPRO</v>
      </c>
      <c r="F72" s="12">
        <f>Cod_Gen6[[#This Row],[N* Serie]]</f>
        <v>0</v>
      </c>
      <c r="G72" s="9"/>
      <c r="H72" s="3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spans="1:22" ht="15" x14ac:dyDescent="0.2">
      <c r="A73" s="11">
        <v>72</v>
      </c>
      <c r="B73" s="12" t="str">
        <f>Cod_Gen6[[#This Row],[Codigo]]</f>
        <v>BOWIWIL-18</v>
      </c>
      <c r="C73" s="12" t="str">
        <f>Cod_Gen6[[#This Row],[Tipo de Equipo]]</f>
        <v>BOLA DISCO 16"</v>
      </c>
      <c r="D73" s="12" t="str">
        <f>Cod_Gen6[[#This Row],[Marca]]</f>
        <v>WILDPRO</v>
      </c>
      <c r="E73" s="12" t="str">
        <f>Cod_Gen6[[#This Row],[Modelo]]</f>
        <v>WILDPRO</v>
      </c>
      <c r="F73" s="12">
        <f>Cod_Gen6[[#This Row],[N* Serie]]</f>
        <v>0</v>
      </c>
      <c r="G73" s="8"/>
      <c r="H73" s="40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spans="1:22" ht="15" x14ac:dyDescent="0.2">
      <c r="A74" s="11">
        <v>73</v>
      </c>
      <c r="B74" s="12" t="str">
        <f>Cod_Gen6[[#This Row],[Codigo]]</f>
        <v>BOWIWIL-19</v>
      </c>
      <c r="C74" s="12" t="str">
        <f>Cod_Gen6[[#This Row],[Tipo de Equipo]]</f>
        <v>BOLA DISCO 16"</v>
      </c>
      <c r="D74" s="12" t="str">
        <f>Cod_Gen6[[#This Row],[Marca]]</f>
        <v>WILDPRO</v>
      </c>
      <c r="E74" s="12" t="str">
        <f>Cod_Gen6[[#This Row],[Modelo]]</f>
        <v>WILDPRO</v>
      </c>
      <c r="F74" s="12">
        <f>Cod_Gen6[[#This Row],[N* Serie]]</f>
        <v>0</v>
      </c>
      <c r="G74" s="9"/>
      <c r="H74" s="3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spans="1:22" ht="15" x14ac:dyDescent="0.2">
      <c r="A75" s="11">
        <v>74</v>
      </c>
      <c r="B75" s="12" t="str">
        <f>Cod_Gen6[[#This Row],[Codigo]]</f>
        <v>BOWIWIL-20</v>
      </c>
      <c r="C75" s="12" t="str">
        <f>Cod_Gen6[[#This Row],[Tipo de Equipo]]</f>
        <v>BOLA DISCO 16"</v>
      </c>
      <c r="D75" s="12" t="str">
        <f>Cod_Gen6[[#This Row],[Marca]]</f>
        <v>WILDPRO</v>
      </c>
      <c r="E75" s="12" t="str">
        <f>Cod_Gen6[[#This Row],[Modelo]]</f>
        <v>WILDPRO</v>
      </c>
      <c r="F75" s="12">
        <f>Cod_Gen6[[#This Row],[N* Serie]]</f>
        <v>0</v>
      </c>
      <c r="G75" s="8"/>
      <c r="H75" s="40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spans="1:22" ht="15" x14ac:dyDescent="0.2">
      <c r="A76" s="11">
        <v>75</v>
      </c>
      <c r="B76" s="12" t="str">
        <f>Cod_Gen6[[#This Row],[Codigo]]</f>
        <v>BOWIWIL-1</v>
      </c>
      <c r="C76" s="12" t="str">
        <f>Cod_Gen6[[#This Row],[Tipo de Equipo]]</f>
        <v>BOLA DISCO 21"</v>
      </c>
      <c r="D76" s="12" t="str">
        <f>Cod_Gen6[[#This Row],[Marca]]</f>
        <v>WILDPRO</v>
      </c>
      <c r="E76" s="12" t="str">
        <f>Cod_Gen6[[#This Row],[Modelo]]</f>
        <v>WILDPRO</v>
      </c>
      <c r="F76" s="12">
        <f>Cod_Gen6[[#This Row],[N* Serie]]</f>
        <v>0</v>
      </c>
      <c r="G76" s="9"/>
      <c r="H76" s="3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1:22" ht="15" x14ac:dyDescent="0.2">
      <c r="A77" s="11">
        <v>76</v>
      </c>
      <c r="B77" s="12" t="str">
        <f>Cod_Gen6[[#This Row],[Codigo]]</f>
        <v>CAAO7R-1</v>
      </c>
      <c r="C77" s="12" t="str">
        <f>Cod_Gen6[[#This Row],[Tipo de Equipo]]</f>
        <v>CABEZA MOVIL BEAM</v>
      </c>
      <c r="D77" s="12" t="str">
        <f>Cod_Gen6[[#This Row],[Marca]]</f>
        <v>AOLAIT</v>
      </c>
      <c r="E77" s="12" t="str">
        <f>Cod_Gen6[[#This Row],[Modelo]]</f>
        <v>7R</v>
      </c>
      <c r="F77" s="12">
        <f>Cod_Gen6[[#This Row],[N* Serie]]</f>
        <v>0</v>
      </c>
      <c r="G77" s="8"/>
      <c r="H77" s="40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1:22" ht="15" x14ac:dyDescent="0.2">
      <c r="A78" s="11">
        <v>77</v>
      </c>
      <c r="B78" s="12" t="str">
        <f>Cod_Gen6[[#This Row],[Codigo]]</f>
        <v>CAAO7R-2</v>
      </c>
      <c r="C78" s="12" t="str">
        <f>Cod_Gen6[[#This Row],[Tipo de Equipo]]</f>
        <v>CABEZA MOVIL BEAM</v>
      </c>
      <c r="D78" s="12" t="str">
        <f>Cod_Gen6[[#This Row],[Marca]]</f>
        <v>AOLAIT</v>
      </c>
      <c r="E78" s="12" t="str">
        <f>Cod_Gen6[[#This Row],[Modelo]]</f>
        <v>7R</v>
      </c>
      <c r="F78" s="12">
        <f>Cod_Gen6[[#This Row],[N* Serie]]</f>
        <v>0</v>
      </c>
      <c r="G78" s="9"/>
      <c r="H78" s="3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spans="1:22" ht="15" x14ac:dyDescent="0.2">
      <c r="A79" s="11">
        <v>78</v>
      </c>
      <c r="B79" s="12" t="str">
        <f>Cod_Gen6[[#This Row],[Codigo]]</f>
        <v>CAAO7R-3</v>
      </c>
      <c r="C79" s="12" t="str">
        <f>Cod_Gen6[[#This Row],[Tipo de Equipo]]</f>
        <v>CABEZA MOVIL BEAM</v>
      </c>
      <c r="D79" s="12" t="str">
        <f>Cod_Gen6[[#This Row],[Marca]]</f>
        <v>AOLAIT</v>
      </c>
      <c r="E79" s="12" t="str">
        <f>Cod_Gen6[[#This Row],[Modelo]]</f>
        <v>7R</v>
      </c>
      <c r="F79" s="12">
        <f>Cod_Gen6[[#This Row],[N* Serie]]</f>
        <v>0</v>
      </c>
      <c r="G79" s="8"/>
      <c r="H79" s="40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1:22" ht="15" x14ac:dyDescent="0.2">
      <c r="A80" s="11">
        <v>79</v>
      </c>
      <c r="B80" s="12" t="str">
        <f>Cod_Gen6[[#This Row],[Codigo]]</f>
        <v>CAAO7R-4</v>
      </c>
      <c r="C80" s="12" t="str">
        <f>Cod_Gen6[[#This Row],[Tipo de Equipo]]</f>
        <v>CABEZA MOVIL BEAM</v>
      </c>
      <c r="D80" s="12" t="str">
        <f>Cod_Gen6[[#This Row],[Marca]]</f>
        <v>AOLAIT</v>
      </c>
      <c r="E80" s="12" t="str">
        <f>Cod_Gen6[[#This Row],[Modelo]]</f>
        <v>7R</v>
      </c>
      <c r="F80" s="12">
        <f>Cod_Gen6[[#This Row],[N* Serie]]</f>
        <v>0</v>
      </c>
      <c r="G80" s="9"/>
      <c r="H80" s="3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1:22" ht="15" x14ac:dyDescent="0.2">
      <c r="A81" s="11">
        <v>80</v>
      </c>
      <c r="B81" s="12" t="str">
        <f>Cod_Gen6[[#This Row],[Codigo]]</f>
        <v>CAAO7R-5</v>
      </c>
      <c r="C81" s="12" t="str">
        <f>Cod_Gen6[[#This Row],[Tipo de Equipo]]</f>
        <v>CABEZA MOVIL BEAM</v>
      </c>
      <c r="D81" s="12" t="str">
        <f>Cod_Gen6[[#This Row],[Marca]]</f>
        <v>AOLAIT</v>
      </c>
      <c r="E81" s="12" t="str">
        <f>Cod_Gen6[[#This Row],[Modelo]]</f>
        <v>7R</v>
      </c>
      <c r="F81" s="12">
        <f>Cod_Gen6[[#This Row],[N* Serie]]</f>
        <v>0</v>
      </c>
      <c r="G81" s="8"/>
      <c r="H81" s="40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1:22" ht="15" x14ac:dyDescent="0.2">
      <c r="A82" s="11">
        <v>81</v>
      </c>
      <c r="B82" s="12" t="str">
        <f>Cod_Gen6[[#This Row],[Codigo]]</f>
        <v>CAAO7R-6</v>
      </c>
      <c r="C82" s="12" t="str">
        <f>Cod_Gen6[[#This Row],[Tipo de Equipo]]</f>
        <v>CABEZA MOVIL BEAM</v>
      </c>
      <c r="D82" s="12" t="str">
        <f>Cod_Gen6[[#This Row],[Marca]]</f>
        <v>AOLAIT</v>
      </c>
      <c r="E82" s="12" t="str">
        <f>Cod_Gen6[[#This Row],[Modelo]]</f>
        <v>7R</v>
      </c>
      <c r="F82" s="12">
        <f>Cod_Gen6[[#This Row],[N* Serie]]</f>
        <v>0</v>
      </c>
      <c r="G82" s="9"/>
      <c r="H82" s="3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1:22" ht="15" x14ac:dyDescent="0.2">
      <c r="A83" s="11">
        <v>82</v>
      </c>
      <c r="B83" s="12" t="str">
        <f>Cod_Gen6[[#This Row],[Codigo]]</f>
        <v>CAAO7R-7</v>
      </c>
      <c r="C83" s="12" t="str">
        <f>Cod_Gen6[[#This Row],[Tipo de Equipo]]</f>
        <v>CABEZA MOVIL BEAM</v>
      </c>
      <c r="D83" s="12" t="str">
        <f>Cod_Gen6[[#This Row],[Marca]]</f>
        <v>AOLAIT</v>
      </c>
      <c r="E83" s="12" t="str">
        <f>Cod_Gen6[[#This Row],[Modelo]]</f>
        <v>7R</v>
      </c>
      <c r="F83" s="12">
        <f>Cod_Gen6[[#This Row],[N* Serie]]</f>
        <v>0</v>
      </c>
      <c r="G83" s="8"/>
      <c r="H83" s="40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1:22" ht="15" x14ac:dyDescent="0.2">
      <c r="A84" s="11">
        <v>83</v>
      </c>
      <c r="B84" s="12" t="str">
        <f>Cod_Gen6[[#This Row],[Codigo]]</f>
        <v>CAAO7R-8</v>
      </c>
      <c r="C84" s="12" t="str">
        <f>Cod_Gen6[[#This Row],[Tipo de Equipo]]</f>
        <v>CABEZA MOVIL BEAM</v>
      </c>
      <c r="D84" s="12" t="str">
        <f>Cod_Gen6[[#This Row],[Marca]]</f>
        <v>AOLAIT</v>
      </c>
      <c r="E84" s="12" t="str">
        <f>Cod_Gen6[[#This Row],[Modelo]]</f>
        <v>7R</v>
      </c>
      <c r="F84" s="12">
        <f>Cod_Gen6[[#This Row],[N* Serie]]</f>
        <v>0</v>
      </c>
      <c r="G84" s="9"/>
      <c r="H84" s="3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1:22" ht="15" x14ac:dyDescent="0.2">
      <c r="A85" s="11">
        <v>84</v>
      </c>
      <c r="B85" s="12" t="str">
        <f>Cod_Gen6[[#This Row],[Codigo]]</f>
        <v>CAMO9R-1</v>
      </c>
      <c r="C85" s="12" t="str">
        <f>Cod_Gen6[[#This Row],[Tipo de Equipo]]</f>
        <v>CABEZA MOVIL BEAM</v>
      </c>
      <c r="D85" s="12" t="str">
        <f>Cod_Gen6[[#This Row],[Marca]]</f>
        <v>MOWL</v>
      </c>
      <c r="E85" s="12" t="str">
        <f>Cod_Gen6[[#This Row],[Modelo]]</f>
        <v>9R</v>
      </c>
      <c r="F85" s="12">
        <f>Cod_Gen6[[#This Row],[N* Serie]]</f>
        <v>0</v>
      </c>
      <c r="G85" s="8"/>
      <c r="H85" s="40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1:22" ht="15" x14ac:dyDescent="0.2">
      <c r="A86" s="11">
        <v>85</v>
      </c>
      <c r="B86" s="12" t="str">
        <f>Cod_Gen6[[#This Row],[Codigo]]</f>
        <v>CAMO9R-2</v>
      </c>
      <c r="C86" s="12" t="str">
        <f>Cod_Gen6[[#This Row],[Tipo de Equipo]]</f>
        <v>CABEZA MOVIL BEAM</v>
      </c>
      <c r="D86" s="12" t="str">
        <f>Cod_Gen6[[#This Row],[Marca]]</f>
        <v>MOWL</v>
      </c>
      <c r="E86" s="12" t="str">
        <f>Cod_Gen6[[#This Row],[Modelo]]</f>
        <v>9R</v>
      </c>
      <c r="F86" s="12">
        <f>Cod_Gen6[[#This Row],[N* Serie]]</f>
        <v>0</v>
      </c>
      <c r="G86" s="9"/>
      <c r="H86" s="3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1:22" ht="15" x14ac:dyDescent="0.2">
      <c r="A87" s="11">
        <v>86</v>
      </c>
      <c r="B87" s="12" t="str">
        <f>Cod_Gen6[[#This Row],[Codigo]]</f>
        <v>CAMO9R-3</v>
      </c>
      <c r="C87" s="12" t="str">
        <f>Cod_Gen6[[#This Row],[Tipo de Equipo]]</f>
        <v>CABEZA MOVIL BEAM</v>
      </c>
      <c r="D87" s="12" t="str">
        <f>Cod_Gen6[[#This Row],[Marca]]</f>
        <v>MOWL</v>
      </c>
      <c r="E87" s="12" t="str">
        <f>Cod_Gen6[[#This Row],[Modelo]]</f>
        <v>9R</v>
      </c>
      <c r="F87" s="12">
        <f>Cod_Gen6[[#This Row],[N* Serie]]</f>
        <v>0</v>
      </c>
      <c r="G87" s="8"/>
      <c r="H87" s="40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1:22" ht="15" x14ac:dyDescent="0.2">
      <c r="A88" s="11">
        <v>87</v>
      </c>
      <c r="B88" s="12" t="str">
        <f>Cod_Gen6[[#This Row],[Codigo]]</f>
        <v>CAMO9R-4</v>
      </c>
      <c r="C88" s="12" t="str">
        <f>Cod_Gen6[[#This Row],[Tipo de Equipo]]</f>
        <v>CABEZA MOVIL BEAM</v>
      </c>
      <c r="D88" s="12" t="str">
        <f>Cod_Gen6[[#This Row],[Marca]]</f>
        <v>MOWL</v>
      </c>
      <c r="E88" s="12" t="str">
        <f>Cod_Gen6[[#This Row],[Modelo]]</f>
        <v>9R</v>
      </c>
      <c r="F88" s="12">
        <f>Cod_Gen6[[#This Row],[N* Serie]]</f>
        <v>0</v>
      </c>
      <c r="G88" s="9"/>
      <c r="H88" s="3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1:22" ht="15" x14ac:dyDescent="0.2">
      <c r="A89" s="11">
        <v>88</v>
      </c>
      <c r="B89" s="12" t="str">
        <f>Cod_Gen6[[#This Row],[Codigo]]</f>
        <v>CAMO9R-5</v>
      </c>
      <c r="C89" s="12" t="str">
        <f>Cod_Gen6[[#This Row],[Tipo de Equipo]]</f>
        <v>CABEZA MOVIL BEAM</v>
      </c>
      <c r="D89" s="12" t="str">
        <f>Cod_Gen6[[#This Row],[Marca]]</f>
        <v>MOWL</v>
      </c>
      <c r="E89" s="12" t="str">
        <f>Cod_Gen6[[#This Row],[Modelo]]</f>
        <v>9R</v>
      </c>
      <c r="F89" s="12">
        <f>Cod_Gen6[[#This Row],[N* Serie]]</f>
        <v>0</v>
      </c>
      <c r="G89" s="8"/>
      <c r="H89" s="40"/>
      <c r="I89" s="6"/>
      <c r="J89" s="13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1:22" ht="15" x14ac:dyDescent="0.2">
      <c r="A90" s="11">
        <v>89</v>
      </c>
      <c r="B90" s="12" t="str">
        <f>Cod_Gen6[[#This Row],[Codigo]]</f>
        <v>CAMO9R-6</v>
      </c>
      <c r="C90" s="12" t="str">
        <f>Cod_Gen6[[#This Row],[Tipo de Equipo]]</f>
        <v>CABEZA MOVIL BEAM</v>
      </c>
      <c r="D90" s="12" t="str">
        <f>Cod_Gen6[[#This Row],[Marca]]</f>
        <v>MOWL</v>
      </c>
      <c r="E90" s="12" t="str">
        <f>Cod_Gen6[[#This Row],[Modelo]]</f>
        <v>9R</v>
      </c>
      <c r="F90" s="12">
        <f>Cod_Gen6[[#This Row],[N* Serie]]</f>
        <v>0</v>
      </c>
      <c r="G90" s="9"/>
      <c r="H90" s="3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1:22" ht="15" x14ac:dyDescent="0.2">
      <c r="A91" s="11">
        <v>90</v>
      </c>
      <c r="B91" s="12" t="str">
        <f>Cod_Gen6[[#This Row],[Codigo]]</f>
        <v>CAMO9R-7</v>
      </c>
      <c r="C91" s="12" t="str">
        <f>Cod_Gen6[[#This Row],[Tipo de Equipo]]</f>
        <v>CABEZA MOVIL BEAM</v>
      </c>
      <c r="D91" s="12" t="str">
        <f>Cod_Gen6[[#This Row],[Marca]]</f>
        <v>MOWL</v>
      </c>
      <c r="E91" s="12" t="str">
        <f>Cod_Gen6[[#This Row],[Modelo]]</f>
        <v>9R</v>
      </c>
      <c r="F91" s="12">
        <f>Cod_Gen6[[#This Row],[N* Serie]]</f>
        <v>0</v>
      </c>
      <c r="G91" s="8"/>
      <c r="H91" s="40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1:22" ht="15" x14ac:dyDescent="0.2">
      <c r="A92" s="11">
        <v>91</v>
      </c>
      <c r="B92" s="12" t="str">
        <f>Cod_Gen6[[#This Row],[Codigo]]</f>
        <v>CAMO9R-8</v>
      </c>
      <c r="C92" s="12" t="str">
        <f>Cod_Gen6[[#This Row],[Tipo de Equipo]]</f>
        <v>CABEZA MOVIL BEAM</v>
      </c>
      <c r="D92" s="12" t="str">
        <f>Cod_Gen6[[#This Row],[Marca]]</f>
        <v>MOWL</v>
      </c>
      <c r="E92" s="12" t="str">
        <f>Cod_Gen6[[#This Row],[Modelo]]</f>
        <v>9R</v>
      </c>
      <c r="F92" s="12">
        <f>Cod_Gen6[[#This Row],[N* Serie]]</f>
        <v>0</v>
      </c>
      <c r="G92" s="9"/>
      <c r="H92" s="3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1:22" ht="15" x14ac:dyDescent="0.2">
      <c r="A93" s="11">
        <v>92</v>
      </c>
      <c r="B93" s="12" t="str">
        <f>Cod_Gen6[[#This Row],[Codigo]]</f>
        <v>CAMO9R-9</v>
      </c>
      <c r="C93" s="12" t="str">
        <f>Cod_Gen6[[#This Row],[Tipo de Equipo]]</f>
        <v>CABEZA MOVIL BEAM</v>
      </c>
      <c r="D93" s="12" t="str">
        <f>Cod_Gen6[[#This Row],[Marca]]</f>
        <v>MOWL</v>
      </c>
      <c r="E93" s="12" t="str">
        <f>Cod_Gen6[[#This Row],[Modelo]]</f>
        <v>9R</v>
      </c>
      <c r="F93" s="12">
        <f>Cod_Gen6[[#This Row],[N* Serie]]</f>
        <v>0</v>
      </c>
      <c r="G93" s="8"/>
      <c r="H93" s="40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1:22" ht="15" x14ac:dyDescent="0.2">
      <c r="A94" s="11">
        <v>93</v>
      </c>
      <c r="B94" s="12" t="str">
        <f>Cod_Gen6[[#This Row],[Codigo]]</f>
        <v>CAMO9R-10</v>
      </c>
      <c r="C94" s="12" t="str">
        <f>Cod_Gen6[[#This Row],[Tipo de Equipo]]</f>
        <v>CABEZA MOVIL BEAM</v>
      </c>
      <c r="D94" s="12" t="str">
        <f>Cod_Gen6[[#This Row],[Marca]]</f>
        <v>MOWL</v>
      </c>
      <c r="E94" s="12" t="str">
        <f>Cod_Gen6[[#This Row],[Modelo]]</f>
        <v>9R</v>
      </c>
      <c r="F94" s="12">
        <f>Cod_Gen6[[#This Row],[N* Serie]]</f>
        <v>0</v>
      </c>
      <c r="G94" s="9"/>
      <c r="H94" s="3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1:22" ht="15" x14ac:dyDescent="0.2">
      <c r="A95" s="11">
        <v>94</v>
      </c>
      <c r="B95" s="12" t="str">
        <f>Cod_Gen6[[#This Row],[Codigo]]</f>
        <v>SEMOMLB-1</v>
      </c>
      <c r="C95" s="12" t="str">
        <f>Cod_Gen6[[#This Row],[Tipo de Equipo]]</f>
        <v>SEVEN EYES BACKLIGHT</v>
      </c>
      <c r="D95" s="12" t="str">
        <f>Cod_Gen6[[#This Row],[Marca]]</f>
        <v>MOWL</v>
      </c>
      <c r="E95" s="12" t="str">
        <f>Cod_Gen6[[#This Row],[Modelo]]</f>
        <v>MLBWJ01</v>
      </c>
      <c r="F95" s="12">
        <f>Cod_Gen6[[#This Row],[N* Serie]]</f>
        <v>0</v>
      </c>
      <c r="G95" s="8"/>
      <c r="H95" s="40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1:22" ht="15" x14ac:dyDescent="0.2">
      <c r="A96" s="11">
        <v>95</v>
      </c>
      <c r="B96" s="12" t="str">
        <f>Cod_Gen6[[#This Row],[Codigo]]</f>
        <v>SEMOMLB-2</v>
      </c>
      <c r="C96" s="12" t="str">
        <f>Cod_Gen6[[#This Row],[Tipo de Equipo]]</f>
        <v>SEVEN EYES BACKLIGHT</v>
      </c>
      <c r="D96" s="12" t="str">
        <f>Cod_Gen6[[#This Row],[Marca]]</f>
        <v>MOWL</v>
      </c>
      <c r="E96" s="12" t="str">
        <f>Cod_Gen6[[#This Row],[Modelo]]</f>
        <v>MLBWJ01</v>
      </c>
      <c r="F96" s="12">
        <f>Cod_Gen6[[#This Row],[N* Serie]]</f>
        <v>0</v>
      </c>
      <c r="G96" s="9"/>
      <c r="H96" s="3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1:22" ht="15" x14ac:dyDescent="0.2">
      <c r="A97" s="11">
        <v>96</v>
      </c>
      <c r="B97" s="12" t="str">
        <f>Cod_Gen6[[#This Row],[Codigo]]</f>
        <v>SIMOMLX-1</v>
      </c>
      <c r="C97" s="12" t="str">
        <f>Cod_Gen6[[#This Row],[Tipo de Equipo]]</f>
        <v>SIX EYES BACKLIGHT</v>
      </c>
      <c r="D97" s="12" t="str">
        <f>Cod_Gen6[[#This Row],[Marca]]</f>
        <v>MOWL</v>
      </c>
      <c r="E97" s="12" t="str">
        <f>Cod_Gen6[[#This Row],[Modelo]]</f>
        <v>MLXGD03</v>
      </c>
      <c r="F97" s="12">
        <f>Cod_Gen6[[#This Row],[N* Serie]]</f>
        <v>0</v>
      </c>
      <c r="G97" s="8"/>
      <c r="H97" s="40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1:22" ht="15" x14ac:dyDescent="0.2">
      <c r="A98" s="11">
        <v>97</v>
      </c>
      <c r="B98" s="12" t="str">
        <f>Cod_Gen6[[#This Row],[Codigo]]</f>
        <v>SIMOMLX-2</v>
      </c>
      <c r="C98" s="12" t="str">
        <f>Cod_Gen6[[#This Row],[Tipo de Equipo]]</f>
        <v>SIX EYES BACKLIGHT</v>
      </c>
      <c r="D98" s="12" t="str">
        <f>Cod_Gen6[[#This Row],[Marca]]</f>
        <v>MOWL</v>
      </c>
      <c r="E98" s="12" t="str">
        <f>Cod_Gen6[[#This Row],[Modelo]]</f>
        <v>MLXGD03</v>
      </c>
      <c r="F98" s="12">
        <f>Cod_Gen6[[#This Row],[N* Serie]]</f>
        <v>0</v>
      </c>
      <c r="G98" s="9"/>
      <c r="H98" s="3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1:22" ht="15" x14ac:dyDescent="0.2">
      <c r="A99" s="11">
        <v>98</v>
      </c>
      <c r="B99" s="12" t="str">
        <f>Cod_Gen6[[#This Row],[Codigo]]</f>
        <v>CABASIN-1</v>
      </c>
      <c r="C99" s="12" t="str">
        <f>Cod_Gen6[[#This Row],[Tipo de Equipo]]</f>
        <v>CAJA CABLES AUDIO</v>
      </c>
      <c r="D99" s="12" t="str">
        <f>Cod_Gen6[[#This Row],[Marca]]</f>
        <v>BAUKER</v>
      </c>
      <c r="E99" s="12" t="str">
        <f>Cod_Gen6[[#This Row],[Modelo]]</f>
        <v>Sin Modelo</v>
      </c>
      <c r="F99" s="12">
        <f>Cod_Gen6[[#This Row],[N* Serie]]</f>
        <v>0</v>
      </c>
      <c r="G99" s="8"/>
      <c r="H99" s="40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1:22" ht="15" x14ac:dyDescent="0.2">
      <c r="A100" s="11">
        <v>99</v>
      </c>
      <c r="B100" s="12" t="str">
        <f>Cod_Gen6[[#This Row],[Codigo]]</f>
        <v>CABABAU-1</v>
      </c>
      <c r="C100" s="12" t="str">
        <f>Cod_Gen6[[#This Row],[Tipo de Equipo]]</f>
        <v>CAJA CINTAS</v>
      </c>
      <c r="D100" s="12" t="str">
        <f>Cod_Gen6[[#This Row],[Marca]]</f>
        <v>BAUKER</v>
      </c>
      <c r="E100" s="12" t="str">
        <f>Cod_Gen6[[#This Row],[Modelo]]</f>
        <v>BAUKER</v>
      </c>
      <c r="F100" s="12">
        <f>Cod_Gen6[[#This Row],[N* Serie]]</f>
        <v>0</v>
      </c>
      <c r="G100" s="9"/>
      <c r="H100" s="3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1:22" ht="15" x14ac:dyDescent="0.2">
      <c r="A101" s="11">
        <v>100</v>
      </c>
      <c r="B101" s="12" t="str">
        <f>Cod_Gen6[[#This Row],[Codigo]]</f>
        <v>CABABAU-1</v>
      </c>
      <c r="C101" s="12" t="str">
        <f>Cod_Gen6[[#This Row],[Tipo de Equipo]]</f>
        <v>CAJA CLAMP</v>
      </c>
      <c r="D101" s="12" t="str">
        <f>Cod_Gen6[[#This Row],[Marca]]</f>
        <v>BAUKER</v>
      </c>
      <c r="E101" s="12" t="str">
        <f>Cod_Gen6[[#This Row],[Modelo]]</f>
        <v>BAUKER</v>
      </c>
      <c r="F101" s="12">
        <f>Cod_Gen6[[#This Row],[N* Serie]]</f>
        <v>0</v>
      </c>
      <c r="G101" s="8"/>
      <c r="H101" s="40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1:22" ht="15" x14ac:dyDescent="0.2">
      <c r="A102" s="11">
        <v>101</v>
      </c>
      <c r="B102" s="12" t="str">
        <f>Cod_Gen6[[#This Row],[Codigo]]</f>
        <v>CABABAU-1</v>
      </c>
      <c r="C102" s="12" t="str">
        <f>Cod_Gen6[[#This Row],[Tipo de Equipo]]</f>
        <v>CAJA CONECTORES AUDIO</v>
      </c>
      <c r="D102" s="12" t="str">
        <f>Cod_Gen6[[#This Row],[Marca]]</f>
        <v>BAUKER</v>
      </c>
      <c r="E102" s="12" t="str">
        <f>Cod_Gen6[[#This Row],[Modelo]]</f>
        <v>BAUKER</v>
      </c>
      <c r="F102" s="12">
        <f>Cod_Gen6[[#This Row],[N* Serie]]</f>
        <v>0</v>
      </c>
      <c r="G102" s="9"/>
      <c r="H102" s="3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1:22" ht="15" x14ac:dyDescent="0.2">
      <c r="A103" s="11">
        <v>102</v>
      </c>
      <c r="B103" s="12" t="str">
        <f>Cod_Gen6[[#This Row],[Codigo]]</f>
        <v>CAELSIN-1</v>
      </c>
      <c r="C103" s="12" t="str">
        <f>Cod_Gen6[[#This Row],[Tipo de Equipo]]</f>
        <v>CAJA CONECTORES ELECTRICOS</v>
      </c>
      <c r="D103" s="12" t="str">
        <f>Cod_Gen6[[#This Row],[Marca]]</f>
        <v>ELECTRICO</v>
      </c>
      <c r="E103" s="12" t="str">
        <f>Cod_Gen6[[#This Row],[Modelo]]</f>
        <v>Sin Modelo</v>
      </c>
      <c r="F103" s="12">
        <f>Cod_Gen6[[#This Row],[N* Serie]]</f>
        <v>0</v>
      </c>
      <c r="G103" s="8"/>
      <c r="H103" s="40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1:22" ht="15" x14ac:dyDescent="0.2">
      <c r="A104" s="11">
        <v>103</v>
      </c>
      <c r="B104" s="12" t="str">
        <f>Cod_Gen6[[#This Row],[Codigo]]</f>
        <v>CAWEWEN-1</v>
      </c>
      <c r="C104" s="12" t="str">
        <f>Cod_Gen6[[#This Row],[Tipo de Equipo]]</f>
        <v>CAJA FUNDAS BIOMBO</v>
      </c>
      <c r="D104" s="12" t="str">
        <f>Cod_Gen6[[#This Row],[Marca]]</f>
        <v>WENCO</v>
      </c>
      <c r="E104" s="12" t="str">
        <f>Cod_Gen6[[#This Row],[Modelo]]</f>
        <v>WENCO</v>
      </c>
      <c r="F104" s="12">
        <f>Cod_Gen6[[#This Row],[N* Serie]]</f>
        <v>0</v>
      </c>
      <c r="G104" s="9"/>
      <c r="H104" s="3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1:22" ht="15" x14ac:dyDescent="0.2">
      <c r="A105" s="11">
        <v>104</v>
      </c>
      <c r="B105" s="12" t="str">
        <f>Cod_Gen6[[#This Row],[Codigo]]</f>
        <v>CAWEWEN-1</v>
      </c>
      <c r="C105" s="12" t="str">
        <f>Cod_Gen6[[#This Row],[Tipo de Equipo]]</f>
        <v>CAJA FUNDAS TRUSS</v>
      </c>
      <c r="D105" s="12" t="str">
        <f>Cod_Gen6[[#This Row],[Marca]]</f>
        <v>WENCO</v>
      </c>
      <c r="E105" s="12" t="str">
        <f>Cod_Gen6[[#This Row],[Modelo]]</f>
        <v>WENCO</v>
      </c>
      <c r="F105" s="12">
        <f>Cod_Gen6[[#This Row],[N* Serie]]</f>
        <v>0</v>
      </c>
      <c r="G105" s="8"/>
      <c r="H105" s="40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1:22" ht="15" x14ac:dyDescent="0.2">
      <c r="A106" s="11">
        <v>105</v>
      </c>
      <c r="B106" s="12" t="str">
        <f>Cod_Gen6[[#This Row],[Codigo]]</f>
        <v>CAHASIN-1</v>
      </c>
      <c r="C106" s="12" t="str">
        <f>Cod_Gen6[[#This Row],[Tipo de Equipo]]</f>
        <v>CAJA GUIRNALDAS HADAS</v>
      </c>
      <c r="D106" s="12" t="str">
        <f>Cod_Gen6[[#This Row],[Marca]]</f>
        <v>HADAS</v>
      </c>
      <c r="E106" s="12" t="str">
        <f>Cod_Gen6[[#This Row],[Modelo]]</f>
        <v>Sin Modelo</v>
      </c>
      <c r="F106" s="12">
        <f>Cod_Gen6[[#This Row],[N* Serie]]</f>
        <v>0</v>
      </c>
      <c r="G106" s="9"/>
      <c r="H106" s="3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1:22" ht="15" x14ac:dyDescent="0.2">
      <c r="A107" s="11">
        <v>106</v>
      </c>
      <c r="B107" s="12" t="str">
        <f>Cod_Gen6[[#This Row],[Codigo]]</f>
        <v>CAGEN/A-1</v>
      </c>
      <c r="C107" s="12" t="str">
        <f>Cod_Gen6[[#This Row],[Tipo de Equipo]]</f>
        <v>CAJA GUIRNALDAS TOSCANAS</v>
      </c>
      <c r="D107" s="12" t="str">
        <f>Cod_Gen6[[#This Row],[Marca]]</f>
        <v>GENERICO</v>
      </c>
      <c r="E107" s="12" t="str">
        <f>Cod_Gen6[[#This Row],[Modelo]]</f>
        <v>N/A</v>
      </c>
      <c r="F107" s="12">
        <f>Cod_Gen6[[#This Row],[N* Serie]]</f>
        <v>0</v>
      </c>
      <c r="G107" s="8"/>
      <c r="H107" s="40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1:22" ht="15" x14ac:dyDescent="0.2">
      <c r="A108" s="11">
        <v>107</v>
      </c>
      <c r="B108" s="12" t="str">
        <f>Cod_Gen6[[#This Row],[Codigo]]</f>
        <v>CAPEPEL-1</v>
      </c>
      <c r="C108" s="12" t="str">
        <f>Cod_Gen6[[#This Row],[Tipo de Equipo]]</f>
        <v>CAJA INTERLOCK</v>
      </c>
      <c r="D108" s="12" t="str">
        <f>Cod_Gen6[[#This Row],[Marca]]</f>
        <v>PELICAN</v>
      </c>
      <c r="E108" s="12" t="str">
        <f>Cod_Gen6[[#This Row],[Modelo]]</f>
        <v>PELICAN</v>
      </c>
      <c r="F108" s="12">
        <f>Cod_Gen6[[#This Row],[N* Serie]]</f>
        <v>0</v>
      </c>
      <c r="G108" s="9"/>
      <c r="H108" s="3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1:22" ht="15" x14ac:dyDescent="0.2">
      <c r="A109" s="11">
        <v>108</v>
      </c>
      <c r="B109" s="12" t="str">
        <f>Cod_Gen6[[#This Row],[Codigo]]</f>
        <v>CAROMJ5-1</v>
      </c>
      <c r="C109" s="12" t="str">
        <f>Cod_Gen6[[#This Row],[Tipo de Equipo]]</f>
        <v>CAJA MOTOR BOLA DISCO</v>
      </c>
      <c r="D109" s="12" t="str">
        <f>Cod_Gen6[[#This Row],[Marca]]</f>
        <v>ROBUST</v>
      </c>
      <c r="E109" s="12" t="str">
        <f>Cod_Gen6[[#This Row],[Modelo]]</f>
        <v>MJ5003 B</v>
      </c>
      <c r="F109" s="12">
        <f>Cod_Gen6[[#This Row],[N* Serie]]</f>
        <v>0</v>
      </c>
      <c r="G109" s="8"/>
      <c r="H109" s="40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1:22" ht="15" x14ac:dyDescent="0.2">
      <c r="A110" s="11">
        <v>109</v>
      </c>
      <c r="B110" s="12" t="str">
        <f>Cod_Gen6[[#This Row],[Codigo]]</f>
        <v>CAROMJ5-2</v>
      </c>
      <c r="C110" s="12" t="str">
        <f>Cod_Gen6[[#This Row],[Tipo de Equipo]]</f>
        <v>CAJA MOTOR BOLA DISCO</v>
      </c>
      <c r="D110" s="12" t="str">
        <f>Cod_Gen6[[#This Row],[Marca]]</f>
        <v>ROBUST</v>
      </c>
      <c r="E110" s="12" t="str">
        <f>Cod_Gen6[[#This Row],[Modelo]]</f>
        <v>MJ5003 B</v>
      </c>
      <c r="F110" s="12">
        <f>Cod_Gen6[[#This Row],[N* Serie]]</f>
        <v>0</v>
      </c>
      <c r="G110" s="9"/>
      <c r="H110" s="3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1:22" ht="15" x14ac:dyDescent="0.2">
      <c r="A111" s="11">
        <v>110</v>
      </c>
      <c r="B111" s="12" t="str">
        <f>Cod_Gen6[[#This Row],[Codigo]]</f>
        <v>CAROMJ5-3</v>
      </c>
      <c r="C111" s="12" t="str">
        <f>Cod_Gen6[[#This Row],[Tipo de Equipo]]</f>
        <v>CAJA MOTOR BOLA DISCO</v>
      </c>
      <c r="D111" s="12" t="str">
        <f>Cod_Gen6[[#This Row],[Marca]]</f>
        <v>ROBUST</v>
      </c>
      <c r="E111" s="12" t="str">
        <f>Cod_Gen6[[#This Row],[Modelo]]</f>
        <v>MJ5003 B</v>
      </c>
      <c r="F111" s="12">
        <f>Cod_Gen6[[#This Row],[N* Serie]]</f>
        <v>0</v>
      </c>
      <c r="G111" s="8"/>
      <c r="H111" s="40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1:22" ht="15" x14ac:dyDescent="0.2">
      <c r="A112" s="11">
        <v>111</v>
      </c>
      <c r="B112" s="12" t="str">
        <f>Cod_Gen6[[#This Row],[Codigo]]</f>
        <v>CAROMJ5-4</v>
      </c>
      <c r="C112" s="12" t="str">
        <f>Cod_Gen6[[#This Row],[Tipo de Equipo]]</f>
        <v>CAJA MOTOR BOLA DISCO</v>
      </c>
      <c r="D112" s="12" t="str">
        <f>Cod_Gen6[[#This Row],[Marca]]</f>
        <v>ROBUST</v>
      </c>
      <c r="E112" s="12" t="str">
        <f>Cod_Gen6[[#This Row],[Modelo]]</f>
        <v>MJ5003 B</v>
      </c>
      <c r="F112" s="12">
        <f>Cod_Gen6[[#This Row],[N* Serie]]</f>
        <v>0</v>
      </c>
      <c r="G112" s="9"/>
      <c r="H112" s="3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1:22" ht="15" x14ac:dyDescent="0.2">
      <c r="A113" s="11">
        <v>112</v>
      </c>
      <c r="B113" s="12" t="str">
        <f>Cod_Gen6[[#This Row],[Codigo]]</f>
        <v>CAROMJ5-5</v>
      </c>
      <c r="C113" s="12" t="str">
        <f>Cod_Gen6[[#This Row],[Tipo de Equipo]]</f>
        <v>CAJA MOTOR BOLA DISCO</v>
      </c>
      <c r="D113" s="12" t="str">
        <f>Cod_Gen6[[#This Row],[Marca]]</f>
        <v>ROBUST</v>
      </c>
      <c r="E113" s="12" t="str">
        <f>Cod_Gen6[[#This Row],[Modelo]]</f>
        <v>MJ5003 B</v>
      </c>
      <c r="F113" s="12">
        <f>Cod_Gen6[[#This Row],[N* Serie]]</f>
        <v>0</v>
      </c>
      <c r="G113" s="8"/>
      <c r="H113" s="40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1:22" ht="15" x14ac:dyDescent="0.2">
      <c r="A114" s="11">
        <v>113</v>
      </c>
      <c r="B114" s="12" t="str">
        <f>Cod_Gen6[[#This Row],[Codigo]]</f>
        <v>CAROMJ5-6</v>
      </c>
      <c r="C114" s="12" t="str">
        <f>Cod_Gen6[[#This Row],[Tipo de Equipo]]</f>
        <v>CAJA MOTOR BOLA DISCO</v>
      </c>
      <c r="D114" s="12" t="str">
        <f>Cod_Gen6[[#This Row],[Marca]]</f>
        <v>ROBUST</v>
      </c>
      <c r="E114" s="12" t="str">
        <f>Cod_Gen6[[#This Row],[Modelo]]</f>
        <v>MJ5003 B</v>
      </c>
      <c r="F114" s="12">
        <f>Cod_Gen6[[#This Row],[N* Serie]]</f>
        <v>0</v>
      </c>
      <c r="G114" s="9"/>
      <c r="H114" s="3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1:22" ht="15" x14ac:dyDescent="0.2">
      <c r="A115" s="11">
        <v>114</v>
      </c>
      <c r="B115" s="12" t="str">
        <f>Cod_Gen6[[#This Row],[Codigo]]</f>
        <v>CAROMJ5-7</v>
      </c>
      <c r="C115" s="12" t="str">
        <f>Cod_Gen6[[#This Row],[Tipo de Equipo]]</f>
        <v>CAJA MOTOR BOLA DISCO</v>
      </c>
      <c r="D115" s="12" t="str">
        <f>Cod_Gen6[[#This Row],[Marca]]</f>
        <v>ROBUST</v>
      </c>
      <c r="E115" s="12" t="str">
        <f>Cod_Gen6[[#This Row],[Modelo]]</f>
        <v>MJ5003 B</v>
      </c>
      <c r="F115" s="12">
        <f>Cod_Gen6[[#This Row],[N* Serie]]</f>
        <v>0</v>
      </c>
      <c r="G115" s="8"/>
      <c r="H115" s="40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1:22" ht="15" x14ac:dyDescent="0.2">
      <c r="A116" s="11">
        <v>115</v>
      </c>
      <c r="B116" s="12" t="str">
        <f>Cod_Gen6[[#This Row],[Codigo]]</f>
        <v>CAROMJ5-8</v>
      </c>
      <c r="C116" s="12" t="str">
        <f>Cod_Gen6[[#This Row],[Tipo de Equipo]]</f>
        <v>CAJA MOTOR BOLA DISCO</v>
      </c>
      <c r="D116" s="12" t="str">
        <f>Cod_Gen6[[#This Row],[Marca]]</f>
        <v>ROBUST</v>
      </c>
      <c r="E116" s="12" t="str">
        <f>Cod_Gen6[[#This Row],[Modelo]]</f>
        <v>MJ5003 B</v>
      </c>
      <c r="F116" s="12">
        <f>Cod_Gen6[[#This Row],[N* Serie]]</f>
        <v>0</v>
      </c>
      <c r="G116" s="9"/>
      <c r="H116" s="3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1:22" ht="15" x14ac:dyDescent="0.2">
      <c r="A117" s="11">
        <v>116</v>
      </c>
      <c r="B117" s="12" t="str">
        <f>Cod_Gen6[[#This Row],[Codigo]]</f>
        <v>CAROMJ5-9</v>
      </c>
      <c r="C117" s="12" t="str">
        <f>Cod_Gen6[[#This Row],[Tipo de Equipo]]</f>
        <v>CAJA MOTOR BOLA DISCO</v>
      </c>
      <c r="D117" s="12" t="str">
        <f>Cod_Gen6[[#This Row],[Marca]]</f>
        <v>ROBUST</v>
      </c>
      <c r="E117" s="12" t="str">
        <f>Cod_Gen6[[#This Row],[Modelo]]</f>
        <v>MJ5003 B</v>
      </c>
      <c r="F117" s="12">
        <f>Cod_Gen6[[#This Row],[N* Serie]]</f>
        <v>0</v>
      </c>
      <c r="G117" s="8"/>
      <c r="H117" s="40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1:22" ht="15" x14ac:dyDescent="0.2">
      <c r="A118" s="11">
        <v>117</v>
      </c>
      <c r="B118" s="12" t="str">
        <f>Cod_Gen6[[#This Row],[Codigo]]</f>
        <v>CAROMJ5-10</v>
      </c>
      <c r="C118" s="12" t="str">
        <f>Cod_Gen6[[#This Row],[Tipo de Equipo]]</f>
        <v>CAJA MOTOR BOLA DISCO</v>
      </c>
      <c r="D118" s="12" t="str">
        <f>Cod_Gen6[[#This Row],[Marca]]</f>
        <v>ROBUST</v>
      </c>
      <c r="E118" s="12" t="str">
        <f>Cod_Gen6[[#This Row],[Modelo]]</f>
        <v>MJ5003 B</v>
      </c>
      <c r="F118" s="12">
        <f>Cod_Gen6[[#This Row],[N* Serie]]</f>
        <v>0</v>
      </c>
      <c r="G118" s="9"/>
      <c r="H118" s="3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1:22" ht="15" x14ac:dyDescent="0.2">
      <c r="A119" s="11">
        <v>118</v>
      </c>
      <c r="B119" s="12" t="str">
        <f>Cod_Gen6[[#This Row],[Codigo]]</f>
        <v>CAROMJ5-11</v>
      </c>
      <c r="C119" s="12" t="str">
        <f>Cod_Gen6[[#This Row],[Tipo de Equipo]]</f>
        <v>CAJA MOTOR BOLA DISCO</v>
      </c>
      <c r="D119" s="12" t="str">
        <f>Cod_Gen6[[#This Row],[Marca]]</f>
        <v>ROBUST</v>
      </c>
      <c r="E119" s="12" t="str">
        <f>Cod_Gen6[[#This Row],[Modelo]]</f>
        <v>MJ5003 B</v>
      </c>
      <c r="F119" s="12">
        <f>Cod_Gen6[[#This Row],[N* Serie]]</f>
        <v>0</v>
      </c>
      <c r="G119" s="8"/>
      <c r="H119" s="40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1:22" ht="15" x14ac:dyDescent="0.2">
      <c r="A120" s="11">
        <v>119</v>
      </c>
      <c r="B120" s="12" t="str">
        <f>Cod_Gen6[[#This Row],[Codigo]]</f>
        <v>CAROMJ5-12</v>
      </c>
      <c r="C120" s="12" t="str">
        <f>Cod_Gen6[[#This Row],[Tipo de Equipo]]</f>
        <v>CAJA MOTOR BOLA DISCO</v>
      </c>
      <c r="D120" s="12" t="str">
        <f>Cod_Gen6[[#This Row],[Marca]]</f>
        <v>ROBUST</v>
      </c>
      <c r="E120" s="12" t="str">
        <f>Cod_Gen6[[#This Row],[Modelo]]</f>
        <v>MJ5003 B</v>
      </c>
      <c r="F120" s="12">
        <f>Cod_Gen6[[#This Row],[N* Serie]]</f>
        <v>0</v>
      </c>
      <c r="G120" s="9"/>
      <c r="H120" s="3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1:22" ht="15" x14ac:dyDescent="0.2">
      <c r="A121" s="11">
        <v>120</v>
      </c>
      <c r="B121" s="12" t="str">
        <f>Cod_Gen6[[#This Row],[Codigo]]</f>
        <v>CAROMJ5-13</v>
      </c>
      <c r="C121" s="12" t="str">
        <f>Cod_Gen6[[#This Row],[Tipo de Equipo]]</f>
        <v>CAJA MOTOR BOLA DISCO</v>
      </c>
      <c r="D121" s="12" t="str">
        <f>Cod_Gen6[[#This Row],[Marca]]</f>
        <v>ROBUST</v>
      </c>
      <c r="E121" s="12" t="str">
        <f>Cod_Gen6[[#This Row],[Modelo]]</f>
        <v>MJ5003 B</v>
      </c>
      <c r="F121" s="12">
        <f>Cod_Gen6[[#This Row],[N* Serie]]</f>
        <v>0</v>
      </c>
      <c r="G121" s="8"/>
      <c r="H121" s="40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1:22" ht="15" x14ac:dyDescent="0.2">
      <c r="A122" s="11">
        <v>121</v>
      </c>
      <c r="B122" s="12" t="str">
        <f>Cod_Gen6[[#This Row],[Codigo]]</f>
        <v>CAROMJ5-14</v>
      </c>
      <c r="C122" s="12" t="str">
        <f>Cod_Gen6[[#This Row],[Tipo de Equipo]]</f>
        <v>CAJA MOTOR BOLA DISCO</v>
      </c>
      <c r="D122" s="12" t="str">
        <f>Cod_Gen6[[#This Row],[Marca]]</f>
        <v>ROBUST</v>
      </c>
      <c r="E122" s="12" t="str">
        <f>Cod_Gen6[[#This Row],[Modelo]]</f>
        <v>MJ5003 B</v>
      </c>
      <c r="F122" s="12">
        <f>Cod_Gen6[[#This Row],[N* Serie]]</f>
        <v>0</v>
      </c>
      <c r="G122" s="9"/>
      <c r="H122" s="3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1:22" ht="15" x14ac:dyDescent="0.2">
      <c r="A123" s="11">
        <v>122</v>
      </c>
      <c r="B123" s="12" t="str">
        <f>Cod_Gen6[[#This Row],[Codigo]]</f>
        <v>CAROMJ5-15</v>
      </c>
      <c r="C123" s="12" t="str">
        <f>Cod_Gen6[[#This Row],[Tipo de Equipo]]</f>
        <v>CAJA MOTOR BOLA DISCO</v>
      </c>
      <c r="D123" s="12" t="str">
        <f>Cod_Gen6[[#This Row],[Marca]]</f>
        <v>ROBUST</v>
      </c>
      <c r="E123" s="12" t="str">
        <f>Cod_Gen6[[#This Row],[Modelo]]</f>
        <v>MJ5003 B</v>
      </c>
      <c r="F123" s="12">
        <f>Cod_Gen6[[#This Row],[N* Serie]]</f>
        <v>0</v>
      </c>
      <c r="G123" s="8"/>
      <c r="H123" s="40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1:22" ht="15" x14ac:dyDescent="0.2">
      <c r="A124" s="11">
        <v>123</v>
      </c>
      <c r="B124" s="12" t="str">
        <f>Cod_Gen6[[#This Row],[Codigo]]</f>
        <v>CAROMJ5-16</v>
      </c>
      <c r="C124" s="12" t="str">
        <f>Cod_Gen6[[#This Row],[Tipo de Equipo]]</f>
        <v>CAJA MOTOR BOLA DISCO</v>
      </c>
      <c r="D124" s="12" t="str">
        <f>Cod_Gen6[[#This Row],[Marca]]</f>
        <v>ROBUST</v>
      </c>
      <c r="E124" s="12" t="str">
        <f>Cod_Gen6[[#This Row],[Modelo]]</f>
        <v>MJ5003 B</v>
      </c>
      <c r="F124" s="12">
        <f>Cod_Gen6[[#This Row],[N* Serie]]</f>
        <v>0</v>
      </c>
      <c r="G124" s="9"/>
      <c r="H124" s="3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1:22" ht="15" x14ac:dyDescent="0.2">
      <c r="A125" s="11">
        <v>124</v>
      </c>
      <c r="B125" s="12" t="str">
        <f>Cod_Gen6[[#This Row],[Codigo]]</f>
        <v>CAROMJ5-17</v>
      </c>
      <c r="C125" s="12" t="str">
        <f>Cod_Gen6[[#This Row],[Tipo de Equipo]]</f>
        <v>CAJA MOTOR BOLA DISCO</v>
      </c>
      <c r="D125" s="12" t="str">
        <f>Cod_Gen6[[#This Row],[Marca]]</f>
        <v>ROBUST</v>
      </c>
      <c r="E125" s="12" t="str">
        <f>Cod_Gen6[[#This Row],[Modelo]]</f>
        <v>MJ5003 B</v>
      </c>
      <c r="F125" s="12">
        <f>Cod_Gen6[[#This Row],[N* Serie]]</f>
        <v>0</v>
      </c>
      <c r="G125" s="8"/>
      <c r="H125" s="40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1:22" ht="15" x14ac:dyDescent="0.2">
      <c r="A126" s="11">
        <v>125</v>
      </c>
      <c r="B126" s="12" t="str">
        <f>Cod_Gen6[[#This Row],[Codigo]]</f>
        <v>CAROMJ5-18</v>
      </c>
      <c r="C126" s="12" t="str">
        <f>Cod_Gen6[[#This Row],[Tipo de Equipo]]</f>
        <v>CAJA MOTOR BOLA DISCO</v>
      </c>
      <c r="D126" s="12" t="str">
        <f>Cod_Gen6[[#This Row],[Marca]]</f>
        <v>ROBUST</v>
      </c>
      <c r="E126" s="12" t="str">
        <f>Cod_Gen6[[#This Row],[Modelo]]</f>
        <v>MJ5003 B</v>
      </c>
      <c r="F126" s="12">
        <f>Cod_Gen6[[#This Row],[N* Serie]]</f>
        <v>0</v>
      </c>
      <c r="G126" s="9"/>
      <c r="H126" s="3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spans="1:22" ht="15" x14ac:dyDescent="0.2">
      <c r="A127" s="11">
        <v>126</v>
      </c>
      <c r="B127" s="12" t="str">
        <f>Cod_Gen6[[#This Row],[Codigo]]</f>
        <v>CAROMJ5-19</v>
      </c>
      <c r="C127" s="12" t="str">
        <f>Cod_Gen6[[#This Row],[Tipo de Equipo]]</f>
        <v>CAJA MOTOR BOLA DISCO</v>
      </c>
      <c r="D127" s="12" t="str">
        <f>Cod_Gen6[[#This Row],[Marca]]</f>
        <v>ROBUST</v>
      </c>
      <c r="E127" s="12" t="str">
        <f>Cod_Gen6[[#This Row],[Modelo]]</f>
        <v>MJ5003 B</v>
      </c>
      <c r="F127" s="12">
        <f>Cod_Gen6[[#This Row],[N* Serie]]</f>
        <v>0</v>
      </c>
      <c r="G127" s="8"/>
      <c r="H127" s="40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spans="1:22" ht="15" x14ac:dyDescent="0.2">
      <c r="A128" s="11">
        <v>127</v>
      </c>
      <c r="B128" s="12" t="str">
        <f>Cod_Gen6[[#This Row],[Codigo]]</f>
        <v>CAROMJ5-20</v>
      </c>
      <c r="C128" s="12" t="str">
        <f>Cod_Gen6[[#This Row],[Tipo de Equipo]]</f>
        <v>CAJA MOTOR BOLA DISCO</v>
      </c>
      <c r="D128" s="12" t="str">
        <f>Cod_Gen6[[#This Row],[Marca]]</f>
        <v>ROBUST</v>
      </c>
      <c r="E128" s="12" t="str">
        <f>Cod_Gen6[[#This Row],[Modelo]]</f>
        <v>MJ5003 B</v>
      </c>
      <c r="F128" s="12">
        <f>Cod_Gen6[[#This Row],[N* Serie]]</f>
        <v>0</v>
      </c>
      <c r="G128" s="9"/>
      <c r="H128" s="3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spans="1:22" ht="15" x14ac:dyDescent="0.2">
      <c r="A129" s="11">
        <v>128</v>
      </c>
      <c r="B129" s="12" t="str">
        <f>Cod_Gen6[[#This Row],[Codigo]]</f>
        <v>CAROMJ5-21</v>
      </c>
      <c r="C129" s="12" t="str">
        <f>Cod_Gen6[[#This Row],[Tipo de Equipo]]</f>
        <v>CAJA MOTOR BOLA DISCO</v>
      </c>
      <c r="D129" s="12" t="str">
        <f>Cod_Gen6[[#This Row],[Marca]]</f>
        <v>ROBUST</v>
      </c>
      <c r="E129" s="12" t="str">
        <f>Cod_Gen6[[#This Row],[Modelo]]</f>
        <v>MJ5003 B</v>
      </c>
      <c r="F129" s="12">
        <f>Cod_Gen6[[#This Row],[N* Serie]]</f>
        <v>0</v>
      </c>
      <c r="G129" s="8"/>
      <c r="H129" s="40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spans="1:22" ht="15" x14ac:dyDescent="0.2">
      <c r="A130" s="11">
        <v>129</v>
      </c>
      <c r="B130" s="12" t="str">
        <f>Cod_Gen6[[#This Row],[Codigo]]</f>
        <v>CAPISIL-1</v>
      </c>
      <c r="C130" s="12" t="str">
        <f>Cod_Gen6[[#This Row],[Tipo de Equipo]]</f>
        <v>CAJA PIVOTES</v>
      </c>
      <c r="D130" s="12" t="str">
        <f>Cod_Gen6[[#This Row],[Marca]]</f>
        <v>PIVOTES</v>
      </c>
      <c r="E130" s="12" t="str">
        <f>Cod_Gen6[[#This Row],[Modelo]]</f>
        <v>SILVER EAGLE</v>
      </c>
      <c r="F130" s="12">
        <f>Cod_Gen6[[#This Row],[N* Serie]]</f>
        <v>0</v>
      </c>
      <c r="G130" s="9"/>
      <c r="H130" s="3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spans="1:22" ht="15" x14ac:dyDescent="0.2">
      <c r="A131" s="11">
        <v>130</v>
      </c>
      <c r="B131" s="12" t="str">
        <f>Cod_Gen6[[#This Row],[Codigo]]</f>
        <v>CAWEWEN-1</v>
      </c>
      <c r="C131" s="12" t="str">
        <f>Cod_Gen6[[#This Row],[Tipo de Equipo]]</f>
        <v>CAJA SEGURIDAD</v>
      </c>
      <c r="D131" s="12" t="str">
        <f>Cod_Gen6[[#This Row],[Marca]]</f>
        <v>WENCO</v>
      </c>
      <c r="E131" s="12" t="str">
        <f>Cod_Gen6[[#This Row],[Modelo]]</f>
        <v>WENCO</v>
      </c>
      <c r="F131" s="12">
        <f>Cod_Gen6[[#This Row],[N* Serie]]</f>
        <v>0</v>
      </c>
      <c r="G131" s="8"/>
      <c r="H131" s="40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spans="1:22" ht="15" x14ac:dyDescent="0.2">
      <c r="A132" s="11">
        <v>131</v>
      </c>
      <c r="B132" s="12" t="str">
        <f>Cod_Gen6[[#This Row],[Codigo]]</f>
        <v>CAPEPEL-1</v>
      </c>
      <c r="C132" s="12" t="str">
        <f>Cod_Gen6[[#This Row],[Tipo de Equipo]]</f>
        <v>CAJA XLR CORTOS</v>
      </c>
      <c r="D132" s="12" t="str">
        <f>Cod_Gen6[[#This Row],[Marca]]</f>
        <v>PELICAN</v>
      </c>
      <c r="E132" s="12" t="str">
        <f>Cod_Gen6[[#This Row],[Modelo]]</f>
        <v>PELICAN</v>
      </c>
      <c r="F132" s="12">
        <f>Cod_Gen6[[#This Row],[N* Serie]]</f>
        <v>0</v>
      </c>
      <c r="G132" s="9"/>
      <c r="H132" s="3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1:22" ht="15" x14ac:dyDescent="0.2">
      <c r="A133" s="11">
        <v>132</v>
      </c>
      <c r="B133" s="12" t="str">
        <f>Cod_Gen6[[#This Row],[Codigo]]</f>
        <v>CAWEWEN-1</v>
      </c>
      <c r="C133" s="12" t="str">
        <f>Cod_Gen6[[#This Row],[Tipo de Equipo]]</f>
        <v>CAJA ZAPATILLAS</v>
      </c>
      <c r="D133" s="12" t="str">
        <f>Cod_Gen6[[#This Row],[Marca]]</f>
        <v>WENCO</v>
      </c>
      <c r="E133" s="12" t="str">
        <f>Cod_Gen6[[#This Row],[Modelo]]</f>
        <v>WENCO</v>
      </c>
      <c r="F133" s="12">
        <f>Cod_Gen6[[#This Row],[N* Serie]]</f>
        <v>0</v>
      </c>
      <c r="G133" s="8"/>
      <c r="H133" s="40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spans="1:22" ht="15" x14ac:dyDescent="0.2">
      <c r="A134" s="11">
        <v>133</v>
      </c>
      <c r="B134" s="12" t="str">
        <f>Cod_Gen6[[#This Row],[Codigo]]</f>
        <v>CAPEPEL-1</v>
      </c>
      <c r="C134" s="12" t="str">
        <f>Cod_Gen6[[#This Row],[Tipo de Equipo]]</f>
        <v>CAJA MTOUCH+NOTEBOOK</v>
      </c>
      <c r="D134" s="12" t="str">
        <f>Cod_Gen6[[#This Row],[Marca]]</f>
        <v>PELICAN</v>
      </c>
      <c r="E134" s="12" t="str">
        <f>Cod_Gen6[[#This Row],[Modelo]]</f>
        <v>PELICAN</v>
      </c>
      <c r="F134" s="12">
        <f>Cod_Gen6[[#This Row],[N* Serie]]</f>
        <v>0</v>
      </c>
      <c r="G134" s="9"/>
      <c r="H134" s="3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spans="1:22" ht="15" x14ac:dyDescent="0.2">
      <c r="A135" s="11">
        <v>134</v>
      </c>
      <c r="B135" s="12" t="str">
        <f>Cod_Gen6[[#This Row],[Codigo]]</f>
        <v>MTMAMTO-1</v>
      </c>
      <c r="C135" s="12" t="str">
        <f>Cod_Gen6[[#This Row],[Tipo de Equipo]]</f>
        <v>MTOUCH</v>
      </c>
      <c r="D135" s="12" t="str">
        <f>Cod_Gen6[[#This Row],[Marca]]</f>
        <v>MARTIN</v>
      </c>
      <c r="E135" s="12" t="str">
        <f>Cod_Gen6[[#This Row],[Modelo]]</f>
        <v>MTOUCH</v>
      </c>
      <c r="F135" s="12">
        <f>Cod_Gen6[[#This Row],[N* Serie]]</f>
        <v>0</v>
      </c>
      <c r="G135" s="8"/>
      <c r="H135" s="40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spans="1:22" ht="15" x14ac:dyDescent="0.2">
      <c r="A136" s="11">
        <v>135</v>
      </c>
      <c r="B136" s="12" t="str">
        <f>Cod_Gen6[[#This Row],[Codigo]]</f>
        <v>CAMAMAC-1</v>
      </c>
      <c r="C136" s="12" t="str">
        <f>Cod_Gen6[[#This Row],[Tipo de Equipo]]</f>
        <v>CABEZA MOVIL WASH</v>
      </c>
      <c r="D136" s="12" t="str">
        <f>Cod_Gen6[[#This Row],[Marca]]</f>
        <v>MARTIN</v>
      </c>
      <c r="E136" s="12" t="str">
        <f>Cod_Gen6[[#This Row],[Modelo]]</f>
        <v>MAC AURA XB</v>
      </c>
      <c r="F136" s="12">
        <f>Cod_Gen6[[#This Row],[N* Serie]]</f>
        <v>0</v>
      </c>
      <c r="G136" s="9"/>
      <c r="H136" s="3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spans="1:22" ht="15" x14ac:dyDescent="0.2">
      <c r="A137" s="11">
        <v>136</v>
      </c>
      <c r="B137" s="12" t="str">
        <f>Cod_Gen6[[#This Row],[Codigo]]</f>
        <v>CAMAMAC-2</v>
      </c>
      <c r="C137" s="12" t="str">
        <f>Cod_Gen6[[#This Row],[Tipo de Equipo]]</f>
        <v>CABEZA MOVIL WASH</v>
      </c>
      <c r="D137" s="12" t="str">
        <f>Cod_Gen6[[#This Row],[Marca]]</f>
        <v>MARTIN</v>
      </c>
      <c r="E137" s="12" t="str">
        <f>Cod_Gen6[[#This Row],[Modelo]]</f>
        <v>MAC AURA XB</v>
      </c>
      <c r="F137" s="12">
        <f>Cod_Gen6[[#This Row],[N* Serie]]</f>
        <v>0</v>
      </c>
      <c r="G137" s="8"/>
      <c r="H137" s="40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spans="1:22" ht="15" x14ac:dyDescent="0.2">
      <c r="A138" s="11">
        <v>137</v>
      </c>
      <c r="B138" s="12" t="str">
        <f>Cod_Gen6[[#This Row],[Codigo]]</f>
        <v>CAMAMAC-3</v>
      </c>
      <c r="C138" s="12" t="str">
        <f>Cod_Gen6[[#This Row],[Tipo de Equipo]]</f>
        <v>CABEZA MOVIL WASH</v>
      </c>
      <c r="D138" s="12" t="str">
        <f>Cod_Gen6[[#This Row],[Marca]]</f>
        <v>MARTIN</v>
      </c>
      <c r="E138" s="12" t="str">
        <f>Cod_Gen6[[#This Row],[Modelo]]</f>
        <v>MAC AURA XB</v>
      </c>
      <c r="F138" s="12">
        <f>Cod_Gen6[[#This Row],[N* Serie]]</f>
        <v>0</v>
      </c>
      <c r="G138" s="9"/>
      <c r="H138" s="3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spans="1:22" ht="15" x14ac:dyDescent="0.2">
      <c r="A139" s="11">
        <v>138</v>
      </c>
      <c r="B139" s="12" t="str">
        <f>Cod_Gen6[[#This Row],[Codigo]]</f>
        <v>CAMAMAC-4</v>
      </c>
      <c r="C139" s="12" t="str">
        <f>Cod_Gen6[[#This Row],[Tipo de Equipo]]</f>
        <v>CABEZA MOVIL WASH</v>
      </c>
      <c r="D139" s="12" t="str">
        <f>Cod_Gen6[[#This Row],[Marca]]</f>
        <v>MARTIN</v>
      </c>
      <c r="E139" s="12" t="str">
        <f>Cod_Gen6[[#This Row],[Modelo]]</f>
        <v>MAC AURA XB</v>
      </c>
      <c r="F139" s="12">
        <f>Cod_Gen6[[#This Row],[N* Serie]]</f>
        <v>0</v>
      </c>
      <c r="G139" s="8"/>
      <c r="H139" s="40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spans="1:22" ht="15" x14ac:dyDescent="0.2">
      <c r="A140" s="11">
        <v>139</v>
      </c>
      <c r="B140" s="12" t="str">
        <f>Cod_Gen6[[#This Row],[Codigo]]</f>
        <v>CAROMJ5-1</v>
      </c>
      <c r="C140" s="12" t="str">
        <f>Cod_Gen6[[#This Row],[Tipo de Equipo]]</f>
        <v>CAJA BORDES PISTA DE BAILE</v>
      </c>
      <c r="D140" s="12" t="str">
        <f>Cod_Gen6[[#This Row],[Marca]]</f>
        <v>ROBUST</v>
      </c>
      <c r="E140" s="12" t="str">
        <f>Cod_Gen6[[#This Row],[Modelo]]</f>
        <v>MJ5003 B</v>
      </c>
      <c r="F140" s="12">
        <f>Cod_Gen6[[#This Row],[N* Serie]]</f>
        <v>0</v>
      </c>
      <c r="G140" s="9"/>
      <c r="H140" s="3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1:22" ht="15" x14ac:dyDescent="0.2">
      <c r="A141" s="11">
        <v>140</v>
      </c>
      <c r="B141" s="12" t="str">
        <f>Cod_Gen6[[#This Row],[Codigo]]</f>
        <v>CAROROB-1</v>
      </c>
      <c r="C141" s="12" t="str">
        <f>Cod_Gen6[[#This Row],[Tipo de Equipo]]</f>
        <v>CAJA XLR LARGOS</v>
      </c>
      <c r="D141" s="12" t="str">
        <f>Cod_Gen6[[#This Row],[Marca]]</f>
        <v>ROBUST</v>
      </c>
      <c r="E141" s="12" t="str">
        <f>Cod_Gen6[[#This Row],[Modelo]]</f>
        <v>ROBUST</v>
      </c>
      <c r="F141" s="12">
        <f>Cod_Gen6[[#This Row],[N* Serie]]</f>
        <v>0</v>
      </c>
      <c r="G141" s="8"/>
      <c r="H141" s="40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spans="1:22" ht="15" x14ac:dyDescent="0.2">
      <c r="A142" s="11">
        <v>141</v>
      </c>
      <c r="B142" s="12" t="str">
        <f>Cod_Gen6[[#This Row],[Codigo]]</f>
        <v>CAROROB-2</v>
      </c>
      <c r="C142" s="12" t="str">
        <f>Cod_Gen6[[#This Row],[Tipo de Equipo]]</f>
        <v>CAJA XLR LARGOS</v>
      </c>
      <c r="D142" s="12" t="str">
        <f>Cod_Gen6[[#This Row],[Marca]]</f>
        <v>ROBUST</v>
      </c>
      <c r="E142" s="12" t="str">
        <f>Cod_Gen6[[#This Row],[Modelo]]</f>
        <v>ROBUST</v>
      </c>
      <c r="F142" s="12">
        <f>Cod_Gen6[[#This Row],[N* Serie]]</f>
        <v>0</v>
      </c>
      <c r="G142" s="9"/>
      <c r="H142" s="3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spans="1:22" ht="15" x14ac:dyDescent="0.2">
      <c r="A143" s="11">
        <v>142</v>
      </c>
      <c r="B143" s="12" t="str">
        <f>Cod_Gen6[[#This Row],[Codigo]]</f>
        <v>CASA90W-1</v>
      </c>
      <c r="C143" s="12" t="str">
        <f>Cod_Gen6[[#This Row],[Tipo de Equipo]]</f>
        <v>CABEZA MOVIL SPOT</v>
      </c>
      <c r="D143" s="12" t="str">
        <f>Cod_Gen6[[#This Row],[Marca]]</f>
        <v>SANYI LIGHT</v>
      </c>
      <c r="E143" s="12" t="str">
        <f>Cod_Gen6[[#This Row],[Modelo]]</f>
        <v>90W</v>
      </c>
      <c r="F143" s="12">
        <f>Cod_Gen6[[#This Row],[N* Serie]]</f>
        <v>0</v>
      </c>
      <c r="G143" s="8"/>
      <c r="H143" s="40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spans="1:22" ht="15" x14ac:dyDescent="0.2">
      <c r="A144" s="11">
        <v>143</v>
      </c>
      <c r="B144" s="12" t="str">
        <f>Cod_Gen6[[#This Row],[Codigo]]</f>
        <v>CASA90W-2</v>
      </c>
      <c r="C144" s="12" t="str">
        <f>Cod_Gen6[[#This Row],[Tipo de Equipo]]</f>
        <v>CABEZA MOVIL SPOT</v>
      </c>
      <c r="D144" s="12" t="str">
        <f>Cod_Gen6[[#This Row],[Marca]]</f>
        <v>SANYI LIGHT</v>
      </c>
      <c r="E144" s="12" t="str">
        <f>Cod_Gen6[[#This Row],[Modelo]]</f>
        <v>90W</v>
      </c>
      <c r="F144" s="12">
        <f>Cod_Gen6[[#This Row],[N* Serie]]</f>
        <v>0</v>
      </c>
      <c r="G144" s="9"/>
      <c r="H144" s="3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spans="1:22" ht="15" x14ac:dyDescent="0.2">
      <c r="A145" s="11">
        <v>144</v>
      </c>
      <c r="B145" s="12" t="str">
        <f>Cod_Gen6[[#This Row],[Codigo]]</f>
        <v>CASA90W-3</v>
      </c>
      <c r="C145" s="12" t="str">
        <f>Cod_Gen6[[#This Row],[Tipo de Equipo]]</f>
        <v>CABEZA MOVIL SPOT</v>
      </c>
      <c r="D145" s="12" t="str">
        <f>Cod_Gen6[[#This Row],[Marca]]</f>
        <v>SANYI LIGHT</v>
      </c>
      <c r="E145" s="12" t="str">
        <f>Cod_Gen6[[#This Row],[Modelo]]</f>
        <v>90W</v>
      </c>
      <c r="F145" s="12">
        <f>Cod_Gen6[[#This Row],[N* Serie]]</f>
        <v>0</v>
      </c>
      <c r="G145" s="8"/>
      <c r="H145" s="40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spans="1:22" ht="15" x14ac:dyDescent="0.2">
      <c r="A146" s="11">
        <v>145</v>
      </c>
      <c r="B146" s="12" t="str">
        <f>Cod_Gen6[[#This Row],[Codigo]]</f>
        <v>CASA90W-4</v>
      </c>
      <c r="C146" s="12" t="str">
        <f>Cod_Gen6[[#This Row],[Tipo de Equipo]]</f>
        <v>CABEZA MOVIL SPOT</v>
      </c>
      <c r="D146" s="12" t="str">
        <f>Cod_Gen6[[#This Row],[Marca]]</f>
        <v>SANYI LIGHT</v>
      </c>
      <c r="E146" s="12" t="str">
        <f>Cod_Gen6[[#This Row],[Modelo]]</f>
        <v>90W</v>
      </c>
      <c r="F146" s="12">
        <f>Cod_Gen6[[#This Row],[N* Serie]]</f>
        <v>0</v>
      </c>
      <c r="G146" s="9"/>
      <c r="H146" s="3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spans="1:22" ht="15" x14ac:dyDescent="0.2">
      <c r="A147" s="11">
        <v>146</v>
      </c>
      <c r="B147" s="12" t="str">
        <f>Cod_Gen6[[#This Row],[Codigo]]</f>
        <v>CASA90W-5</v>
      </c>
      <c r="C147" s="12" t="str">
        <f>Cod_Gen6[[#This Row],[Tipo de Equipo]]</f>
        <v>CABEZA MOVIL SPOT</v>
      </c>
      <c r="D147" s="12" t="str">
        <f>Cod_Gen6[[#This Row],[Marca]]</f>
        <v>SANYI LIGHT</v>
      </c>
      <c r="E147" s="12" t="str">
        <f>Cod_Gen6[[#This Row],[Modelo]]</f>
        <v>90W</v>
      </c>
      <c r="F147" s="12">
        <f>Cod_Gen6[[#This Row],[N* Serie]]</f>
        <v>0</v>
      </c>
      <c r="G147" s="8"/>
      <c r="H147" s="40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1:22" ht="15" x14ac:dyDescent="0.2">
      <c r="A148" s="11">
        <v>147</v>
      </c>
      <c r="B148" s="12" t="str">
        <f>Cod_Gen6[[#This Row],[Codigo]]</f>
        <v>CASA90W-6</v>
      </c>
      <c r="C148" s="12" t="str">
        <f>Cod_Gen6[[#This Row],[Tipo de Equipo]]</f>
        <v>CABEZA MOVIL SPOT</v>
      </c>
      <c r="D148" s="12" t="str">
        <f>Cod_Gen6[[#This Row],[Marca]]</f>
        <v>SANYI LIGHT</v>
      </c>
      <c r="E148" s="12" t="str">
        <f>Cod_Gen6[[#This Row],[Modelo]]</f>
        <v>90W</v>
      </c>
      <c r="F148" s="12">
        <f>Cod_Gen6[[#This Row],[N* Serie]]</f>
        <v>0</v>
      </c>
      <c r="G148" s="9"/>
      <c r="H148" s="3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spans="1:22" ht="15" x14ac:dyDescent="0.2">
      <c r="A149" s="11">
        <v>148</v>
      </c>
      <c r="B149" s="12" t="str">
        <f>Cod_Gen6[[#This Row],[Codigo]]</f>
        <v>CADMSIN-1</v>
      </c>
      <c r="C149" s="12" t="str">
        <f>Cod_Gen6[[#This Row],[Tipo de Equipo]]</f>
        <v>CAJA CONSOLA DMX</v>
      </c>
      <c r="D149" s="12" t="str">
        <f>Cod_Gen6[[#This Row],[Marca]]</f>
        <v>DMX</v>
      </c>
      <c r="E149" s="12" t="str">
        <f>Cod_Gen6[[#This Row],[Modelo]]</f>
        <v>Sin Modelo</v>
      </c>
      <c r="F149" s="12">
        <f>Cod_Gen6[[#This Row],[N* Serie]]</f>
        <v>0</v>
      </c>
      <c r="G149" s="8"/>
      <c r="H149" s="40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spans="1:22" ht="15" x14ac:dyDescent="0.2">
      <c r="A150" s="11">
        <v>149</v>
      </c>
      <c r="B150" s="12" t="str">
        <f>Cod_Gen6[[#This Row],[Codigo]]</f>
        <v>COLACLU-1</v>
      </c>
      <c r="C150" s="12" t="str">
        <f>Cod_Gen6[[#This Row],[Tipo de Equipo]]</f>
        <v>CONSOLA DMX</v>
      </c>
      <c r="D150" s="12" t="str">
        <f>Cod_Gen6[[#This Row],[Marca]]</f>
        <v>LA GAMME</v>
      </c>
      <c r="E150" s="12" t="str">
        <f>Cod_Gen6[[#This Row],[Modelo]]</f>
        <v>CLUB - 12J</v>
      </c>
      <c r="F150" s="12">
        <f>Cod_Gen6[[#This Row],[N* Serie]]</f>
        <v>0</v>
      </c>
      <c r="G150" s="9"/>
      <c r="H150" s="3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spans="1:22" ht="15" x14ac:dyDescent="0.2">
      <c r="A151" s="11">
        <v>150</v>
      </c>
      <c r="B151" s="12" t="str">
        <f>Cod_Gen6[[#This Row],[Codigo]]</f>
        <v>CEGA2MM-1</v>
      </c>
      <c r="C151" s="12" t="str">
        <f>Cod_Gen6[[#This Row],[Tipo de Equipo]]</f>
        <v>CERCHA 2 MTS</v>
      </c>
      <c r="D151" s="12" t="str">
        <f>Cod_Gen6[[#This Row],[Marca]]</f>
        <v>GALAXY</v>
      </c>
      <c r="E151" s="12" t="str">
        <f>Cod_Gen6[[#This Row],[Modelo]]</f>
        <v>2MM</v>
      </c>
      <c r="F151" s="12">
        <f>Cod_Gen6[[#This Row],[N* Serie]]</f>
        <v>0</v>
      </c>
      <c r="G151" s="8"/>
      <c r="H151" s="40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spans="1:22" ht="15" x14ac:dyDescent="0.2">
      <c r="A152" s="11">
        <v>151</v>
      </c>
      <c r="B152" s="12" t="str">
        <f>Cod_Gen6[[#This Row],[Codigo]]</f>
        <v>CEGA2MM-2</v>
      </c>
      <c r="C152" s="12" t="str">
        <f>Cod_Gen6[[#This Row],[Tipo de Equipo]]</f>
        <v>CERCHA 2 MTS</v>
      </c>
      <c r="D152" s="12" t="str">
        <f>Cod_Gen6[[#This Row],[Marca]]</f>
        <v>GALAXY</v>
      </c>
      <c r="E152" s="12" t="str">
        <f>Cod_Gen6[[#This Row],[Modelo]]</f>
        <v>2MM</v>
      </c>
      <c r="F152" s="12">
        <f>Cod_Gen6[[#This Row],[N* Serie]]</f>
        <v>0</v>
      </c>
      <c r="G152" s="9"/>
      <c r="H152" s="3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spans="1:22" ht="15" x14ac:dyDescent="0.2">
      <c r="A153" s="11">
        <v>152</v>
      </c>
      <c r="B153" s="12" t="str">
        <f>Cod_Gen6[[#This Row],[Codigo]]</f>
        <v>CHLI600-1</v>
      </c>
      <c r="C153" s="12" t="str">
        <f>Cod_Gen6[[#This Row],[Tipo de Equipo]]</f>
        <v>CHISPAS FRIAS</v>
      </c>
      <c r="D153" s="12" t="str">
        <f>Cod_Gen6[[#This Row],[Marca]]</f>
        <v>LIGHTSOLUTION</v>
      </c>
      <c r="E153" s="12" t="str">
        <f>Cod_Gen6[[#This Row],[Modelo]]</f>
        <v>600W</v>
      </c>
      <c r="F153" s="12">
        <f>Cod_Gen6[[#This Row],[N* Serie]]</f>
        <v>0</v>
      </c>
      <c r="G153" s="8"/>
      <c r="H153" s="40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spans="1:22" ht="15" x14ac:dyDescent="0.2">
      <c r="A154" s="11">
        <v>153</v>
      </c>
      <c r="B154" s="12" t="str">
        <f>Cod_Gen6[[#This Row],[Codigo]]</f>
        <v>CHLI600-2</v>
      </c>
      <c r="C154" s="12" t="str">
        <f>Cod_Gen6[[#This Row],[Tipo de Equipo]]</f>
        <v>CHISPAS FRIAS</v>
      </c>
      <c r="D154" s="12" t="str">
        <f>Cod_Gen6[[#This Row],[Marca]]</f>
        <v>LIGHTSOLUTION</v>
      </c>
      <c r="E154" s="12" t="str">
        <f>Cod_Gen6[[#This Row],[Modelo]]</f>
        <v>600W</v>
      </c>
      <c r="F154" s="12">
        <f>Cod_Gen6[[#This Row],[N* Serie]]</f>
        <v>0</v>
      </c>
      <c r="G154" s="9"/>
      <c r="H154" s="3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spans="1:22" ht="15" x14ac:dyDescent="0.2">
      <c r="A155" s="11">
        <v>154</v>
      </c>
      <c r="B155" s="12" t="str">
        <f>Cod_Gen6[[#This Row],[Codigo]]</f>
        <v>CHMO750-1</v>
      </c>
      <c r="C155" s="12" t="str">
        <f>Cod_Gen6[[#This Row],[Tipo de Equipo]]</f>
        <v>CHISPAS FRIAS</v>
      </c>
      <c r="D155" s="12" t="str">
        <f>Cod_Gen6[[#This Row],[Marca]]</f>
        <v>MOWL</v>
      </c>
      <c r="E155" s="12" t="str">
        <f>Cod_Gen6[[#This Row],[Modelo]]</f>
        <v>750W</v>
      </c>
      <c r="F155" s="12">
        <f>Cod_Gen6[[#This Row],[N* Serie]]</f>
        <v>0</v>
      </c>
      <c r="G155" s="8"/>
      <c r="H155" s="40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spans="1:22" ht="15" x14ac:dyDescent="0.2">
      <c r="A156" s="11">
        <v>155</v>
      </c>
      <c r="B156" s="12" t="str">
        <f>Cod_Gen6[[#This Row],[Codigo]]</f>
        <v>CHMO750-2</v>
      </c>
      <c r="C156" s="12" t="str">
        <f>Cod_Gen6[[#This Row],[Tipo de Equipo]]</f>
        <v>CHISPAS FRIAS</v>
      </c>
      <c r="D156" s="12" t="str">
        <f>Cod_Gen6[[#This Row],[Marca]]</f>
        <v>MOWL</v>
      </c>
      <c r="E156" s="12" t="str">
        <f>Cod_Gen6[[#This Row],[Modelo]]</f>
        <v>750W</v>
      </c>
      <c r="F156" s="12">
        <f>Cod_Gen6[[#This Row],[N* Serie]]</f>
        <v>0</v>
      </c>
      <c r="G156" s="9"/>
      <c r="H156" s="3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spans="1:22" ht="15" x14ac:dyDescent="0.2">
      <c r="A157" s="11">
        <v>156</v>
      </c>
      <c r="B157" s="12" t="str">
        <f>Cod_Gen6[[#This Row],[Codigo]]</f>
        <v>COMOMLC-1</v>
      </c>
      <c r="C157" s="12" t="str">
        <f>Cod_Gen6[[#This Row],[Tipo de Equipo]]</f>
        <v>CO2</v>
      </c>
      <c r="D157" s="12" t="str">
        <f>Cod_Gen6[[#This Row],[Marca]]</f>
        <v>MOWL</v>
      </c>
      <c r="E157" s="12" t="str">
        <f>Cod_Gen6[[#This Row],[Modelo]]</f>
        <v>MLCO2-QZ03</v>
      </c>
      <c r="F157" s="12">
        <f>Cod_Gen6[[#This Row],[N* Serie]]</f>
        <v>0</v>
      </c>
      <c r="G157" s="8"/>
      <c r="H157" s="40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spans="1:22" ht="15" x14ac:dyDescent="0.2">
      <c r="A158" s="11">
        <v>157</v>
      </c>
      <c r="B158" s="12" t="str">
        <f>Cod_Gen6[[#This Row],[Codigo]]</f>
        <v>COMOMLC-2</v>
      </c>
      <c r="C158" s="12" t="str">
        <f>Cod_Gen6[[#This Row],[Tipo de Equipo]]</f>
        <v>CO2</v>
      </c>
      <c r="D158" s="12" t="str">
        <f>Cod_Gen6[[#This Row],[Marca]]</f>
        <v>MOWL</v>
      </c>
      <c r="E158" s="12" t="str">
        <f>Cod_Gen6[[#This Row],[Modelo]]</f>
        <v>MLCO2-QZ03</v>
      </c>
      <c r="F158" s="12">
        <f>Cod_Gen6[[#This Row],[N* Serie]]</f>
        <v>0</v>
      </c>
      <c r="G158" s="9"/>
      <c r="H158" s="3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spans="1:22" ht="15" x14ac:dyDescent="0.2">
      <c r="A159" s="11">
        <v>158</v>
      </c>
      <c r="B159" s="12" t="str">
        <f>Cod_Gen6[[#This Row],[Codigo]]</f>
        <v>COAO3X2-1</v>
      </c>
      <c r="C159" s="12" t="str">
        <f>Cod_Gen6[[#This Row],[Tipo de Equipo]]</f>
        <v>CORTINA LED</v>
      </c>
      <c r="D159" s="12" t="str">
        <f>Cod_Gen6[[#This Row],[Marca]]</f>
        <v>AOLAIT</v>
      </c>
      <c r="E159" s="12" t="str">
        <f>Cod_Gen6[[#This Row],[Modelo]]</f>
        <v>3X2M (4U)</v>
      </c>
      <c r="F159" s="12">
        <f>Cod_Gen6[[#This Row],[N* Serie]]</f>
        <v>0</v>
      </c>
      <c r="G159" s="8"/>
      <c r="H159" s="40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spans="1:22" ht="15" x14ac:dyDescent="0.2">
      <c r="A160" s="11">
        <v>159</v>
      </c>
      <c r="B160" s="12" t="str">
        <f>Cod_Gen6[[#This Row],[Codigo]]</f>
        <v>COASSIN-1</v>
      </c>
      <c r="C160" s="12" t="str">
        <f>Cod_Gen6[[#This Row],[Tipo de Equipo]]</f>
        <v xml:space="preserve">COMPUTADOR </v>
      </c>
      <c r="D160" s="12" t="str">
        <f>Cod_Gen6[[#This Row],[Marca]]</f>
        <v>ASUS</v>
      </c>
      <c r="E160" s="12" t="str">
        <f>Cod_Gen6[[#This Row],[Modelo]]</f>
        <v>Sin Modelo</v>
      </c>
      <c r="F160" s="12">
        <f>Cod_Gen6[[#This Row],[N* Serie]]</f>
        <v>0</v>
      </c>
      <c r="G160" s="9"/>
      <c r="H160" s="3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spans="1:22" ht="15" x14ac:dyDescent="0.2">
      <c r="A161" s="11">
        <v>160</v>
      </c>
      <c r="B161" s="12" t="str">
        <f>Cod_Gen6[[#This Row],[Codigo]]</f>
        <v>COBIBDL-1</v>
      </c>
      <c r="C161" s="12" t="str">
        <f>Cod_Gen6[[#This Row],[Tipo de Equipo]]</f>
        <v>COB LED</v>
      </c>
      <c r="D161" s="12" t="str">
        <f>Cod_Gen6[[#This Row],[Marca]]</f>
        <v>BIGDIPPER</v>
      </c>
      <c r="E161" s="12" t="str">
        <f>Cod_Gen6[[#This Row],[Modelo]]</f>
        <v>BDLC001H</v>
      </c>
      <c r="F161" s="12">
        <f>Cod_Gen6[[#This Row],[N* Serie]]</f>
        <v>0</v>
      </c>
      <c r="G161" s="8"/>
      <c r="H161" s="40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spans="1:22" ht="15" x14ac:dyDescent="0.2">
      <c r="A162" s="11">
        <v>161</v>
      </c>
      <c r="B162" s="12" t="str">
        <f>Cod_Gen6[[#This Row],[Codigo]]</f>
        <v>COBIBDL-2</v>
      </c>
      <c r="C162" s="12" t="str">
        <f>Cod_Gen6[[#This Row],[Tipo de Equipo]]</f>
        <v>COB LED</v>
      </c>
      <c r="D162" s="12" t="str">
        <f>Cod_Gen6[[#This Row],[Marca]]</f>
        <v>BIGDIPPER</v>
      </c>
      <c r="E162" s="12" t="str">
        <f>Cod_Gen6[[#This Row],[Modelo]]</f>
        <v>BDLC001H</v>
      </c>
      <c r="F162" s="12">
        <f>Cod_Gen6[[#This Row],[N* Serie]]</f>
        <v>0</v>
      </c>
      <c r="G162" s="9"/>
      <c r="H162" s="3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spans="1:22" ht="15" x14ac:dyDescent="0.2">
      <c r="A163" s="11">
        <v>162</v>
      </c>
      <c r="B163" s="12" t="str">
        <f>Cod_Gen6[[#This Row],[Codigo]]</f>
        <v>COBIBDL-3</v>
      </c>
      <c r="C163" s="12" t="str">
        <f>Cod_Gen6[[#This Row],[Tipo de Equipo]]</f>
        <v>COB LED</v>
      </c>
      <c r="D163" s="12" t="str">
        <f>Cod_Gen6[[#This Row],[Marca]]</f>
        <v>BIGDIPPER</v>
      </c>
      <c r="E163" s="12" t="str">
        <f>Cod_Gen6[[#This Row],[Modelo]]</f>
        <v>BDLC001H</v>
      </c>
      <c r="F163" s="12">
        <f>Cod_Gen6[[#This Row],[N* Serie]]</f>
        <v>0</v>
      </c>
      <c r="G163" s="8"/>
      <c r="H163" s="40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spans="1:22" ht="15" x14ac:dyDescent="0.2">
      <c r="A164" s="11">
        <v>163</v>
      </c>
      <c r="B164" s="12" t="str">
        <f>Cod_Gen6[[#This Row],[Codigo]]</f>
        <v>COBIBDL-4</v>
      </c>
      <c r="C164" s="12" t="str">
        <f>Cod_Gen6[[#This Row],[Tipo de Equipo]]</f>
        <v>COB LED</v>
      </c>
      <c r="D164" s="12" t="str">
        <f>Cod_Gen6[[#This Row],[Marca]]</f>
        <v>BIGDIPPER</v>
      </c>
      <c r="E164" s="12" t="str">
        <f>Cod_Gen6[[#This Row],[Modelo]]</f>
        <v>BDLC001H</v>
      </c>
      <c r="F164" s="12">
        <f>Cod_Gen6[[#This Row],[N* Serie]]</f>
        <v>0</v>
      </c>
      <c r="G164" s="9"/>
      <c r="H164" s="3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spans="1:22" ht="15" x14ac:dyDescent="0.2">
      <c r="A165" s="11">
        <v>164</v>
      </c>
      <c r="B165" s="12" t="str">
        <f>Cod_Gen6[[#This Row],[Codigo]]</f>
        <v>COBIBDL-5</v>
      </c>
      <c r="C165" s="12" t="str">
        <f>Cod_Gen6[[#This Row],[Tipo de Equipo]]</f>
        <v>COB LED</v>
      </c>
      <c r="D165" s="12" t="str">
        <f>Cod_Gen6[[#This Row],[Marca]]</f>
        <v>BIGDIPPER</v>
      </c>
      <c r="E165" s="12" t="str">
        <f>Cod_Gen6[[#This Row],[Modelo]]</f>
        <v>BDLC001H</v>
      </c>
      <c r="F165" s="12">
        <f>Cod_Gen6[[#This Row],[N* Serie]]</f>
        <v>0</v>
      </c>
      <c r="G165" s="8"/>
      <c r="H165" s="40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spans="1:22" ht="15" x14ac:dyDescent="0.2">
      <c r="A166" s="11">
        <v>165</v>
      </c>
      <c r="B166" s="12" t="str">
        <f>Cod_Gen6[[#This Row],[Codigo]]</f>
        <v>COBIBDL-6</v>
      </c>
      <c r="C166" s="12" t="str">
        <f>Cod_Gen6[[#This Row],[Tipo de Equipo]]</f>
        <v>COB LED</v>
      </c>
      <c r="D166" s="12" t="str">
        <f>Cod_Gen6[[#This Row],[Marca]]</f>
        <v>BIGDIPPER</v>
      </c>
      <c r="E166" s="12" t="str">
        <f>Cod_Gen6[[#This Row],[Modelo]]</f>
        <v>BDLC001H</v>
      </c>
      <c r="F166" s="12">
        <f>Cod_Gen6[[#This Row],[N* Serie]]</f>
        <v>0</v>
      </c>
      <c r="G166" s="9"/>
      <c r="H166" s="3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2" ht="15" x14ac:dyDescent="0.2">
      <c r="A167" s="11">
        <v>166</v>
      </c>
      <c r="B167" s="12" t="str">
        <f>Cod_Gen6[[#This Row],[Codigo]]</f>
        <v>COBIBDL-7</v>
      </c>
      <c r="C167" s="12" t="str">
        <f>Cod_Gen6[[#This Row],[Tipo de Equipo]]</f>
        <v>COB LED</v>
      </c>
      <c r="D167" s="12" t="str">
        <f>Cod_Gen6[[#This Row],[Marca]]</f>
        <v>BIGDIPPER</v>
      </c>
      <c r="E167" s="12" t="str">
        <f>Cod_Gen6[[#This Row],[Modelo]]</f>
        <v>BDLC001H</v>
      </c>
      <c r="F167" s="12">
        <f>Cod_Gen6[[#This Row],[N* Serie]]</f>
        <v>0</v>
      </c>
      <c r="G167" s="8"/>
      <c r="H167" s="40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spans="1:22" ht="15" x14ac:dyDescent="0.2">
      <c r="A168" s="11">
        <v>167</v>
      </c>
      <c r="B168" s="12" t="str">
        <f>Cod_Gen6[[#This Row],[Codigo]]</f>
        <v>COBIBDL-8</v>
      </c>
      <c r="C168" s="12" t="str">
        <f>Cod_Gen6[[#This Row],[Tipo de Equipo]]</f>
        <v>COB LED</v>
      </c>
      <c r="D168" s="12" t="str">
        <f>Cod_Gen6[[#This Row],[Marca]]</f>
        <v>BIGDIPPER</v>
      </c>
      <c r="E168" s="12" t="str">
        <f>Cod_Gen6[[#This Row],[Modelo]]</f>
        <v>BDLC001H</v>
      </c>
      <c r="F168" s="12">
        <f>Cod_Gen6[[#This Row],[N* Serie]]</f>
        <v>0</v>
      </c>
      <c r="G168" s="9"/>
      <c r="H168" s="3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spans="1:22" ht="15" x14ac:dyDescent="0.2">
      <c r="A169" s="11">
        <v>168</v>
      </c>
      <c r="B169" s="12" t="str">
        <f>Cod_Gen6[[#This Row],[Codigo]]</f>
        <v>COBIBDL-9</v>
      </c>
      <c r="C169" s="12" t="str">
        <f>Cod_Gen6[[#This Row],[Tipo de Equipo]]</f>
        <v>COB LED</v>
      </c>
      <c r="D169" s="12" t="str">
        <f>Cod_Gen6[[#This Row],[Marca]]</f>
        <v>BIGDIPPER</v>
      </c>
      <c r="E169" s="12" t="str">
        <f>Cod_Gen6[[#This Row],[Modelo]]</f>
        <v>BDLC001H</v>
      </c>
      <c r="F169" s="12">
        <f>Cod_Gen6[[#This Row],[N* Serie]]</f>
        <v>0</v>
      </c>
      <c r="G169" s="8"/>
      <c r="H169" s="40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spans="1:22" ht="15" x14ac:dyDescent="0.2">
      <c r="A170" s="11">
        <v>169</v>
      </c>
      <c r="B170" s="12" t="str">
        <f>Cod_Gen6[[#This Row],[Codigo]]</f>
        <v>COBIBDL-10</v>
      </c>
      <c r="C170" s="12" t="str">
        <f>Cod_Gen6[[#This Row],[Tipo de Equipo]]</f>
        <v>COB LED</v>
      </c>
      <c r="D170" s="12" t="str">
        <f>Cod_Gen6[[#This Row],[Marca]]</f>
        <v>BIGDIPPER</v>
      </c>
      <c r="E170" s="12" t="str">
        <f>Cod_Gen6[[#This Row],[Modelo]]</f>
        <v>BDLC001H</v>
      </c>
      <c r="F170" s="12">
        <f>Cod_Gen6[[#This Row],[N* Serie]]</f>
        <v>0</v>
      </c>
      <c r="G170" s="9"/>
      <c r="H170" s="3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spans="1:22" ht="15" x14ac:dyDescent="0.2">
      <c r="A171" s="11">
        <v>170</v>
      </c>
      <c r="B171" s="12" t="str">
        <f>Cod_Gen6[[#This Row],[Codigo]]</f>
        <v>COBIBDL-11</v>
      </c>
      <c r="C171" s="12" t="str">
        <f>Cod_Gen6[[#This Row],[Tipo de Equipo]]</f>
        <v>COB LED</v>
      </c>
      <c r="D171" s="12" t="str">
        <f>Cod_Gen6[[#This Row],[Marca]]</f>
        <v>BIGDIPPER</v>
      </c>
      <c r="E171" s="12" t="str">
        <f>Cod_Gen6[[#This Row],[Modelo]]</f>
        <v>BDLC001H</v>
      </c>
      <c r="F171" s="12">
        <f>Cod_Gen6[[#This Row],[N* Serie]]</f>
        <v>0</v>
      </c>
      <c r="G171" s="8"/>
      <c r="H171" s="40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spans="1:22" ht="15" x14ac:dyDescent="0.2">
      <c r="A172" s="11">
        <v>171</v>
      </c>
      <c r="B172" s="12" t="str">
        <f>Cod_Gen6[[#This Row],[Codigo]]</f>
        <v>COBIBDL-12</v>
      </c>
      <c r="C172" s="12" t="str">
        <f>Cod_Gen6[[#This Row],[Tipo de Equipo]]</f>
        <v>COB LED</v>
      </c>
      <c r="D172" s="12" t="str">
        <f>Cod_Gen6[[#This Row],[Marca]]</f>
        <v>BIGDIPPER</v>
      </c>
      <c r="E172" s="12" t="str">
        <f>Cod_Gen6[[#This Row],[Modelo]]</f>
        <v>BDLC001H</v>
      </c>
      <c r="F172" s="12">
        <f>Cod_Gen6[[#This Row],[N* Serie]]</f>
        <v>0</v>
      </c>
      <c r="G172" s="9"/>
      <c r="H172" s="3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spans="1:22" ht="15" x14ac:dyDescent="0.2">
      <c r="A173" s="11">
        <v>172</v>
      </c>
      <c r="B173" s="12" t="str">
        <f>Cod_Gen6[[#This Row],[Codigo]]</f>
        <v>COBIBDL-13</v>
      </c>
      <c r="C173" s="12" t="str">
        <f>Cod_Gen6[[#This Row],[Tipo de Equipo]]</f>
        <v>COB LED</v>
      </c>
      <c r="D173" s="12" t="str">
        <f>Cod_Gen6[[#This Row],[Marca]]</f>
        <v>BIGDIPPER</v>
      </c>
      <c r="E173" s="12" t="str">
        <f>Cod_Gen6[[#This Row],[Modelo]]</f>
        <v>BDLC001H</v>
      </c>
      <c r="F173" s="12">
        <f>Cod_Gen6[[#This Row],[N* Serie]]</f>
        <v>0</v>
      </c>
      <c r="G173" s="8"/>
      <c r="H173" s="40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5" x14ac:dyDescent="0.2">
      <c r="A174" s="11">
        <v>173</v>
      </c>
      <c r="B174" s="12" t="str">
        <f>Cod_Gen6[[#This Row],[Codigo]]</f>
        <v>COBIBDL-14</v>
      </c>
      <c r="C174" s="12" t="str">
        <f>Cod_Gen6[[#This Row],[Tipo de Equipo]]</f>
        <v>COB LED</v>
      </c>
      <c r="D174" s="12" t="str">
        <f>Cod_Gen6[[#This Row],[Marca]]</f>
        <v>BIGDIPPER</v>
      </c>
      <c r="E174" s="12" t="str">
        <f>Cod_Gen6[[#This Row],[Modelo]]</f>
        <v>BDLC001H</v>
      </c>
      <c r="F174" s="12">
        <f>Cod_Gen6[[#This Row],[N* Serie]]</f>
        <v>0</v>
      </c>
      <c r="G174" s="9"/>
      <c r="H174" s="3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spans="1:22" ht="15" x14ac:dyDescent="0.2">
      <c r="A175" s="11">
        <v>174</v>
      </c>
      <c r="B175" s="12" t="str">
        <f>Cod_Gen6[[#This Row],[Codigo]]</f>
        <v>COBIBDL-15</v>
      </c>
      <c r="C175" s="12" t="str">
        <f>Cod_Gen6[[#This Row],[Tipo de Equipo]]</f>
        <v>COB LED</v>
      </c>
      <c r="D175" s="12" t="str">
        <f>Cod_Gen6[[#This Row],[Marca]]</f>
        <v>BIGDIPPER</v>
      </c>
      <c r="E175" s="12" t="str">
        <f>Cod_Gen6[[#This Row],[Modelo]]</f>
        <v>BDLC001H</v>
      </c>
      <c r="F175" s="12">
        <f>Cod_Gen6[[#This Row],[N* Serie]]</f>
        <v>0</v>
      </c>
      <c r="G175" s="8"/>
      <c r="H175" s="40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spans="1:22" ht="15" x14ac:dyDescent="0.2">
      <c r="A176" s="11">
        <v>175</v>
      </c>
      <c r="B176" s="12" t="str">
        <f>Cod_Gen6[[#This Row],[Codigo]]</f>
        <v>COBIBDL-16</v>
      </c>
      <c r="C176" s="12" t="str">
        <f>Cod_Gen6[[#This Row],[Tipo de Equipo]]</f>
        <v>COB LED</v>
      </c>
      <c r="D176" s="12" t="str">
        <f>Cod_Gen6[[#This Row],[Marca]]</f>
        <v>BIGDIPPER</v>
      </c>
      <c r="E176" s="12" t="str">
        <f>Cod_Gen6[[#This Row],[Modelo]]</f>
        <v>BDLC001H</v>
      </c>
      <c r="F176" s="12">
        <f>Cod_Gen6[[#This Row],[N* Serie]]</f>
        <v>0</v>
      </c>
      <c r="G176" s="9"/>
      <c r="H176" s="3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spans="1:22" ht="15" x14ac:dyDescent="0.2">
      <c r="A177" s="11">
        <v>176</v>
      </c>
      <c r="B177" s="12" t="str">
        <f>Cod_Gen6[[#This Row],[Codigo]]</f>
        <v>COHPX36-1</v>
      </c>
      <c r="C177" s="12" t="str">
        <f>Cod_Gen6[[#This Row],[Tipo de Equipo]]</f>
        <v xml:space="preserve">COMPUTADOR </v>
      </c>
      <c r="D177" s="12" t="str">
        <f>Cod_Gen6[[#This Row],[Marca]]</f>
        <v>HP</v>
      </c>
      <c r="E177" s="12" t="str">
        <f>Cod_Gen6[[#This Row],[Modelo]]</f>
        <v>X360 PAVILLION</v>
      </c>
      <c r="F177" s="12">
        <f>Cod_Gen6[[#This Row],[N* Serie]]</f>
        <v>0</v>
      </c>
      <c r="G177" s="8"/>
      <c r="H177" s="40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spans="1:22" ht="15" x14ac:dyDescent="0.2">
      <c r="A178" s="11">
        <v>177</v>
      </c>
      <c r="B178" s="12" t="str">
        <f>Cod_Gen6[[#This Row],[Codigo]]</f>
        <v>COSVEFX-1</v>
      </c>
      <c r="C178" s="12" t="str">
        <f>Cod_Gen6[[#This Row],[Tipo de Equipo]]</f>
        <v>CONFETTI</v>
      </c>
      <c r="D178" s="12" t="str">
        <f>Cod_Gen6[[#This Row],[Marca]]</f>
        <v>SV PRO</v>
      </c>
      <c r="E178" s="12" t="str">
        <f>Cod_Gen6[[#This Row],[Modelo]]</f>
        <v>EFXT-FX03</v>
      </c>
      <c r="F178" s="12">
        <f>Cod_Gen6[[#This Row],[N* Serie]]</f>
        <v>0</v>
      </c>
      <c r="G178" s="9"/>
      <c r="H178" s="3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spans="1:22" ht="15" x14ac:dyDescent="0.2">
      <c r="A179" s="11">
        <v>178</v>
      </c>
      <c r="B179" s="12" t="str">
        <f>Cod_Gen6[[#This Row],[Codigo]]</f>
        <v>COSVEFX-2</v>
      </c>
      <c r="C179" s="12" t="str">
        <f>Cod_Gen6[[#This Row],[Tipo de Equipo]]</f>
        <v>CONFETTI</v>
      </c>
      <c r="D179" s="12" t="str">
        <f>Cod_Gen6[[#This Row],[Marca]]</f>
        <v>SV PRO</v>
      </c>
      <c r="E179" s="12" t="str">
        <f>Cod_Gen6[[#This Row],[Modelo]]</f>
        <v>EFXT-FX03</v>
      </c>
      <c r="F179" s="12">
        <f>Cod_Gen6[[#This Row],[N* Serie]]</f>
        <v>0</v>
      </c>
      <c r="G179" s="8"/>
      <c r="H179" s="40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spans="1:22" ht="15" x14ac:dyDescent="0.2">
      <c r="A180" s="11">
        <v>179</v>
      </c>
      <c r="B180" s="12" t="str">
        <f>Cod_Gen6[[#This Row],[Codigo]]</f>
        <v>ESHA930-1</v>
      </c>
      <c r="C180" s="12" t="str">
        <f>Cod_Gen6[[#This Row],[Tipo de Equipo]]</f>
        <v>ESCALA MEDIANA</v>
      </c>
      <c r="D180" s="12" t="str">
        <f>Cod_Gen6[[#This Row],[Marca]]</f>
        <v>HALO</v>
      </c>
      <c r="E180" s="12" t="str">
        <f>Cod_Gen6[[#This Row],[Modelo]]</f>
        <v>9309-507</v>
      </c>
      <c r="F180" s="12">
        <f>Cod_Gen6[[#This Row],[N* Serie]]</f>
        <v>0</v>
      </c>
      <c r="G180" s="9"/>
      <c r="H180" s="3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spans="1:22" ht="15" x14ac:dyDescent="0.2">
      <c r="A181" s="11">
        <v>180</v>
      </c>
      <c r="B181" s="12" t="str">
        <f>Cod_Gen6[[#This Row],[Codigo]]</f>
        <v>ESSOSIN-1</v>
      </c>
      <c r="C181" s="12" t="str">
        <f>Cod_Gen6[[#This Row],[Tipo de Equipo]]</f>
        <v>ESCALA RETRACTIL</v>
      </c>
      <c r="D181" s="12" t="str">
        <f>Cod_Gen6[[#This Row],[Marca]]</f>
        <v>SODIMAC</v>
      </c>
      <c r="E181" s="12" t="str">
        <f>Cod_Gen6[[#This Row],[Modelo]]</f>
        <v>Sin Modelo</v>
      </c>
      <c r="F181" s="12">
        <f>Cod_Gen6[[#This Row],[N* Serie]]</f>
        <v>0</v>
      </c>
      <c r="G181" s="8"/>
      <c r="H181" s="40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spans="1:22" ht="15" x14ac:dyDescent="0.2">
      <c r="A182" s="11">
        <v>181</v>
      </c>
      <c r="B182" s="12" t="str">
        <f>Cod_Gen6[[#This Row],[Codigo]]</f>
        <v>EXGE10 -1</v>
      </c>
      <c r="C182" s="12" t="str">
        <f>Cod_Gen6[[#This Row],[Tipo de Equipo]]</f>
        <v>EXTENSIONES MONO</v>
      </c>
      <c r="D182" s="12" t="str">
        <f>Cod_Gen6[[#This Row],[Marca]]</f>
        <v>GENERICO</v>
      </c>
      <c r="E182" s="12" t="str">
        <f>Cod_Gen6[[#This Row],[Modelo]]</f>
        <v>10 MTS</v>
      </c>
      <c r="F182" s="12">
        <f>Cod_Gen6[[#This Row],[N* Serie]]</f>
        <v>0</v>
      </c>
      <c r="G182" s="9"/>
      <c r="H182" s="3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spans="1:22" ht="15" x14ac:dyDescent="0.2">
      <c r="A183" s="11">
        <v>182</v>
      </c>
      <c r="B183" s="12" t="str">
        <f>Cod_Gen6[[#This Row],[Codigo]]</f>
        <v>EXGE10 -2</v>
      </c>
      <c r="C183" s="12" t="str">
        <f>Cod_Gen6[[#This Row],[Tipo de Equipo]]</f>
        <v>EXTENSIONES MONO</v>
      </c>
      <c r="D183" s="12" t="str">
        <f>Cod_Gen6[[#This Row],[Marca]]</f>
        <v>GENERICO</v>
      </c>
      <c r="E183" s="12" t="str">
        <f>Cod_Gen6[[#This Row],[Modelo]]</f>
        <v>10 MTS</v>
      </c>
      <c r="F183" s="12">
        <f>Cod_Gen6[[#This Row],[N* Serie]]</f>
        <v>0</v>
      </c>
      <c r="G183" s="8"/>
      <c r="H183" s="40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spans="1:22" ht="15" x14ac:dyDescent="0.2">
      <c r="A184" s="11">
        <v>183</v>
      </c>
      <c r="B184" s="12" t="str">
        <f>Cod_Gen6[[#This Row],[Codigo]]</f>
        <v>EXGE10 -3</v>
      </c>
      <c r="C184" s="12" t="str">
        <f>Cod_Gen6[[#This Row],[Tipo de Equipo]]</f>
        <v>EXTENSIONES MONO</v>
      </c>
      <c r="D184" s="12" t="str">
        <f>Cod_Gen6[[#This Row],[Marca]]</f>
        <v>GENERICO</v>
      </c>
      <c r="E184" s="12" t="str">
        <f>Cod_Gen6[[#This Row],[Modelo]]</f>
        <v>10 MTS</v>
      </c>
      <c r="F184" s="12">
        <f>Cod_Gen6[[#This Row],[N* Serie]]</f>
        <v>0</v>
      </c>
      <c r="G184" s="9"/>
      <c r="H184" s="3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spans="1:22" ht="15" x14ac:dyDescent="0.2">
      <c r="A185" s="11">
        <v>184</v>
      </c>
      <c r="B185" s="12" t="str">
        <f>Cod_Gen6[[#This Row],[Codigo]]</f>
        <v>EXGE10 -4</v>
      </c>
      <c r="C185" s="12" t="str">
        <f>Cod_Gen6[[#This Row],[Tipo de Equipo]]</f>
        <v>EXTENSIONES MONO</v>
      </c>
      <c r="D185" s="12" t="str">
        <f>Cod_Gen6[[#This Row],[Marca]]</f>
        <v>GENERICO</v>
      </c>
      <c r="E185" s="12" t="str">
        <f>Cod_Gen6[[#This Row],[Modelo]]</f>
        <v>10 MTS</v>
      </c>
      <c r="F185" s="12">
        <f>Cod_Gen6[[#This Row],[N* Serie]]</f>
        <v>0</v>
      </c>
      <c r="G185" s="8"/>
      <c r="H185" s="40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spans="1:22" ht="15" x14ac:dyDescent="0.2">
      <c r="A186" s="11">
        <v>185</v>
      </c>
      <c r="B186" s="12" t="str">
        <f>Cod_Gen6[[#This Row],[Codigo]]</f>
        <v>EXGE10 -5</v>
      </c>
      <c r="C186" s="12" t="str">
        <f>Cod_Gen6[[#This Row],[Tipo de Equipo]]</f>
        <v>EXTENSIONES MONO</v>
      </c>
      <c r="D186" s="12" t="str">
        <f>Cod_Gen6[[#This Row],[Marca]]</f>
        <v>GENERICO</v>
      </c>
      <c r="E186" s="12" t="str">
        <f>Cod_Gen6[[#This Row],[Modelo]]</f>
        <v>10 MTS</v>
      </c>
      <c r="F186" s="12">
        <f>Cod_Gen6[[#This Row],[N* Serie]]</f>
        <v>0</v>
      </c>
      <c r="G186" s="9"/>
      <c r="H186" s="3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spans="1:22" ht="15" x14ac:dyDescent="0.2">
      <c r="A187" s="11">
        <v>186</v>
      </c>
      <c r="B187" s="12" t="str">
        <f>Cod_Gen6[[#This Row],[Codigo]]</f>
        <v>EXGE10 -6</v>
      </c>
      <c r="C187" s="12" t="str">
        <f>Cod_Gen6[[#This Row],[Tipo de Equipo]]</f>
        <v>EXTENSIONES MONO</v>
      </c>
      <c r="D187" s="12" t="str">
        <f>Cod_Gen6[[#This Row],[Marca]]</f>
        <v>GENERICO</v>
      </c>
      <c r="E187" s="12" t="str">
        <f>Cod_Gen6[[#This Row],[Modelo]]</f>
        <v>10 MTS</v>
      </c>
      <c r="F187" s="12">
        <f>Cod_Gen6[[#This Row],[N* Serie]]</f>
        <v>0</v>
      </c>
      <c r="G187" s="8"/>
      <c r="H187" s="40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spans="1:22" ht="15" x14ac:dyDescent="0.2">
      <c r="A188" s="11">
        <v>187</v>
      </c>
      <c r="B188" s="12" t="str">
        <f>Cod_Gen6[[#This Row],[Codigo]]</f>
        <v>EXGE10 -7</v>
      </c>
      <c r="C188" s="12" t="str">
        <f>Cod_Gen6[[#This Row],[Tipo de Equipo]]</f>
        <v>EXTENSIONES MONO</v>
      </c>
      <c r="D188" s="12" t="str">
        <f>Cod_Gen6[[#This Row],[Marca]]</f>
        <v>GENERICO</v>
      </c>
      <c r="E188" s="12" t="str">
        <f>Cod_Gen6[[#This Row],[Modelo]]</f>
        <v>10 MTS</v>
      </c>
      <c r="F188" s="12">
        <f>Cod_Gen6[[#This Row],[N* Serie]]</f>
        <v>0</v>
      </c>
      <c r="G188" s="9"/>
      <c r="H188" s="3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spans="1:22" ht="15" x14ac:dyDescent="0.2">
      <c r="A189" s="11">
        <v>188</v>
      </c>
      <c r="B189" s="12" t="str">
        <f>Cod_Gen6[[#This Row],[Codigo]]</f>
        <v>EXGE10 -8</v>
      </c>
      <c r="C189" s="12" t="str">
        <f>Cod_Gen6[[#This Row],[Tipo de Equipo]]</f>
        <v>EXTENSIONES MONO</v>
      </c>
      <c r="D189" s="12" t="str">
        <f>Cod_Gen6[[#This Row],[Marca]]</f>
        <v>GENERICO</v>
      </c>
      <c r="E189" s="12" t="str">
        <f>Cod_Gen6[[#This Row],[Modelo]]</f>
        <v>10 MTS</v>
      </c>
      <c r="F189" s="12">
        <f>Cod_Gen6[[#This Row],[N* Serie]]</f>
        <v>0</v>
      </c>
      <c r="G189" s="8"/>
      <c r="H189" s="40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spans="1:22" ht="15" x14ac:dyDescent="0.2">
      <c r="A190" s="11">
        <v>189</v>
      </c>
      <c r="B190" s="12" t="str">
        <f>Cod_Gen6[[#This Row],[Codigo]]</f>
        <v>EXGE10 -9</v>
      </c>
      <c r="C190" s="12" t="str">
        <f>Cod_Gen6[[#This Row],[Tipo de Equipo]]</f>
        <v>EXTENSIONES MONO</v>
      </c>
      <c r="D190" s="12" t="str">
        <f>Cod_Gen6[[#This Row],[Marca]]</f>
        <v>GENERICO</v>
      </c>
      <c r="E190" s="12" t="str">
        <f>Cod_Gen6[[#This Row],[Modelo]]</f>
        <v>10 MTS</v>
      </c>
      <c r="F190" s="12">
        <f>Cod_Gen6[[#This Row],[N* Serie]]</f>
        <v>0</v>
      </c>
      <c r="G190" s="9"/>
      <c r="H190" s="3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spans="1:22" ht="15" x14ac:dyDescent="0.2">
      <c r="A191" s="11">
        <v>190</v>
      </c>
      <c r="B191" s="12" t="str">
        <f>Cod_Gen6[[#This Row],[Codigo]]</f>
        <v>EXGE10 -10</v>
      </c>
      <c r="C191" s="12" t="str">
        <f>Cod_Gen6[[#This Row],[Tipo de Equipo]]</f>
        <v>EXTENSIONES MONO</v>
      </c>
      <c r="D191" s="12" t="str">
        <f>Cod_Gen6[[#This Row],[Marca]]</f>
        <v>GENERICO</v>
      </c>
      <c r="E191" s="12" t="str">
        <f>Cod_Gen6[[#This Row],[Modelo]]</f>
        <v>10 MTS</v>
      </c>
      <c r="F191" s="12">
        <f>Cod_Gen6[[#This Row],[N* Serie]]</f>
        <v>0</v>
      </c>
      <c r="G191" s="8"/>
      <c r="H191" s="40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spans="1:22" ht="15" x14ac:dyDescent="0.2">
      <c r="A192" s="11">
        <v>191</v>
      </c>
      <c r="B192" s="12" t="str">
        <f>Cod_Gen6[[#This Row],[Codigo]]</f>
        <v>FIGEN/A-1</v>
      </c>
      <c r="C192" s="12" t="str">
        <f>Cod_Gen6[[#This Row],[Tipo de Equipo]]</f>
        <v>FIERRO BOLA DISCO</v>
      </c>
      <c r="D192" s="12" t="str">
        <f>Cod_Gen6[[#This Row],[Marca]]</f>
        <v>GENERICO</v>
      </c>
      <c r="E192" s="12" t="str">
        <f>Cod_Gen6[[#This Row],[Modelo]]</f>
        <v>N/A</v>
      </c>
      <c r="F192" s="12">
        <f>Cod_Gen6[[#This Row],[N* Serie]]</f>
        <v>0</v>
      </c>
      <c r="G192" s="9"/>
      <c r="H192" s="3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spans="1:22" ht="15" x14ac:dyDescent="0.2">
      <c r="A193" s="11">
        <v>192</v>
      </c>
      <c r="B193" s="12" t="str">
        <f>Cod_Gen6[[#This Row],[Codigo]]</f>
        <v>FIGEN/A-2</v>
      </c>
      <c r="C193" s="12" t="str">
        <f>Cod_Gen6[[#This Row],[Tipo de Equipo]]</f>
        <v>FIERRO BOLA DISCO</v>
      </c>
      <c r="D193" s="12" t="str">
        <f>Cod_Gen6[[#This Row],[Marca]]</f>
        <v>GENERICO</v>
      </c>
      <c r="E193" s="12" t="str">
        <f>Cod_Gen6[[#This Row],[Modelo]]</f>
        <v>N/A</v>
      </c>
      <c r="F193" s="12">
        <f>Cod_Gen6[[#This Row],[N* Serie]]</f>
        <v>0</v>
      </c>
      <c r="G193" s="8"/>
      <c r="H193" s="40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spans="1:22" ht="15" x14ac:dyDescent="0.2">
      <c r="A194" s="11">
        <v>193</v>
      </c>
      <c r="B194" s="12" t="str">
        <f>Cod_Gen6[[#This Row],[Codigo]]</f>
        <v>FIGEN/A-3</v>
      </c>
      <c r="C194" s="12" t="str">
        <f>Cod_Gen6[[#This Row],[Tipo de Equipo]]</f>
        <v>FIERRO BOLA DISCO</v>
      </c>
      <c r="D194" s="12" t="str">
        <f>Cod_Gen6[[#This Row],[Marca]]</f>
        <v>GENERICO</v>
      </c>
      <c r="E194" s="12" t="str">
        <f>Cod_Gen6[[#This Row],[Modelo]]</f>
        <v>N/A</v>
      </c>
      <c r="F194" s="12">
        <f>Cod_Gen6[[#This Row],[N* Serie]]</f>
        <v>0</v>
      </c>
      <c r="G194" s="9"/>
      <c r="H194" s="3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spans="1:22" ht="15" x14ac:dyDescent="0.2">
      <c r="A195" s="11">
        <v>194</v>
      </c>
      <c r="B195" s="12" t="str">
        <f>Cod_Gen6[[#This Row],[Codigo]]</f>
        <v>FIGEN/A-4</v>
      </c>
      <c r="C195" s="12" t="str">
        <f>Cod_Gen6[[#This Row],[Tipo de Equipo]]</f>
        <v>FIERRO BOLA DISCO</v>
      </c>
      <c r="D195" s="12" t="str">
        <f>Cod_Gen6[[#This Row],[Marca]]</f>
        <v>GENERICO</v>
      </c>
      <c r="E195" s="12" t="str">
        <f>Cod_Gen6[[#This Row],[Modelo]]</f>
        <v>N/A</v>
      </c>
      <c r="F195" s="12">
        <f>Cod_Gen6[[#This Row],[N* Serie]]</f>
        <v>0</v>
      </c>
      <c r="G195" s="8"/>
      <c r="H195" s="40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spans="1:22" ht="15" x14ac:dyDescent="0.2">
      <c r="A196" s="11">
        <v>195</v>
      </c>
      <c r="B196" s="12" t="str">
        <f>Cod_Gen6[[#This Row],[Codigo]]</f>
        <v>ESHA931-1</v>
      </c>
      <c r="C196" s="12" t="str">
        <f>Cod_Gen6[[#This Row],[Tipo de Equipo]]</f>
        <v>ESCALA GRANDE</v>
      </c>
      <c r="D196" s="12" t="str">
        <f>Cod_Gen6[[#This Row],[Marca]]</f>
        <v>HALO</v>
      </c>
      <c r="E196" s="12" t="str">
        <f>Cod_Gen6[[#This Row],[Modelo]]</f>
        <v>9312-507</v>
      </c>
      <c r="F196" s="12">
        <f>Cod_Gen6[[#This Row],[N* Serie]]</f>
        <v>0</v>
      </c>
      <c r="G196" s="9"/>
      <c r="H196" s="3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spans="1:22" ht="15" x14ac:dyDescent="0.2">
      <c r="A197" s="11">
        <v>196</v>
      </c>
      <c r="B197" s="12" t="str">
        <f>Cod_Gen6[[#This Row],[Codigo]]</f>
        <v>IMHIPL5-1</v>
      </c>
      <c r="C197" s="12" t="str">
        <f>Cod_Gen6[[#This Row],[Tipo de Equipo]]</f>
        <v>IMPRESORA CABINA</v>
      </c>
      <c r="D197" s="12" t="str">
        <f>Cod_Gen6[[#This Row],[Marca]]</f>
        <v>HITI</v>
      </c>
      <c r="E197" s="12" t="str">
        <f>Cod_Gen6[[#This Row],[Modelo]]</f>
        <v>PL525</v>
      </c>
      <c r="F197" s="12">
        <f>Cod_Gen6[[#This Row],[N* Serie]]</f>
        <v>0</v>
      </c>
      <c r="G197" s="8"/>
      <c r="H197" s="40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spans="1:22" ht="15" x14ac:dyDescent="0.2">
      <c r="A198" s="11">
        <v>197</v>
      </c>
      <c r="B198" s="12" t="str">
        <f>Cod_Gen6[[#This Row],[Codigo]]</f>
        <v>MAGA100-1</v>
      </c>
      <c r="C198" s="12" t="str">
        <f>Cod_Gen6[[#This Row],[Tipo de Equipo]]</f>
        <v>MALACATES</v>
      </c>
      <c r="D198" s="12" t="str">
        <f>Cod_Gen6[[#This Row],[Marca]]</f>
        <v>GALAXY</v>
      </c>
      <c r="E198" s="12" t="str">
        <f>Cod_Gen6[[#This Row],[Modelo]]</f>
        <v>100 KG</v>
      </c>
      <c r="F198" s="12">
        <f>Cod_Gen6[[#This Row],[N* Serie]]</f>
        <v>0</v>
      </c>
      <c r="G198" s="9"/>
      <c r="H198" s="3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spans="1:22" ht="15" x14ac:dyDescent="0.2">
      <c r="A199" s="11">
        <v>198</v>
      </c>
      <c r="B199" s="12" t="str">
        <f>Cod_Gen6[[#This Row],[Codigo]]</f>
        <v>MAGA100-2</v>
      </c>
      <c r="C199" s="12" t="str">
        <f>Cod_Gen6[[#This Row],[Tipo de Equipo]]</f>
        <v>MALACATES</v>
      </c>
      <c r="D199" s="12" t="str">
        <f>Cod_Gen6[[#This Row],[Marca]]</f>
        <v>GALAXY</v>
      </c>
      <c r="E199" s="12" t="str">
        <f>Cod_Gen6[[#This Row],[Modelo]]</f>
        <v>100 KG</v>
      </c>
      <c r="F199" s="12">
        <f>Cod_Gen6[[#This Row],[N* Serie]]</f>
        <v>0</v>
      </c>
      <c r="G199" s="8"/>
      <c r="H199" s="40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spans="1:22" ht="15" x14ac:dyDescent="0.2">
      <c r="A200" s="11">
        <v>199</v>
      </c>
      <c r="B200" s="12" t="str">
        <f>Cod_Gen6[[#This Row],[Codigo]]</f>
        <v>MAGA100-3</v>
      </c>
      <c r="C200" s="12" t="str">
        <f>Cod_Gen6[[#This Row],[Tipo de Equipo]]</f>
        <v>MALACATES</v>
      </c>
      <c r="D200" s="12" t="str">
        <f>Cod_Gen6[[#This Row],[Marca]]</f>
        <v>GALAXY</v>
      </c>
      <c r="E200" s="12" t="str">
        <f>Cod_Gen6[[#This Row],[Modelo]]</f>
        <v>100 KG</v>
      </c>
      <c r="F200" s="12">
        <f>Cod_Gen6[[#This Row],[N* Serie]]</f>
        <v>0</v>
      </c>
      <c r="G200" s="9"/>
      <c r="H200" s="3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spans="1:22" ht="15" x14ac:dyDescent="0.2">
      <c r="A201" s="11">
        <v>200</v>
      </c>
      <c r="B201" s="12" t="str">
        <f>Cod_Gen6[[#This Row],[Codigo]]</f>
        <v>MAGA100-4</v>
      </c>
      <c r="C201" s="12" t="str">
        <f>Cod_Gen6[[#This Row],[Tipo de Equipo]]</f>
        <v>MALACATES</v>
      </c>
      <c r="D201" s="12" t="str">
        <f>Cod_Gen6[[#This Row],[Marca]]</f>
        <v>GALAXY</v>
      </c>
      <c r="E201" s="12" t="str">
        <f>Cod_Gen6[[#This Row],[Modelo]]</f>
        <v>100 KG</v>
      </c>
      <c r="F201" s="12">
        <f>Cod_Gen6[[#This Row],[N* Serie]]</f>
        <v>0</v>
      </c>
      <c r="G201" s="8"/>
      <c r="H201" s="40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spans="1:22" ht="15" x14ac:dyDescent="0.2">
      <c r="A202" s="11">
        <v>201</v>
      </c>
      <c r="B202" s="12" t="str">
        <f>Cod_Gen6[[#This Row],[Codigo]]</f>
        <v>MAPUHF9-1</v>
      </c>
      <c r="C202" s="12" t="str">
        <f>Cod_Gen6[[#This Row],[Tipo de Equipo]]</f>
        <v>MAQUINA HAZER</v>
      </c>
      <c r="D202" s="12" t="str">
        <f>Cod_Gen6[[#This Row],[Marca]]</f>
        <v>PURPLE</v>
      </c>
      <c r="E202" s="12" t="str">
        <f>Cod_Gen6[[#This Row],[Modelo]]</f>
        <v>HF900</v>
      </c>
      <c r="F202" s="12">
        <f>Cod_Gen6[[#This Row],[N* Serie]]</f>
        <v>0</v>
      </c>
      <c r="G202" s="9"/>
      <c r="H202" s="3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spans="1:22" ht="15" x14ac:dyDescent="0.2">
      <c r="A203" s="11">
        <v>202</v>
      </c>
      <c r="B203" s="12" t="str">
        <f>Cod_Gen6[[#This Row],[Codigo]]</f>
        <v>MAMO150-1</v>
      </c>
      <c r="C203" s="12" t="str">
        <f>Cod_Gen6[[#This Row],[Tipo de Equipo]]</f>
        <v>MAQUINA HAZER</v>
      </c>
      <c r="D203" s="12" t="str">
        <f>Cod_Gen6[[#This Row],[Marca]]</f>
        <v>MOWL</v>
      </c>
      <c r="E203" s="12">
        <f>Cod_Gen6[[#This Row],[Modelo]]</f>
        <v>1500</v>
      </c>
      <c r="F203" s="12">
        <f>Cod_Gen6[[#This Row],[N* Serie]]</f>
        <v>0</v>
      </c>
      <c r="G203" s="8"/>
      <c r="H203" s="40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spans="1:22" ht="15" x14ac:dyDescent="0.2">
      <c r="A204" s="11">
        <v>203</v>
      </c>
      <c r="B204" s="12" t="str">
        <f>Cod_Gen6[[#This Row],[Codigo]]</f>
        <v>MEK-K68-1</v>
      </c>
      <c r="C204" s="12" t="str">
        <f>Cod_Gen6[[#This Row],[Tipo de Equipo]]</f>
        <v>MESA SONIDO</v>
      </c>
      <c r="D204" s="12" t="str">
        <f>Cod_Gen6[[#This Row],[Marca]]</f>
        <v>K-ACOUSTIC</v>
      </c>
      <c r="E204" s="12" t="str">
        <f>Cod_Gen6[[#This Row],[Modelo]]</f>
        <v>K68</v>
      </c>
      <c r="F204" s="12">
        <f>Cod_Gen6[[#This Row],[N* Serie]]</f>
        <v>0</v>
      </c>
      <c r="G204" s="9"/>
      <c r="H204" s="3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spans="1:22" ht="15" x14ac:dyDescent="0.2">
      <c r="A205" s="11">
        <v>204</v>
      </c>
      <c r="B205" s="12" t="str">
        <f>Cod_Gen6[[#This Row],[Codigo]]</f>
        <v>MESOEPM-1</v>
      </c>
      <c r="C205" s="12" t="str">
        <f>Cod_Gen6[[#This Row],[Tipo de Equipo]]</f>
        <v>MESA SONIDO</v>
      </c>
      <c r="D205" s="12" t="str">
        <f>Cod_Gen6[[#This Row],[Marca]]</f>
        <v>SOUNDCRAFT</v>
      </c>
      <c r="E205" s="12" t="str">
        <f>Cod_Gen6[[#This Row],[Modelo]]</f>
        <v>EPM6</v>
      </c>
      <c r="F205" s="12">
        <f>Cod_Gen6[[#This Row],[N* Serie]]</f>
        <v>0</v>
      </c>
      <c r="G205" s="8"/>
      <c r="H205" s="40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spans="1:22" ht="15" x14ac:dyDescent="0.2">
      <c r="A206" s="11">
        <v>205</v>
      </c>
      <c r="B206" s="12" t="str">
        <f>Cod_Gen6[[#This Row],[Codigo]]</f>
        <v>MESOEPM-2</v>
      </c>
      <c r="C206" s="12" t="str">
        <f>Cod_Gen6[[#This Row],[Tipo de Equipo]]</f>
        <v>MESA SONIDO</v>
      </c>
      <c r="D206" s="12" t="str">
        <f>Cod_Gen6[[#This Row],[Marca]]</f>
        <v>SOUNDCRAFT</v>
      </c>
      <c r="E206" s="12" t="str">
        <f>Cod_Gen6[[#This Row],[Modelo]]</f>
        <v>EPM6</v>
      </c>
      <c r="F206" s="12">
        <f>Cod_Gen6[[#This Row],[N* Serie]]</f>
        <v>0</v>
      </c>
      <c r="G206" s="9"/>
      <c r="H206" s="3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spans="1:22" ht="15" x14ac:dyDescent="0.2">
      <c r="A207" s="11">
        <v>206</v>
      </c>
      <c r="B207" s="12" t="str">
        <f>Cod_Gen6[[#This Row],[Codigo]]</f>
        <v>MESOSIG-1</v>
      </c>
      <c r="C207" s="12" t="str">
        <f>Cod_Gen6[[#This Row],[Tipo de Equipo]]</f>
        <v>MESA SONIDO</v>
      </c>
      <c r="D207" s="12" t="str">
        <f>Cod_Gen6[[#This Row],[Marca]]</f>
        <v>SOUNDCRAFT</v>
      </c>
      <c r="E207" s="12" t="str">
        <f>Cod_Gen6[[#This Row],[Modelo]]</f>
        <v>SIGNATURE 10</v>
      </c>
      <c r="F207" s="12">
        <f>Cod_Gen6[[#This Row],[N* Serie]]</f>
        <v>0</v>
      </c>
      <c r="G207" s="8"/>
      <c r="H207" s="40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spans="1:22" ht="15" x14ac:dyDescent="0.2">
      <c r="A208" s="11">
        <v>207</v>
      </c>
      <c r="B208" s="12" t="str">
        <f>Cod_Gen6[[#This Row],[Codigo]]</f>
        <v>MESOUI2-1</v>
      </c>
      <c r="C208" s="12" t="str">
        <f>Cod_Gen6[[#This Row],[Tipo de Equipo]]</f>
        <v>MESA SONIDO</v>
      </c>
      <c r="D208" s="12" t="str">
        <f>Cod_Gen6[[#This Row],[Marca]]</f>
        <v>SOUNDCRAFT</v>
      </c>
      <c r="E208" s="12" t="str">
        <f>Cod_Gen6[[#This Row],[Modelo]]</f>
        <v>UI24R</v>
      </c>
      <c r="F208" s="12">
        <f>Cod_Gen6[[#This Row],[N* Serie]]</f>
        <v>0</v>
      </c>
      <c r="G208" s="8"/>
      <c r="H208" s="40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spans="1:22" ht="15" x14ac:dyDescent="0.2">
      <c r="A209" s="11">
        <v>208</v>
      </c>
      <c r="B209" s="12" t="str">
        <f>Cod_Gen6[[#This Row],[Codigo]]</f>
        <v>MIBESIN-1</v>
      </c>
      <c r="C209" s="12" t="str">
        <f>Cod_Gen6[[#This Row],[Tipo de Equipo]]</f>
        <v>MICROFONO</v>
      </c>
      <c r="D209" s="12" t="str">
        <f>Cod_Gen6[[#This Row],[Marca]]</f>
        <v>BEHRINGER</v>
      </c>
      <c r="E209" s="12" t="str">
        <f>Cod_Gen6[[#This Row],[Modelo]]</f>
        <v>Sin Modelo</v>
      </c>
      <c r="F209" s="12">
        <f>Cod_Gen6[[#This Row],[N* Serie]]</f>
        <v>0</v>
      </c>
      <c r="G209" s="9"/>
      <c r="H209" s="3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spans="1:22" ht="15" x14ac:dyDescent="0.2">
      <c r="A210" s="11">
        <v>209</v>
      </c>
      <c r="B210" s="12" t="str">
        <f>Cod_Gen6[[#This Row],[Codigo]]</f>
        <v>MIBESIN-2</v>
      </c>
      <c r="C210" s="12" t="str">
        <f>Cod_Gen6[[#This Row],[Tipo de Equipo]]</f>
        <v>MICROFONO</v>
      </c>
      <c r="D210" s="12" t="str">
        <f>Cod_Gen6[[#This Row],[Marca]]</f>
        <v>BEHRINGER</v>
      </c>
      <c r="E210" s="12" t="str">
        <f>Cod_Gen6[[#This Row],[Modelo]]</f>
        <v>Sin Modelo</v>
      </c>
      <c r="F210" s="12">
        <f>Cod_Gen6[[#This Row],[N* Serie]]</f>
        <v>0</v>
      </c>
      <c r="G210" s="8"/>
      <c r="H210" s="40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spans="1:22" ht="15" x14ac:dyDescent="0.2">
      <c r="A211" s="11">
        <v>210</v>
      </c>
      <c r="B211" s="12" t="str">
        <f>Cod_Gen6[[#This Row],[Codigo]]</f>
        <v>MINAHT1-1</v>
      </c>
      <c r="C211" s="12" t="str">
        <f>Cod_Gen6[[#This Row],[Tipo de Equipo]]</f>
        <v>MICROFONO INALAMBRICO</v>
      </c>
      <c r="D211" s="12" t="str">
        <f>Cod_Gen6[[#This Row],[Marca]]</f>
        <v>NADY</v>
      </c>
      <c r="E211" s="12" t="str">
        <f>Cod_Gen6[[#This Row],[Modelo]]</f>
        <v>HT1KU-TX-HT-NEUS</v>
      </c>
      <c r="F211" s="12">
        <f>Cod_Gen6[[#This Row],[N* Serie]]</f>
        <v>0</v>
      </c>
      <c r="G211" s="9"/>
      <c r="H211" s="3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spans="1:22" ht="15" x14ac:dyDescent="0.2">
      <c r="A212" s="11">
        <v>211</v>
      </c>
      <c r="B212" s="12" t="str">
        <f>Cod_Gen6[[#This Row],[Codigo]]</f>
        <v>MISHSM5-1</v>
      </c>
      <c r="C212" s="12" t="str">
        <f>Cod_Gen6[[#This Row],[Tipo de Equipo]]</f>
        <v>MICROFONO</v>
      </c>
      <c r="D212" s="12" t="str">
        <f>Cod_Gen6[[#This Row],[Marca]]</f>
        <v>SHURE</v>
      </c>
      <c r="E212" s="12" t="str">
        <f>Cod_Gen6[[#This Row],[Modelo]]</f>
        <v>SM58</v>
      </c>
      <c r="F212" s="12">
        <f>Cod_Gen6[[#This Row],[N* Serie]]</f>
        <v>0</v>
      </c>
      <c r="G212" s="8"/>
      <c r="H212" s="40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spans="1:22" ht="15" x14ac:dyDescent="0.2">
      <c r="A213" s="11">
        <v>212</v>
      </c>
      <c r="B213" s="12" t="str">
        <f>Cod_Gen6[[#This Row],[Codigo]]</f>
        <v>INSHSM5-1</v>
      </c>
      <c r="C213" s="12" t="str">
        <f>Cod_Gen6[[#This Row],[Tipo de Equipo]]</f>
        <v>INALAMBRICO MICROFONO</v>
      </c>
      <c r="D213" s="12" t="str">
        <f>Cod_Gen6[[#This Row],[Marca]]</f>
        <v>SHURE</v>
      </c>
      <c r="E213" s="12" t="str">
        <f>Cod_Gen6[[#This Row],[Modelo]]</f>
        <v>SM58</v>
      </c>
      <c r="F213" s="12">
        <f>Cod_Gen6[[#This Row],[N* Serie]]</f>
        <v>0</v>
      </c>
      <c r="G213" s="9"/>
      <c r="H213" s="3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spans="1:22" ht="15" x14ac:dyDescent="0.2">
      <c r="A214" s="11">
        <v>213</v>
      </c>
      <c r="B214" s="12" t="str">
        <f>Cod_Gen6[[#This Row],[Codigo]]</f>
        <v>MISKUHF-1</v>
      </c>
      <c r="C214" s="12" t="str">
        <f>Cod_Gen6[[#This Row],[Tipo de Equipo]]</f>
        <v>MICROFONO</v>
      </c>
      <c r="D214" s="12" t="str">
        <f>Cod_Gen6[[#This Row],[Marca]]</f>
        <v>SKP</v>
      </c>
      <c r="E214" s="12" t="str">
        <f>Cod_Gen6[[#This Row],[Modelo]]</f>
        <v>UHF600</v>
      </c>
      <c r="F214" s="12">
        <f>Cod_Gen6[[#This Row],[N* Serie]]</f>
        <v>0</v>
      </c>
      <c r="G214" s="8"/>
      <c r="H214" s="40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spans="1:22" ht="15" x14ac:dyDescent="0.2">
      <c r="A215" s="11">
        <v>214</v>
      </c>
      <c r="B215" s="12" t="str">
        <f>Cod_Gen6[[#This Row],[Codigo]]</f>
        <v>MISKUHF-2</v>
      </c>
      <c r="C215" s="12" t="str">
        <f>Cod_Gen6[[#This Row],[Tipo de Equipo]]</f>
        <v>MICROFONO</v>
      </c>
      <c r="D215" s="12" t="str">
        <f>Cod_Gen6[[#This Row],[Marca]]</f>
        <v>SKP</v>
      </c>
      <c r="E215" s="12" t="str">
        <f>Cod_Gen6[[#This Row],[Modelo]]</f>
        <v>UHF600</v>
      </c>
      <c r="F215" s="12">
        <f>Cod_Gen6[[#This Row],[N* Serie]]</f>
        <v>0</v>
      </c>
      <c r="G215" s="9"/>
      <c r="H215" s="3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spans="1:22" ht="15" x14ac:dyDescent="0.2">
      <c r="A216" s="11">
        <v>215</v>
      </c>
      <c r="B216" s="12" t="str">
        <f>Cod_Gen6[[#This Row],[Codigo]]</f>
        <v>PA4LN/A-1</v>
      </c>
      <c r="C216" s="12" t="str">
        <f>Cod_Gen6[[#This Row],[Tipo de Equipo]]</f>
        <v>PASACABLE 4 LINEAS</v>
      </c>
      <c r="D216" s="12" t="str">
        <f>Cod_Gen6[[#This Row],[Marca]]</f>
        <v>4LINEAS</v>
      </c>
      <c r="E216" s="12" t="str">
        <f>Cod_Gen6[[#This Row],[Modelo]]</f>
        <v>N/A</v>
      </c>
      <c r="F216" s="12">
        <f>Cod_Gen6[[#This Row],[N* Serie]]</f>
        <v>0</v>
      </c>
      <c r="G216" s="8"/>
      <c r="H216" s="40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spans="1:22" ht="15" x14ac:dyDescent="0.2">
      <c r="A217" s="11">
        <v>216</v>
      </c>
      <c r="B217" s="12" t="str">
        <f>Cod_Gen6[[#This Row],[Codigo]]</f>
        <v>PA4LN/A-2</v>
      </c>
      <c r="C217" s="12" t="str">
        <f>Cod_Gen6[[#This Row],[Tipo de Equipo]]</f>
        <v>PASACABLE 4 LINEAS</v>
      </c>
      <c r="D217" s="12" t="str">
        <f>Cod_Gen6[[#This Row],[Marca]]</f>
        <v>4LINEAS</v>
      </c>
      <c r="E217" s="12" t="str">
        <f>Cod_Gen6[[#This Row],[Modelo]]</f>
        <v>N/A</v>
      </c>
      <c r="F217" s="12">
        <f>Cod_Gen6[[#This Row],[N* Serie]]</f>
        <v>0</v>
      </c>
      <c r="G217" s="9"/>
      <c r="H217" s="3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spans="1:22" ht="15" x14ac:dyDescent="0.2">
      <c r="A218" s="11">
        <v>217</v>
      </c>
      <c r="B218" s="12" t="str">
        <f>Cod_Gen6[[#This Row],[Codigo]]</f>
        <v>PAAO7X1-1</v>
      </c>
      <c r="C218" s="12" t="str">
        <f>Cod_Gen6[[#This Row],[Tipo de Equipo]]</f>
        <v>PAR LED</v>
      </c>
      <c r="D218" s="12" t="str">
        <f>Cod_Gen6[[#This Row],[Marca]]</f>
        <v>AOLAIT</v>
      </c>
      <c r="E218" s="12" t="str">
        <f>Cod_Gen6[[#This Row],[Modelo]]</f>
        <v>7x12W</v>
      </c>
      <c r="F218" s="12">
        <f>Cod_Gen6[[#This Row],[N* Serie]]</f>
        <v>0</v>
      </c>
      <c r="G218" s="8"/>
      <c r="H218" s="40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spans="1:22" ht="15" x14ac:dyDescent="0.2">
      <c r="A219" s="11">
        <v>218</v>
      </c>
      <c r="B219" s="12" t="str">
        <f>Cod_Gen6[[#This Row],[Codigo]]</f>
        <v>PAAO7X1-2</v>
      </c>
      <c r="C219" s="12" t="str">
        <f>Cod_Gen6[[#This Row],[Tipo de Equipo]]</f>
        <v>PAR LED</v>
      </c>
      <c r="D219" s="12" t="str">
        <f>Cod_Gen6[[#This Row],[Marca]]</f>
        <v>AOLAIT</v>
      </c>
      <c r="E219" s="12" t="str">
        <f>Cod_Gen6[[#This Row],[Modelo]]</f>
        <v>7x12W</v>
      </c>
      <c r="F219" s="12">
        <f>Cod_Gen6[[#This Row],[N* Serie]]</f>
        <v>0</v>
      </c>
      <c r="G219" s="9"/>
      <c r="H219" s="3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spans="1:22" ht="15" x14ac:dyDescent="0.2">
      <c r="A220" s="11">
        <v>219</v>
      </c>
      <c r="B220" s="12" t="str">
        <f>Cod_Gen6[[#This Row],[Codigo]]</f>
        <v>PAAO7X1-3</v>
      </c>
      <c r="C220" s="12" t="str">
        <f>Cod_Gen6[[#This Row],[Tipo de Equipo]]</f>
        <v>PAR LED</v>
      </c>
      <c r="D220" s="12" t="str">
        <f>Cod_Gen6[[#This Row],[Marca]]</f>
        <v>AOLAIT</v>
      </c>
      <c r="E220" s="12" t="str">
        <f>Cod_Gen6[[#This Row],[Modelo]]</f>
        <v>7x12W</v>
      </c>
      <c r="F220" s="12">
        <f>Cod_Gen6[[#This Row],[N* Serie]]</f>
        <v>0</v>
      </c>
      <c r="G220" s="8"/>
      <c r="H220" s="40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spans="1:22" ht="15" x14ac:dyDescent="0.2">
      <c r="A221" s="11">
        <v>220</v>
      </c>
      <c r="B221" s="12" t="str">
        <f>Cod_Gen6[[#This Row],[Codigo]]</f>
        <v>PAAO7X1-4</v>
      </c>
      <c r="C221" s="12" t="str">
        <f>Cod_Gen6[[#This Row],[Tipo de Equipo]]</f>
        <v>PAR LED</v>
      </c>
      <c r="D221" s="12" t="str">
        <f>Cod_Gen6[[#This Row],[Marca]]</f>
        <v>AOLAIT</v>
      </c>
      <c r="E221" s="12" t="str">
        <f>Cod_Gen6[[#This Row],[Modelo]]</f>
        <v>7x12W</v>
      </c>
      <c r="F221" s="12">
        <f>Cod_Gen6[[#This Row],[N* Serie]]</f>
        <v>0</v>
      </c>
      <c r="G221" s="9"/>
      <c r="H221" s="3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spans="1:22" ht="15" x14ac:dyDescent="0.2">
      <c r="A222" s="11">
        <v>221</v>
      </c>
      <c r="B222" s="12" t="str">
        <f>Cod_Gen6[[#This Row],[Codigo]]</f>
        <v>PAAO7X1-5</v>
      </c>
      <c r="C222" s="12" t="str">
        <f>Cod_Gen6[[#This Row],[Tipo de Equipo]]</f>
        <v>PAR LED</v>
      </c>
      <c r="D222" s="12" t="str">
        <f>Cod_Gen6[[#This Row],[Marca]]</f>
        <v>AOLAIT</v>
      </c>
      <c r="E222" s="12" t="str">
        <f>Cod_Gen6[[#This Row],[Modelo]]</f>
        <v>7x12W</v>
      </c>
      <c r="F222" s="12">
        <f>Cod_Gen6[[#This Row],[N* Serie]]</f>
        <v>0</v>
      </c>
      <c r="G222" s="8"/>
      <c r="H222" s="40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spans="1:22" ht="15" x14ac:dyDescent="0.2">
      <c r="A223" s="11">
        <v>222</v>
      </c>
      <c r="B223" s="12" t="str">
        <f>Cod_Gen6[[#This Row],[Codigo]]</f>
        <v>PAAO7X1-6</v>
      </c>
      <c r="C223" s="12" t="str">
        <f>Cod_Gen6[[#This Row],[Tipo de Equipo]]</f>
        <v>PAR LED</v>
      </c>
      <c r="D223" s="12" t="str">
        <f>Cod_Gen6[[#This Row],[Marca]]</f>
        <v>AOLAIT</v>
      </c>
      <c r="E223" s="12" t="str">
        <f>Cod_Gen6[[#This Row],[Modelo]]</f>
        <v>7x12W</v>
      </c>
      <c r="F223" s="12">
        <f>Cod_Gen6[[#This Row],[N* Serie]]</f>
        <v>0</v>
      </c>
      <c r="G223" s="9"/>
      <c r="H223" s="3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spans="1:22" ht="15" x14ac:dyDescent="0.2">
      <c r="A224" s="11">
        <v>223</v>
      </c>
      <c r="B224" s="12" t="str">
        <f>Cod_Gen6[[#This Row],[Codigo]]</f>
        <v>PAAO7X1-7</v>
      </c>
      <c r="C224" s="12" t="str">
        <f>Cod_Gen6[[#This Row],[Tipo de Equipo]]</f>
        <v>PAR LED</v>
      </c>
      <c r="D224" s="12" t="str">
        <f>Cod_Gen6[[#This Row],[Marca]]</f>
        <v>AOLAIT</v>
      </c>
      <c r="E224" s="12" t="str">
        <f>Cod_Gen6[[#This Row],[Modelo]]</f>
        <v>7x12W</v>
      </c>
      <c r="F224" s="12">
        <f>Cod_Gen6[[#This Row],[N* Serie]]</f>
        <v>0</v>
      </c>
      <c r="G224" s="8"/>
      <c r="H224" s="40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spans="1:22" ht="15" x14ac:dyDescent="0.2">
      <c r="A225" s="11">
        <v>224</v>
      </c>
      <c r="B225" s="12" t="str">
        <f>Cod_Gen6[[#This Row],[Codigo]]</f>
        <v>PAAO7X1-8</v>
      </c>
      <c r="C225" s="12" t="str">
        <f>Cod_Gen6[[#This Row],[Tipo de Equipo]]</f>
        <v>PAR LED</v>
      </c>
      <c r="D225" s="12" t="str">
        <f>Cod_Gen6[[#This Row],[Marca]]</f>
        <v>AOLAIT</v>
      </c>
      <c r="E225" s="12" t="str">
        <f>Cod_Gen6[[#This Row],[Modelo]]</f>
        <v>7x12W</v>
      </c>
      <c r="F225" s="12">
        <f>Cod_Gen6[[#This Row],[N* Serie]]</f>
        <v>0</v>
      </c>
      <c r="G225" s="9"/>
      <c r="H225" s="3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spans="1:22" ht="15" x14ac:dyDescent="0.2">
      <c r="A226" s="11">
        <v>225</v>
      </c>
      <c r="B226" s="12" t="str">
        <f>Cod_Gen6[[#This Row],[Codigo]]</f>
        <v>PAAO7X1-9</v>
      </c>
      <c r="C226" s="12" t="str">
        <f>Cod_Gen6[[#This Row],[Tipo de Equipo]]</f>
        <v>PAR LED</v>
      </c>
      <c r="D226" s="12" t="str">
        <f>Cod_Gen6[[#This Row],[Marca]]</f>
        <v>AOLAIT</v>
      </c>
      <c r="E226" s="12" t="str">
        <f>Cod_Gen6[[#This Row],[Modelo]]</f>
        <v>7x12W</v>
      </c>
      <c r="F226" s="12">
        <f>Cod_Gen6[[#This Row],[N* Serie]]</f>
        <v>0</v>
      </c>
      <c r="G226" s="8"/>
      <c r="H226" s="40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spans="1:22" ht="15" x14ac:dyDescent="0.2">
      <c r="A227" s="11">
        <v>226</v>
      </c>
      <c r="B227" s="12" t="str">
        <f>Cod_Gen6[[#This Row],[Codigo]]</f>
        <v>PAAO7X1-10</v>
      </c>
      <c r="C227" s="12" t="str">
        <f>Cod_Gen6[[#This Row],[Tipo de Equipo]]</f>
        <v>PAR LED</v>
      </c>
      <c r="D227" s="12" t="str">
        <f>Cod_Gen6[[#This Row],[Marca]]</f>
        <v>AOLAIT</v>
      </c>
      <c r="E227" s="12" t="str">
        <f>Cod_Gen6[[#This Row],[Modelo]]</f>
        <v>7x12W</v>
      </c>
      <c r="F227" s="12">
        <f>Cod_Gen6[[#This Row],[N* Serie]]</f>
        <v>0</v>
      </c>
      <c r="G227" s="9"/>
      <c r="H227" s="3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spans="1:22" ht="15" x14ac:dyDescent="0.2">
      <c r="A228" s="11">
        <v>227</v>
      </c>
      <c r="B228" s="12" t="str">
        <f>Cod_Gen6[[#This Row],[Codigo]]</f>
        <v>PAAO7X1-11</v>
      </c>
      <c r="C228" s="12" t="str">
        <f>Cod_Gen6[[#This Row],[Tipo de Equipo]]</f>
        <v>PAR LED</v>
      </c>
      <c r="D228" s="12" t="str">
        <f>Cod_Gen6[[#This Row],[Marca]]</f>
        <v>AOLAIT</v>
      </c>
      <c r="E228" s="12" t="str">
        <f>Cod_Gen6[[#This Row],[Modelo]]</f>
        <v>7x12W</v>
      </c>
      <c r="F228" s="12">
        <f>Cod_Gen6[[#This Row],[N* Serie]]</f>
        <v>0</v>
      </c>
      <c r="G228" s="8"/>
      <c r="H228" s="40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spans="1:22" ht="15" x14ac:dyDescent="0.2">
      <c r="A229" s="11">
        <v>228</v>
      </c>
      <c r="B229" s="12" t="str">
        <f>Cod_Gen6[[#This Row],[Codigo]]</f>
        <v>PAAO7X1-12</v>
      </c>
      <c r="C229" s="12" t="str">
        <f>Cod_Gen6[[#This Row],[Tipo de Equipo]]</f>
        <v>PAR LED</v>
      </c>
      <c r="D229" s="12" t="str">
        <f>Cod_Gen6[[#This Row],[Marca]]</f>
        <v>AOLAIT</v>
      </c>
      <c r="E229" s="12" t="str">
        <f>Cod_Gen6[[#This Row],[Modelo]]</f>
        <v>7x12W</v>
      </c>
      <c r="F229" s="12">
        <f>Cod_Gen6[[#This Row],[N* Serie]]</f>
        <v>0</v>
      </c>
      <c r="G229" s="9"/>
      <c r="H229" s="3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spans="1:22" ht="15" x14ac:dyDescent="0.2">
      <c r="A230" s="11">
        <v>229</v>
      </c>
      <c r="B230" s="12" t="str">
        <f>Cod_Gen6[[#This Row],[Codigo]]</f>
        <v>PAAO7X1-13</v>
      </c>
      <c r="C230" s="12" t="str">
        <f>Cod_Gen6[[#This Row],[Tipo de Equipo]]</f>
        <v>PAR LED</v>
      </c>
      <c r="D230" s="12" t="str">
        <f>Cod_Gen6[[#This Row],[Marca]]</f>
        <v>AOLAIT</v>
      </c>
      <c r="E230" s="12" t="str">
        <f>Cod_Gen6[[#This Row],[Modelo]]</f>
        <v>7x12W</v>
      </c>
      <c r="F230" s="12">
        <f>Cod_Gen6[[#This Row],[N* Serie]]</f>
        <v>0</v>
      </c>
      <c r="G230" s="8"/>
      <c r="H230" s="40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spans="1:22" ht="15" x14ac:dyDescent="0.2">
      <c r="A231" s="11">
        <v>230</v>
      </c>
      <c r="B231" s="12" t="str">
        <f>Cod_Gen6[[#This Row],[Codigo]]</f>
        <v>PAAO7X1-14</v>
      </c>
      <c r="C231" s="12" t="str">
        <f>Cod_Gen6[[#This Row],[Tipo de Equipo]]</f>
        <v>PAR LED</v>
      </c>
      <c r="D231" s="12" t="str">
        <f>Cod_Gen6[[#This Row],[Marca]]</f>
        <v>AOLAIT</v>
      </c>
      <c r="E231" s="12" t="str">
        <f>Cod_Gen6[[#This Row],[Modelo]]</f>
        <v>7x12W</v>
      </c>
      <c r="F231" s="12">
        <f>Cod_Gen6[[#This Row],[N* Serie]]</f>
        <v>0</v>
      </c>
      <c r="G231" s="9"/>
      <c r="H231" s="3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spans="1:22" ht="15" x14ac:dyDescent="0.2">
      <c r="A232" s="11">
        <v>231</v>
      </c>
      <c r="B232" s="12" t="str">
        <f>Cod_Gen6[[#This Row],[Codigo]]</f>
        <v>PAAO7X1-15</v>
      </c>
      <c r="C232" s="12" t="str">
        <f>Cod_Gen6[[#This Row],[Tipo de Equipo]]</f>
        <v>PAR LED</v>
      </c>
      <c r="D232" s="12" t="str">
        <f>Cod_Gen6[[#This Row],[Marca]]</f>
        <v>AOLAIT</v>
      </c>
      <c r="E232" s="12" t="str">
        <f>Cod_Gen6[[#This Row],[Modelo]]</f>
        <v>7x12W</v>
      </c>
      <c r="F232" s="12">
        <f>Cod_Gen6[[#This Row],[N* Serie]]</f>
        <v>0</v>
      </c>
      <c r="G232" s="8"/>
      <c r="H232" s="40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spans="1:22" ht="15" x14ac:dyDescent="0.2">
      <c r="A233" s="11">
        <v>232</v>
      </c>
      <c r="B233" s="12" t="str">
        <f>Cod_Gen6[[#This Row],[Codigo]]</f>
        <v>PAAO7X1-16</v>
      </c>
      <c r="C233" s="12" t="str">
        <f>Cod_Gen6[[#This Row],[Tipo de Equipo]]</f>
        <v>PAR LED</v>
      </c>
      <c r="D233" s="12" t="str">
        <f>Cod_Gen6[[#This Row],[Marca]]</f>
        <v>AOLAIT</v>
      </c>
      <c r="E233" s="12" t="str">
        <f>Cod_Gen6[[#This Row],[Modelo]]</f>
        <v>7x12W</v>
      </c>
      <c r="F233" s="12">
        <f>Cod_Gen6[[#This Row],[N* Serie]]</f>
        <v>0</v>
      </c>
      <c r="G233" s="9"/>
      <c r="H233" s="3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spans="1:22" ht="15" x14ac:dyDescent="0.2">
      <c r="A234" s="11">
        <v>233</v>
      </c>
      <c r="B234" s="12" t="str">
        <f>Cod_Gen6[[#This Row],[Codigo]]</f>
        <v>PAAO7X1-17</v>
      </c>
      <c r="C234" s="12" t="str">
        <f>Cod_Gen6[[#This Row],[Tipo de Equipo]]</f>
        <v>PAR LED</v>
      </c>
      <c r="D234" s="12" t="str">
        <f>Cod_Gen6[[#This Row],[Marca]]</f>
        <v>AOLAIT</v>
      </c>
      <c r="E234" s="12" t="str">
        <f>Cod_Gen6[[#This Row],[Modelo]]</f>
        <v>7x12W</v>
      </c>
      <c r="F234" s="12">
        <f>Cod_Gen6[[#This Row],[N* Serie]]</f>
        <v>0</v>
      </c>
      <c r="G234" s="8"/>
      <c r="H234" s="40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spans="1:22" ht="15" x14ac:dyDescent="0.2">
      <c r="A235" s="11">
        <v>234</v>
      </c>
      <c r="B235" s="12" t="str">
        <f>Cod_Gen6[[#This Row],[Codigo]]</f>
        <v>PAAO7X1-18</v>
      </c>
      <c r="C235" s="12" t="str">
        <f>Cod_Gen6[[#This Row],[Tipo de Equipo]]</f>
        <v>PAR LED</v>
      </c>
      <c r="D235" s="12" t="str">
        <f>Cod_Gen6[[#This Row],[Marca]]</f>
        <v>AOLAIT</v>
      </c>
      <c r="E235" s="12" t="str">
        <f>Cod_Gen6[[#This Row],[Modelo]]</f>
        <v>7x12W</v>
      </c>
      <c r="F235" s="12">
        <f>Cod_Gen6[[#This Row],[N* Serie]]</f>
        <v>0</v>
      </c>
      <c r="G235" s="9"/>
      <c r="H235" s="3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spans="1:22" ht="15" x14ac:dyDescent="0.2">
      <c r="A236" s="11">
        <v>235</v>
      </c>
      <c r="B236" s="12" t="str">
        <f>Cod_Gen6[[#This Row],[Codigo]]</f>
        <v>PAAO7X1-19</v>
      </c>
      <c r="C236" s="12" t="str">
        <f>Cod_Gen6[[#This Row],[Tipo de Equipo]]</f>
        <v>PAR LED</v>
      </c>
      <c r="D236" s="12" t="str">
        <f>Cod_Gen6[[#This Row],[Marca]]</f>
        <v>AOLAIT</v>
      </c>
      <c r="E236" s="12" t="str">
        <f>Cod_Gen6[[#This Row],[Modelo]]</f>
        <v>7x12W</v>
      </c>
      <c r="F236" s="12">
        <f>Cod_Gen6[[#This Row],[N* Serie]]</f>
        <v>0</v>
      </c>
      <c r="G236" s="8"/>
      <c r="H236" s="40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spans="1:22" ht="15" x14ac:dyDescent="0.2">
      <c r="A237" s="11">
        <v>236</v>
      </c>
      <c r="B237" s="12" t="str">
        <f>Cod_Gen6[[#This Row],[Codigo]]</f>
        <v>PAAO7X1-20</v>
      </c>
      <c r="C237" s="12" t="str">
        <f>Cod_Gen6[[#This Row],[Tipo de Equipo]]</f>
        <v>PAR LED</v>
      </c>
      <c r="D237" s="12" t="str">
        <f>Cod_Gen6[[#This Row],[Marca]]</f>
        <v>AOLAIT</v>
      </c>
      <c r="E237" s="12" t="str">
        <f>Cod_Gen6[[#This Row],[Modelo]]</f>
        <v>7x12W</v>
      </c>
      <c r="F237" s="12">
        <f>Cod_Gen6[[#This Row],[N* Serie]]</f>
        <v>0</v>
      </c>
      <c r="G237" s="9"/>
      <c r="H237" s="3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spans="1:22" ht="15" x14ac:dyDescent="0.2">
      <c r="A238" s="11">
        <v>237</v>
      </c>
      <c r="B238" s="12" t="str">
        <f>Cod_Gen6[[#This Row],[Codigo]]</f>
        <v>PAAO7X1-21</v>
      </c>
      <c r="C238" s="12" t="str">
        <f>Cod_Gen6[[#This Row],[Tipo de Equipo]]</f>
        <v>PAR LED</v>
      </c>
      <c r="D238" s="12" t="str">
        <f>Cod_Gen6[[#This Row],[Marca]]</f>
        <v>AOLAIT</v>
      </c>
      <c r="E238" s="12" t="str">
        <f>Cod_Gen6[[#This Row],[Modelo]]</f>
        <v>7x12W</v>
      </c>
      <c r="F238" s="12">
        <f>Cod_Gen6[[#This Row],[N* Serie]]</f>
        <v>0</v>
      </c>
      <c r="G238" s="8"/>
      <c r="H238" s="40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spans="1:22" ht="15" x14ac:dyDescent="0.2">
      <c r="A239" s="11">
        <v>238</v>
      </c>
      <c r="B239" s="12" t="str">
        <f>Cod_Gen6[[#This Row],[Codigo]]</f>
        <v>PAAO7X1-22</v>
      </c>
      <c r="C239" s="12" t="str">
        <f>Cod_Gen6[[#This Row],[Tipo de Equipo]]</f>
        <v>PAR LED</v>
      </c>
      <c r="D239" s="12" t="str">
        <f>Cod_Gen6[[#This Row],[Marca]]</f>
        <v>AOLAIT</v>
      </c>
      <c r="E239" s="12" t="str">
        <f>Cod_Gen6[[#This Row],[Modelo]]</f>
        <v>7x12W</v>
      </c>
      <c r="F239" s="12">
        <f>Cod_Gen6[[#This Row],[N* Serie]]</f>
        <v>0</v>
      </c>
      <c r="G239" s="9"/>
      <c r="H239" s="3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spans="1:22" ht="15" x14ac:dyDescent="0.2">
      <c r="A240" s="11">
        <v>239</v>
      </c>
      <c r="B240" s="12" t="str">
        <f>Cod_Gen6[[#This Row],[Codigo]]</f>
        <v>PAAO7X1-23</v>
      </c>
      <c r="C240" s="12" t="str">
        <f>Cod_Gen6[[#This Row],[Tipo de Equipo]]</f>
        <v>PAR LED</v>
      </c>
      <c r="D240" s="12" t="str">
        <f>Cod_Gen6[[#This Row],[Marca]]</f>
        <v>AOLAIT</v>
      </c>
      <c r="E240" s="12" t="str">
        <f>Cod_Gen6[[#This Row],[Modelo]]</f>
        <v>7x12W</v>
      </c>
      <c r="F240" s="12">
        <f>Cod_Gen6[[#This Row],[N* Serie]]</f>
        <v>0</v>
      </c>
      <c r="G240" s="8"/>
      <c r="H240" s="40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spans="1:22" ht="15" x14ac:dyDescent="0.2">
      <c r="A241" s="11">
        <v>240</v>
      </c>
      <c r="B241" s="12" t="str">
        <f>Cod_Gen6[[#This Row],[Codigo]]</f>
        <v>PAAO7X1-24</v>
      </c>
      <c r="C241" s="12" t="str">
        <f>Cod_Gen6[[#This Row],[Tipo de Equipo]]</f>
        <v>PAR LED</v>
      </c>
      <c r="D241" s="12" t="str">
        <f>Cod_Gen6[[#This Row],[Marca]]</f>
        <v>AOLAIT</v>
      </c>
      <c r="E241" s="12" t="str">
        <f>Cod_Gen6[[#This Row],[Modelo]]</f>
        <v>7x12W</v>
      </c>
      <c r="F241" s="12">
        <f>Cod_Gen6[[#This Row],[N* Serie]]</f>
        <v>0</v>
      </c>
      <c r="G241" s="9"/>
      <c r="H241" s="3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spans="1:22" ht="15" x14ac:dyDescent="0.2">
      <c r="A242" s="11">
        <v>241</v>
      </c>
      <c r="B242" s="12" t="str">
        <f>Cod_Gen6[[#This Row],[Codigo]]</f>
        <v>PABI4X5-1</v>
      </c>
      <c r="C242" s="12" t="str">
        <f>Cod_Gen6[[#This Row],[Tipo de Equipo]]</f>
        <v>PAR LED</v>
      </c>
      <c r="D242" s="12" t="str">
        <f>Cod_Gen6[[#This Row],[Marca]]</f>
        <v>BIGDIPPER</v>
      </c>
      <c r="E242" s="12" t="str">
        <f>Cod_Gen6[[#This Row],[Modelo]]</f>
        <v>4X50W</v>
      </c>
      <c r="F242" s="12">
        <f>Cod_Gen6[[#This Row],[N* Serie]]</f>
        <v>0</v>
      </c>
      <c r="G242" s="8"/>
      <c r="H242" s="40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spans="1:22" ht="15" x14ac:dyDescent="0.2">
      <c r="A243" s="11">
        <v>242</v>
      </c>
      <c r="B243" s="12" t="str">
        <f>Cod_Gen6[[#This Row],[Codigo]]</f>
        <v>PABI4X5-2</v>
      </c>
      <c r="C243" s="12" t="str">
        <f>Cod_Gen6[[#This Row],[Tipo de Equipo]]</f>
        <v>PAR LED</v>
      </c>
      <c r="D243" s="12" t="str">
        <f>Cod_Gen6[[#This Row],[Marca]]</f>
        <v>BIGDIPPER</v>
      </c>
      <c r="E243" s="12" t="str">
        <f>Cod_Gen6[[#This Row],[Modelo]]</f>
        <v>4X50W</v>
      </c>
      <c r="F243" s="12">
        <f>Cod_Gen6[[#This Row],[N* Serie]]</f>
        <v>0</v>
      </c>
      <c r="G243" s="9"/>
      <c r="H243" s="3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spans="1:22" ht="15" x14ac:dyDescent="0.2">
      <c r="A244" s="11">
        <v>243</v>
      </c>
      <c r="B244" s="12" t="str">
        <f>Cod_Gen6[[#This Row],[Codigo]]</f>
        <v>PABI4X5-3</v>
      </c>
      <c r="C244" s="12" t="str">
        <f>Cod_Gen6[[#This Row],[Tipo de Equipo]]</f>
        <v>PAR LED</v>
      </c>
      <c r="D244" s="12" t="str">
        <f>Cod_Gen6[[#This Row],[Marca]]</f>
        <v>BIGDIPPER</v>
      </c>
      <c r="E244" s="12" t="str">
        <f>Cod_Gen6[[#This Row],[Modelo]]</f>
        <v>4X50W</v>
      </c>
      <c r="F244" s="12">
        <f>Cod_Gen6[[#This Row],[N* Serie]]</f>
        <v>0</v>
      </c>
      <c r="G244" s="8"/>
      <c r="H244" s="40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spans="1:22" ht="15" x14ac:dyDescent="0.2">
      <c r="A245" s="11">
        <v>244</v>
      </c>
      <c r="B245" s="12" t="str">
        <f>Cod_Gen6[[#This Row],[Codigo]]</f>
        <v>PABI4X5-4</v>
      </c>
      <c r="C245" s="12" t="str">
        <f>Cod_Gen6[[#This Row],[Tipo de Equipo]]</f>
        <v>PAR LED</v>
      </c>
      <c r="D245" s="12" t="str">
        <f>Cod_Gen6[[#This Row],[Marca]]</f>
        <v>BIGDIPPER</v>
      </c>
      <c r="E245" s="12" t="str">
        <f>Cod_Gen6[[#This Row],[Modelo]]</f>
        <v>4X50W</v>
      </c>
      <c r="F245" s="12">
        <f>Cod_Gen6[[#This Row],[N* Serie]]</f>
        <v>0</v>
      </c>
      <c r="G245" s="9"/>
      <c r="H245" s="3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spans="1:22" ht="15" x14ac:dyDescent="0.2">
      <c r="A246" s="11">
        <v>245</v>
      </c>
      <c r="B246" s="12" t="str">
        <f>Cod_Gen6[[#This Row],[Codigo]]</f>
        <v>PABI4X5-5</v>
      </c>
      <c r="C246" s="12" t="str">
        <f>Cod_Gen6[[#This Row],[Tipo de Equipo]]</f>
        <v>PAR LED</v>
      </c>
      <c r="D246" s="12" t="str">
        <f>Cod_Gen6[[#This Row],[Marca]]</f>
        <v>BIGDIPPER</v>
      </c>
      <c r="E246" s="12" t="str">
        <f>Cod_Gen6[[#This Row],[Modelo]]</f>
        <v>4X50W</v>
      </c>
      <c r="F246" s="12">
        <f>Cod_Gen6[[#This Row],[N* Serie]]</f>
        <v>0</v>
      </c>
      <c r="G246" s="8"/>
      <c r="H246" s="40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spans="1:22" ht="15" x14ac:dyDescent="0.2">
      <c r="A247" s="11">
        <v>246</v>
      </c>
      <c r="B247" s="12" t="str">
        <f>Cod_Gen6[[#This Row],[Codigo]]</f>
        <v>PABI4X5-6</v>
      </c>
      <c r="C247" s="12" t="str">
        <f>Cod_Gen6[[#This Row],[Tipo de Equipo]]</f>
        <v>PAR LED</v>
      </c>
      <c r="D247" s="12" t="str">
        <f>Cod_Gen6[[#This Row],[Marca]]</f>
        <v>BIGDIPPER</v>
      </c>
      <c r="E247" s="12" t="str">
        <f>Cod_Gen6[[#This Row],[Modelo]]</f>
        <v>4X50W</v>
      </c>
      <c r="F247" s="12">
        <f>Cod_Gen6[[#This Row],[N* Serie]]</f>
        <v>0</v>
      </c>
      <c r="G247" s="9"/>
      <c r="H247" s="3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spans="1:22" ht="15" x14ac:dyDescent="0.2">
      <c r="A248" s="11">
        <v>247</v>
      </c>
      <c r="B248" s="12" t="str">
        <f>Cod_Gen6[[#This Row],[Codigo]]</f>
        <v>PABI4X5-7</v>
      </c>
      <c r="C248" s="12" t="str">
        <f>Cod_Gen6[[#This Row],[Tipo de Equipo]]</f>
        <v>PAR LED</v>
      </c>
      <c r="D248" s="12" t="str">
        <f>Cod_Gen6[[#This Row],[Marca]]</f>
        <v>BIGDIPPER</v>
      </c>
      <c r="E248" s="12" t="str">
        <f>Cod_Gen6[[#This Row],[Modelo]]</f>
        <v>4X50W</v>
      </c>
      <c r="F248" s="12">
        <f>Cod_Gen6[[#This Row],[N* Serie]]</f>
        <v>0</v>
      </c>
      <c r="G248" s="8"/>
      <c r="H248" s="40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spans="1:22" ht="15" x14ac:dyDescent="0.2">
      <c r="A249" s="11">
        <v>248</v>
      </c>
      <c r="B249" s="12" t="str">
        <f>Cod_Gen6[[#This Row],[Codigo]]</f>
        <v>PABI4X5-8</v>
      </c>
      <c r="C249" s="12" t="str">
        <f>Cod_Gen6[[#This Row],[Tipo de Equipo]]</f>
        <v>PAR LED</v>
      </c>
      <c r="D249" s="12" t="str">
        <f>Cod_Gen6[[#This Row],[Marca]]</f>
        <v>BIGDIPPER</v>
      </c>
      <c r="E249" s="12" t="str">
        <f>Cod_Gen6[[#This Row],[Modelo]]</f>
        <v>4X50W</v>
      </c>
      <c r="F249" s="12">
        <f>Cod_Gen6[[#This Row],[N* Serie]]</f>
        <v>0</v>
      </c>
      <c r="G249" s="9"/>
      <c r="H249" s="3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spans="1:22" ht="15" x14ac:dyDescent="0.2">
      <c r="A250" s="11">
        <v>249</v>
      </c>
      <c r="B250" s="12" t="str">
        <f>Cod_Gen6[[#This Row],[Codigo]]</f>
        <v>PAGEN/A-1</v>
      </c>
      <c r="C250" s="12" t="str">
        <f>Cod_Gen6[[#This Row],[Tipo de Equipo]]</f>
        <v>PASACABLE 2 LINEAS</v>
      </c>
      <c r="D250" s="12" t="str">
        <f>Cod_Gen6[[#This Row],[Marca]]</f>
        <v>GENERICO</v>
      </c>
      <c r="E250" s="12" t="str">
        <f>Cod_Gen6[[#This Row],[Modelo]]</f>
        <v>N/A</v>
      </c>
      <c r="F250" s="12">
        <f>Cod_Gen6[[#This Row],[N* Serie]]</f>
        <v>0</v>
      </c>
      <c r="G250" s="8"/>
      <c r="H250" s="40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spans="1:22" ht="15" x14ac:dyDescent="0.2">
      <c r="A251" s="11">
        <v>250</v>
      </c>
      <c r="B251" s="12" t="str">
        <f>Cod_Gen6[[#This Row],[Codigo]]</f>
        <v>PAGEN/A-2</v>
      </c>
      <c r="C251" s="12" t="str">
        <f>Cod_Gen6[[#This Row],[Tipo de Equipo]]</f>
        <v>PASACABLE 2 LINEAS</v>
      </c>
      <c r="D251" s="12" t="str">
        <f>Cod_Gen6[[#This Row],[Marca]]</f>
        <v>GENERICO</v>
      </c>
      <c r="E251" s="12" t="str">
        <f>Cod_Gen6[[#This Row],[Modelo]]</f>
        <v>N/A</v>
      </c>
      <c r="F251" s="12">
        <f>Cod_Gen6[[#This Row],[N* Serie]]</f>
        <v>0</v>
      </c>
      <c r="G251" s="9"/>
      <c r="H251" s="3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spans="1:22" ht="15" x14ac:dyDescent="0.2">
      <c r="A252" s="11">
        <v>251</v>
      </c>
      <c r="B252" s="12" t="str">
        <f>Cod_Gen6[[#This Row],[Codigo]]</f>
        <v>PAGEN/A-3</v>
      </c>
      <c r="C252" s="12" t="str">
        <f>Cod_Gen6[[#This Row],[Tipo de Equipo]]</f>
        <v>PASACABLE 2 LINEAS</v>
      </c>
      <c r="D252" s="12" t="str">
        <f>Cod_Gen6[[#This Row],[Marca]]</f>
        <v>GENERICO</v>
      </c>
      <c r="E252" s="12" t="str">
        <f>Cod_Gen6[[#This Row],[Modelo]]</f>
        <v>N/A</v>
      </c>
      <c r="F252" s="12">
        <f>Cod_Gen6[[#This Row],[N* Serie]]</f>
        <v>0</v>
      </c>
      <c r="G252" s="8"/>
      <c r="H252" s="40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spans="1:22" ht="15" x14ac:dyDescent="0.2">
      <c r="A253" s="11">
        <v>252</v>
      </c>
      <c r="B253" s="12" t="str">
        <f>Cod_Gen6[[#This Row],[Codigo]]</f>
        <v>PAGEN/A-4</v>
      </c>
      <c r="C253" s="12" t="str">
        <f>Cod_Gen6[[#This Row],[Tipo de Equipo]]</f>
        <v>PASACABLE 2 LINEAS</v>
      </c>
      <c r="D253" s="12" t="str">
        <f>Cod_Gen6[[#This Row],[Marca]]</f>
        <v>GENERICO</v>
      </c>
      <c r="E253" s="12" t="str">
        <f>Cod_Gen6[[#This Row],[Modelo]]</f>
        <v>N/A</v>
      </c>
      <c r="F253" s="12">
        <f>Cod_Gen6[[#This Row],[N* Serie]]</f>
        <v>0</v>
      </c>
      <c r="G253" s="9"/>
      <c r="H253" s="3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spans="1:22" ht="15" x14ac:dyDescent="0.2">
      <c r="A254" s="11">
        <v>253</v>
      </c>
      <c r="B254" s="12" t="str">
        <f>Cod_Gen6[[#This Row],[Codigo]]</f>
        <v>PAQSK12-1</v>
      </c>
      <c r="C254" s="12" t="str">
        <f>Cod_Gen6[[#This Row],[Tipo de Equipo]]</f>
        <v>PARLANTE</v>
      </c>
      <c r="D254" s="12" t="str">
        <f>Cod_Gen6[[#This Row],[Marca]]</f>
        <v>QSC</v>
      </c>
      <c r="E254" s="12" t="str">
        <f>Cod_Gen6[[#This Row],[Modelo]]</f>
        <v>K12.2</v>
      </c>
      <c r="F254" s="12">
        <f>Cod_Gen6[[#This Row],[N* Serie]]</f>
        <v>0</v>
      </c>
      <c r="G254" s="8"/>
      <c r="H254" s="40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spans="1:22" ht="15" x14ac:dyDescent="0.2">
      <c r="A255" s="11">
        <v>254</v>
      </c>
      <c r="B255" s="12" t="str">
        <f>Cod_Gen6[[#This Row],[Codigo]]</f>
        <v>PAQSK12-2</v>
      </c>
      <c r="C255" s="12" t="str">
        <f>Cod_Gen6[[#This Row],[Tipo de Equipo]]</f>
        <v>PARLANTE</v>
      </c>
      <c r="D255" s="12" t="str">
        <f>Cod_Gen6[[#This Row],[Marca]]</f>
        <v>QSC</v>
      </c>
      <c r="E255" s="12" t="str">
        <f>Cod_Gen6[[#This Row],[Modelo]]</f>
        <v>K12.2</v>
      </c>
      <c r="F255" s="12">
        <f>Cod_Gen6[[#This Row],[N* Serie]]</f>
        <v>0</v>
      </c>
      <c r="G255" s="9"/>
      <c r="H255" s="3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spans="1:22" ht="15" x14ac:dyDescent="0.2">
      <c r="A256" s="11">
        <v>255</v>
      </c>
      <c r="B256" s="12" t="str">
        <f>Cod_Gen6[[#This Row],[Codigo]]</f>
        <v>PAQSK12-3</v>
      </c>
      <c r="C256" s="12" t="str">
        <f>Cod_Gen6[[#This Row],[Tipo de Equipo]]</f>
        <v>PARLANTE</v>
      </c>
      <c r="D256" s="12" t="str">
        <f>Cod_Gen6[[#This Row],[Marca]]</f>
        <v>QSC</v>
      </c>
      <c r="E256" s="12" t="str">
        <f>Cod_Gen6[[#This Row],[Modelo]]</f>
        <v>K12.2</v>
      </c>
      <c r="F256" s="12">
        <f>Cod_Gen6[[#This Row],[N* Serie]]</f>
        <v>0</v>
      </c>
      <c r="G256" s="8"/>
      <c r="H256" s="40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spans="1:22" ht="15" x14ac:dyDescent="0.2">
      <c r="A257" s="11">
        <v>256</v>
      </c>
      <c r="B257" s="12" t="str">
        <f>Cod_Gen6[[#This Row],[Codigo]]</f>
        <v>PAQSK12-4</v>
      </c>
      <c r="C257" s="12" t="str">
        <f>Cod_Gen6[[#This Row],[Tipo de Equipo]]</f>
        <v>PARLANTE</v>
      </c>
      <c r="D257" s="12" t="str">
        <f>Cod_Gen6[[#This Row],[Marca]]</f>
        <v>QSC</v>
      </c>
      <c r="E257" s="12" t="str">
        <f>Cod_Gen6[[#This Row],[Modelo]]</f>
        <v>K12.2</v>
      </c>
      <c r="F257" s="12">
        <f>Cod_Gen6[[#This Row],[N* Serie]]</f>
        <v>0</v>
      </c>
      <c r="G257" s="9"/>
      <c r="H257" s="3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spans="1:22" ht="15" x14ac:dyDescent="0.2">
      <c r="A258" s="11">
        <v>257</v>
      </c>
      <c r="B258" s="12" t="str">
        <f>Cod_Gen6[[#This Row],[Codigo]]</f>
        <v>PAQSK12-5</v>
      </c>
      <c r="C258" s="12" t="str">
        <f>Cod_Gen6[[#This Row],[Tipo de Equipo]]</f>
        <v>PARLANTE</v>
      </c>
      <c r="D258" s="12" t="str">
        <f>Cod_Gen6[[#This Row],[Marca]]</f>
        <v>QSC</v>
      </c>
      <c r="E258" s="12" t="str">
        <f>Cod_Gen6[[#This Row],[Modelo]]</f>
        <v>K12.2</v>
      </c>
      <c r="F258" s="12">
        <f>Cod_Gen6[[#This Row],[N* Serie]]</f>
        <v>0</v>
      </c>
      <c r="G258" s="8"/>
      <c r="H258" s="40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spans="1:22" ht="15" x14ac:dyDescent="0.2">
      <c r="A259" s="11">
        <v>258</v>
      </c>
      <c r="B259" s="12" t="str">
        <f>Cod_Gen6[[#This Row],[Codigo]]</f>
        <v>PAQSK12-6</v>
      </c>
      <c r="C259" s="12" t="str">
        <f>Cod_Gen6[[#This Row],[Tipo de Equipo]]</f>
        <v>PARLANTE</v>
      </c>
      <c r="D259" s="12" t="str">
        <f>Cod_Gen6[[#This Row],[Marca]]</f>
        <v>QSC</v>
      </c>
      <c r="E259" s="12" t="str">
        <f>Cod_Gen6[[#This Row],[Modelo]]</f>
        <v>K12.2</v>
      </c>
      <c r="F259" s="12">
        <f>Cod_Gen6[[#This Row],[N* Serie]]</f>
        <v>0</v>
      </c>
      <c r="G259" s="9"/>
      <c r="H259" s="3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spans="1:22" ht="15" x14ac:dyDescent="0.2">
      <c r="A260" s="11">
        <v>259</v>
      </c>
      <c r="B260" s="12" t="str">
        <f>Cod_Gen6[[#This Row],[Codigo]]</f>
        <v>PAQSK10-1</v>
      </c>
      <c r="C260" s="12" t="str">
        <f>Cod_Gen6[[#This Row],[Tipo de Equipo]]</f>
        <v>PARLANTE</v>
      </c>
      <c r="D260" s="12" t="str">
        <f>Cod_Gen6[[#This Row],[Marca]]</f>
        <v>QSC</v>
      </c>
      <c r="E260" s="12" t="str">
        <f>Cod_Gen6[[#This Row],[Modelo]]</f>
        <v>K10</v>
      </c>
      <c r="F260" s="12">
        <f>Cod_Gen6[[#This Row],[N* Serie]]</f>
        <v>0</v>
      </c>
      <c r="G260" s="8"/>
      <c r="H260" s="40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spans="1:22" ht="15" x14ac:dyDescent="0.2">
      <c r="A261" s="11">
        <v>260</v>
      </c>
      <c r="B261" s="12" t="str">
        <f>Cod_Gen6[[#This Row],[Codigo]]</f>
        <v>PAQSK10-2</v>
      </c>
      <c r="C261" s="12" t="str">
        <f>Cod_Gen6[[#This Row],[Tipo de Equipo]]</f>
        <v>PARLANTE</v>
      </c>
      <c r="D261" s="12" t="str">
        <f>Cod_Gen6[[#This Row],[Marca]]</f>
        <v>QSC</v>
      </c>
      <c r="E261" s="12" t="str">
        <f>Cod_Gen6[[#This Row],[Modelo]]</f>
        <v>K10</v>
      </c>
      <c r="F261" s="12">
        <f>Cod_Gen6[[#This Row],[N* Serie]]</f>
        <v>0</v>
      </c>
      <c r="G261" s="9"/>
      <c r="H261" s="3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spans="1:22" ht="15" x14ac:dyDescent="0.2">
      <c r="A262" s="11">
        <v>261</v>
      </c>
      <c r="B262" s="12" t="str">
        <f>Cod_Gen6[[#This Row],[Codigo]]</f>
        <v>PASAS96-1</v>
      </c>
      <c r="C262" s="12" t="str">
        <f>Cod_Gen6[[#This Row],[Tipo de Equipo]]</f>
        <v xml:space="preserve">PALETAS STROBE </v>
      </c>
      <c r="D262" s="12" t="str">
        <f>Cod_Gen6[[#This Row],[Marca]]</f>
        <v>SANYI LIGHT</v>
      </c>
      <c r="E262" s="12" t="str">
        <f>Cod_Gen6[[#This Row],[Modelo]]</f>
        <v>S960ii</v>
      </c>
      <c r="F262" s="12">
        <f>Cod_Gen6[[#This Row],[N* Serie]]</f>
        <v>0</v>
      </c>
      <c r="G262" s="8"/>
      <c r="H262" s="40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spans="1:22" ht="15" x14ac:dyDescent="0.2">
      <c r="A263" s="11">
        <v>262</v>
      </c>
      <c r="B263" s="12" t="str">
        <f>Cod_Gen6[[#This Row],[Codigo]]</f>
        <v>PASAS96-2</v>
      </c>
      <c r="C263" s="12" t="str">
        <f>Cod_Gen6[[#This Row],[Tipo de Equipo]]</f>
        <v xml:space="preserve">PALETAS STROBE </v>
      </c>
      <c r="D263" s="12" t="str">
        <f>Cod_Gen6[[#This Row],[Marca]]</f>
        <v>SANYI LIGHT</v>
      </c>
      <c r="E263" s="12" t="str">
        <f>Cod_Gen6[[#This Row],[Modelo]]</f>
        <v>S960ii</v>
      </c>
      <c r="F263" s="12">
        <f>Cod_Gen6[[#This Row],[N* Serie]]</f>
        <v>0</v>
      </c>
      <c r="G263" s="9"/>
      <c r="H263" s="3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spans="1:22" ht="15" x14ac:dyDescent="0.2">
      <c r="A264" s="11">
        <v>263</v>
      </c>
      <c r="B264" s="12" t="str">
        <f>Cod_Gen6[[#This Row],[Codigo]]</f>
        <v>PASAS96-3</v>
      </c>
      <c r="C264" s="12" t="str">
        <f>Cod_Gen6[[#This Row],[Tipo de Equipo]]</f>
        <v xml:space="preserve">PALETAS STROBE </v>
      </c>
      <c r="D264" s="12" t="str">
        <f>Cod_Gen6[[#This Row],[Marca]]</f>
        <v>SANYI LIGHT</v>
      </c>
      <c r="E264" s="12" t="str">
        <f>Cod_Gen6[[#This Row],[Modelo]]</f>
        <v>S960ii</v>
      </c>
      <c r="F264" s="12">
        <f>Cod_Gen6[[#This Row],[N* Serie]]</f>
        <v>0</v>
      </c>
      <c r="G264" s="8"/>
      <c r="H264" s="40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spans="1:22" ht="15" x14ac:dyDescent="0.2">
      <c r="A265" s="11">
        <v>264</v>
      </c>
      <c r="B265" s="12" t="str">
        <f>Cod_Gen6[[#This Row],[Codigo]]</f>
        <v>PASAS96-4</v>
      </c>
      <c r="C265" s="12" t="str">
        <f>Cod_Gen6[[#This Row],[Tipo de Equipo]]</f>
        <v xml:space="preserve">PALETAS STROBE </v>
      </c>
      <c r="D265" s="12" t="str">
        <f>Cod_Gen6[[#This Row],[Marca]]</f>
        <v>SANYI LIGHT</v>
      </c>
      <c r="E265" s="12" t="str">
        <f>Cod_Gen6[[#This Row],[Modelo]]</f>
        <v>S960ii</v>
      </c>
      <c r="F265" s="12">
        <f>Cod_Gen6[[#This Row],[N* Serie]]</f>
        <v>0</v>
      </c>
      <c r="G265" s="9"/>
      <c r="H265" s="3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spans="1:22" ht="15" x14ac:dyDescent="0.2">
      <c r="A266" s="11">
        <v>265</v>
      </c>
      <c r="B266" s="12" t="str">
        <f>Cod_Gen6[[#This Row],[Codigo]]</f>
        <v>PASAS96-5</v>
      </c>
      <c r="C266" s="12" t="str">
        <f>Cod_Gen6[[#This Row],[Tipo de Equipo]]</f>
        <v xml:space="preserve">PALETAS STROBE </v>
      </c>
      <c r="D266" s="12" t="str">
        <f>Cod_Gen6[[#This Row],[Marca]]</f>
        <v>SANYI LIGHT</v>
      </c>
      <c r="E266" s="12" t="str">
        <f>Cod_Gen6[[#This Row],[Modelo]]</f>
        <v>S960ii</v>
      </c>
      <c r="F266" s="12">
        <f>Cod_Gen6[[#This Row],[N* Serie]]</f>
        <v>0</v>
      </c>
      <c r="G266" s="8"/>
      <c r="H266" s="40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spans="1:22" ht="15" x14ac:dyDescent="0.2">
      <c r="A267" s="11">
        <v>266</v>
      </c>
      <c r="B267" s="12" t="str">
        <f>Cod_Gen6[[#This Row],[Codigo]]</f>
        <v>PASAS96-6</v>
      </c>
      <c r="C267" s="12" t="str">
        <f>Cod_Gen6[[#This Row],[Tipo de Equipo]]</f>
        <v xml:space="preserve">PALETAS STROBE </v>
      </c>
      <c r="D267" s="12" t="str">
        <f>Cod_Gen6[[#This Row],[Marca]]</f>
        <v>SANYI LIGHT</v>
      </c>
      <c r="E267" s="12" t="str">
        <f>Cod_Gen6[[#This Row],[Modelo]]</f>
        <v>S960ii</v>
      </c>
      <c r="F267" s="12">
        <f>Cod_Gen6[[#This Row],[N* Serie]]</f>
        <v>0</v>
      </c>
      <c r="G267" s="9"/>
      <c r="H267" s="3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2" ht="15" x14ac:dyDescent="0.2">
      <c r="A268" s="11">
        <v>267</v>
      </c>
      <c r="B268" s="12" t="str">
        <f>Cod_Gen6[[#This Row],[Codigo]]</f>
        <v>PASAS96-7</v>
      </c>
      <c r="C268" s="12" t="str">
        <f>Cod_Gen6[[#This Row],[Tipo de Equipo]]</f>
        <v xml:space="preserve">PALETAS STROBE </v>
      </c>
      <c r="D268" s="12" t="str">
        <f>Cod_Gen6[[#This Row],[Marca]]</f>
        <v>SANYI LIGHT</v>
      </c>
      <c r="E268" s="12" t="str">
        <f>Cod_Gen6[[#This Row],[Modelo]]</f>
        <v>S960ii</v>
      </c>
      <c r="F268" s="12">
        <f>Cod_Gen6[[#This Row],[N* Serie]]</f>
        <v>0</v>
      </c>
      <c r="G268" s="8"/>
      <c r="H268" s="40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spans="1:22" ht="15" x14ac:dyDescent="0.2">
      <c r="A269" s="11">
        <v>268</v>
      </c>
      <c r="B269" s="12" t="str">
        <f>Cod_Gen6[[#This Row],[Codigo]]</f>
        <v>PASAS96-8</v>
      </c>
      <c r="C269" s="12" t="str">
        <f>Cod_Gen6[[#This Row],[Tipo de Equipo]]</f>
        <v xml:space="preserve">PALETAS STROBE </v>
      </c>
      <c r="D269" s="12" t="str">
        <f>Cod_Gen6[[#This Row],[Marca]]</f>
        <v>SANYI LIGHT</v>
      </c>
      <c r="E269" s="12" t="str">
        <f>Cod_Gen6[[#This Row],[Modelo]]</f>
        <v>S960ii</v>
      </c>
      <c r="F269" s="12">
        <f>Cod_Gen6[[#This Row],[N* Serie]]</f>
        <v>0</v>
      </c>
      <c r="G269" s="9"/>
      <c r="H269" s="3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spans="1:22" ht="15" x14ac:dyDescent="0.2">
      <c r="A270" s="11">
        <v>269</v>
      </c>
      <c r="B270" s="12" t="str">
        <f>Cod_Gen6[[#This Row],[Codigo]]</f>
        <v>PEGEN/A-1</v>
      </c>
      <c r="C270" s="12" t="str">
        <f>Cod_Gen6[[#This Row],[Tipo de Equipo]]</f>
        <v>PERFIL RECTANGULAR 3 MTS</v>
      </c>
      <c r="D270" s="12" t="str">
        <f>Cod_Gen6[[#This Row],[Marca]]</f>
        <v>GENERICO</v>
      </c>
      <c r="E270" s="12" t="str">
        <f>Cod_Gen6[[#This Row],[Modelo]]</f>
        <v>N/A</v>
      </c>
      <c r="F270" s="12">
        <f>Cod_Gen6[[#This Row],[N* Serie]]</f>
        <v>0</v>
      </c>
      <c r="G270" s="8"/>
      <c r="H270" s="40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spans="1:22" ht="15" x14ac:dyDescent="0.2">
      <c r="A271" s="11">
        <v>270</v>
      </c>
      <c r="B271" s="12" t="str">
        <f>Cod_Gen6[[#This Row],[Codigo]]</f>
        <v>PEGEN/A-2</v>
      </c>
      <c r="C271" s="12" t="str">
        <f>Cod_Gen6[[#This Row],[Tipo de Equipo]]</f>
        <v>PERFIL RECTANGULAR 3 MTS</v>
      </c>
      <c r="D271" s="12" t="str">
        <f>Cod_Gen6[[#This Row],[Marca]]</f>
        <v>GENERICO</v>
      </c>
      <c r="E271" s="12" t="str">
        <f>Cod_Gen6[[#This Row],[Modelo]]</f>
        <v>N/A</v>
      </c>
      <c r="F271" s="12">
        <f>Cod_Gen6[[#This Row],[N* Serie]]</f>
        <v>0</v>
      </c>
      <c r="G271" s="9"/>
      <c r="H271" s="3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spans="1:22" ht="15" x14ac:dyDescent="0.2">
      <c r="A272" s="11">
        <v>271</v>
      </c>
      <c r="B272" s="12" t="str">
        <f>Cod_Gen6[[#This Row],[Codigo]]</f>
        <v>PEGEN/A-3</v>
      </c>
      <c r="C272" s="12" t="str">
        <f>Cod_Gen6[[#This Row],[Tipo de Equipo]]</f>
        <v>PERFIL RECTANGULAR 3 MTS</v>
      </c>
      <c r="D272" s="12" t="str">
        <f>Cod_Gen6[[#This Row],[Marca]]</f>
        <v>GENERICO</v>
      </c>
      <c r="E272" s="12" t="str">
        <f>Cod_Gen6[[#This Row],[Modelo]]</f>
        <v>N/A</v>
      </c>
      <c r="F272" s="12">
        <f>Cod_Gen6[[#This Row],[N* Serie]]</f>
        <v>0</v>
      </c>
      <c r="G272" s="8"/>
      <c r="H272" s="40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spans="1:22" ht="15" x14ac:dyDescent="0.2">
      <c r="A273" s="11">
        <v>272</v>
      </c>
      <c r="B273" s="12" t="str">
        <f>Cod_Gen6[[#This Row],[Codigo]]</f>
        <v>PEGEN/A-4</v>
      </c>
      <c r="C273" s="12" t="str">
        <f>Cod_Gen6[[#This Row],[Tipo de Equipo]]</f>
        <v>PERFIL RECTANGULAR 3 MTS</v>
      </c>
      <c r="D273" s="12" t="str">
        <f>Cod_Gen6[[#This Row],[Marca]]</f>
        <v>GENERICO</v>
      </c>
      <c r="E273" s="12" t="str">
        <f>Cod_Gen6[[#This Row],[Modelo]]</f>
        <v>N/A</v>
      </c>
      <c r="F273" s="12">
        <f>Cod_Gen6[[#This Row],[N* Serie]]</f>
        <v>0</v>
      </c>
      <c r="G273" s="9"/>
      <c r="H273" s="3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spans="1:22" ht="15" x14ac:dyDescent="0.2">
      <c r="A274" s="11">
        <v>273</v>
      </c>
      <c r="B274" s="12" t="str">
        <f>Cod_Gen6[[#This Row],[Codigo]]</f>
        <v>PEGEN/A-5</v>
      </c>
      <c r="C274" s="12" t="str">
        <f>Cod_Gen6[[#This Row],[Tipo de Equipo]]</f>
        <v>PERFIL RECTANGULAR 3 MTS</v>
      </c>
      <c r="D274" s="12" t="str">
        <f>Cod_Gen6[[#This Row],[Marca]]</f>
        <v>GENERICO</v>
      </c>
      <c r="E274" s="12" t="str">
        <f>Cod_Gen6[[#This Row],[Modelo]]</f>
        <v>N/A</v>
      </c>
      <c r="F274" s="12">
        <f>Cod_Gen6[[#This Row],[N* Serie]]</f>
        <v>0</v>
      </c>
      <c r="G274" s="8"/>
      <c r="H274" s="40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spans="1:22" ht="15" x14ac:dyDescent="0.2">
      <c r="A275" s="11">
        <v>274</v>
      </c>
      <c r="B275" s="12" t="str">
        <f>Cod_Gen6[[#This Row],[Codigo]]</f>
        <v>PEGEN/A-6</v>
      </c>
      <c r="C275" s="12" t="str">
        <f>Cod_Gen6[[#This Row],[Tipo de Equipo]]</f>
        <v>PERFIL RECTANGULAR 3 MTS</v>
      </c>
      <c r="D275" s="12" t="str">
        <f>Cod_Gen6[[#This Row],[Marca]]</f>
        <v>GENERICO</v>
      </c>
      <c r="E275" s="12" t="str">
        <f>Cod_Gen6[[#This Row],[Modelo]]</f>
        <v>N/A</v>
      </c>
      <c r="F275" s="12">
        <f>Cod_Gen6[[#This Row],[N* Serie]]</f>
        <v>0</v>
      </c>
      <c r="G275" s="9"/>
      <c r="H275" s="3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spans="1:22" ht="15" x14ac:dyDescent="0.2">
      <c r="A276" s="11">
        <v>275</v>
      </c>
      <c r="B276" s="12" t="str">
        <f>Cod_Gen6[[#This Row],[Codigo]]</f>
        <v>PEGEN/A-7</v>
      </c>
      <c r="C276" s="12" t="str">
        <f>Cod_Gen6[[#This Row],[Tipo de Equipo]]</f>
        <v>PERFIL RECTANGULAR 3 MTS</v>
      </c>
      <c r="D276" s="12" t="str">
        <f>Cod_Gen6[[#This Row],[Marca]]</f>
        <v>GENERICO</v>
      </c>
      <c r="E276" s="12" t="str">
        <f>Cod_Gen6[[#This Row],[Modelo]]</f>
        <v>N/A</v>
      </c>
      <c r="F276" s="12">
        <f>Cod_Gen6[[#This Row],[N* Serie]]</f>
        <v>0</v>
      </c>
      <c r="G276" s="8"/>
      <c r="H276" s="40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spans="1:22" ht="15" x14ac:dyDescent="0.2">
      <c r="A277" s="11">
        <v>276</v>
      </c>
      <c r="B277" s="12" t="str">
        <f>Cod_Gen6[[#This Row],[Codigo]]</f>
        <v>PIQI100-1</v>
      </c>
      <c r="C277" s="12" t="str">
        <f>Cod_Gen6[[#This Row],[Tipo de Equipo]]</f>
        <v>PISTA DE BAILE B&amp;W</v>
      </c>
      <c r="D277" s="12" t="str">
        <f>Cod_Gen6[[#This Row],[Marca]]</f>
        <v>QINGDAO</v>
      </c>
      <c r="E277" s="12" t="str">
        <f>Cod_Gen6[[#This Row],[Modelo]]</f>
        <v>100MTS2</v>
      </c>
      <c r="F277" s="12">
        <f>Cod_Gen6[[#This Row],[N* Serie]]</f>
        <v>0</v>
      </c>
      <c r="G277" s="9"/>
      <c r="H277" s="3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spans="1:22" ht="15" x14ac:dyDescent="0.2">
      <c r="A278" s="11">
        <v>277</v>
      </c>
      <c r="B278" s="12" t="str">
        <f>Cod_Gen6[[#This Row],[Codigo]]</f>
        <v>REGEN/A-1</v>
      </c>
      <c r="C278" s="12" t="str">
        <f>Cod_Gen6[[#This Row],[Tipo de Equipo]]</f>
        <v>REGULADOR DE VOLTAJE</v>
      </c>
      <c r="D278" s="12" t="str">
        <f>Cod_Gen6[[#This Row],[Marca]]</f>
        <v>GENERICO</v>
      </c>
      <c r="E278" s="12" t="str">
        <f>Cod_Gen6[[#This Row],[Modelo]]</f>
        <v>N/A</v>
      </c>
      <c r="F278" s="12">
        <f>Cod_Gen6[[#This Row],[N* Serie]]</f>
        <v>0</v>
      </c>
      <c r="G278" s="8"/>
      <c r="H278" s="40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spans="1:22" ht="15" x14ac:dyDescent="0.2">
      <c r="A279" s="11">
        <v>278</v>
      </c>
      <c r="B279" s="12" t="str">
        <f>Cod_Gen6[[#This Row],[Codigo]]</f>
        <v>REGEN/A-2</v>
      </c>
      <c r="C279" s="12" t="str">
        <f>Cod_Gen6[[#This Row],[Tipo de Equipo]]</f>
        <v>REGULADOR DE VOLTAJE</v>
      </c>
      <c r="D279" s="12" t="str">
        <f>Cod_Gen6[[#This Row],[Marca]]</f>
        <v>GENERICO</v>
      </c>
      <c r="E279" s="12" t="str">
        <f>Cod_Gen6[[#This Row],[Modelo]]</f>
        <v>N/A</v>
      </c>
      <c r="F279" s="12">
        <f>Cod_Gen6[[#This Row],[N* Serie]]</f>
        <v>0</v>
      </c>
      <c r="G279" s="9"/>
      <c r="H279" s="3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spans="1:22" ht="15" x14ac:dyDescent="0.2">
      <c r="A280" s="11">
        <v>279</v>
      </c>
      <c r="B280" s="12" t="str">
        <f>Cod_Gen6[[#This Row],[Codigo]]</f>
        <v>REGEN/A-3</v>
      </c>
      <c r="C280" s="12" t="str">
        <f>Cod_Gen6[[#This Row],[Tipo de Equipo]]</f>
        <v>REGULADOR DE VOLTAJE</v>
      </c>
      <c r="D280" s="12" t="str">
        <f>Cod_Gen6[[#This Row],[Marca]]</f>
        <v>GENERICO</v>
      </c>
      <c r="E280" s="12" t="str">
        <f>Cod_Gen6[[#This Row],[Modelo]]</f>
        <v>N/A</v>
      </c>
      <c r="F280" s="12">
        <f>Cod_Gen6[[#This Row],[N* Serie]]</f>
        <v>0</v>
      </c>
      <c r="G280" s="8"/>
      <c r="H280" s="40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spans="1:22" ht="15" x14ac:dyDescent="0.2">
      <c r="A281" s="11">
        <v>280</v>
      </c>
      <c r="B281" s="12" t="str">
        <f>Cod_Gen6[[#This Row],[Codigo]]</f>
        <v>REGEN/A-4</v>
      </c>
      <c r="C281" s="12" t="str">
        <f>Cod_Gen6[[#This Row],[Tipo de Equipo]]</f>
        <v>REGULADOR DE VOLTAJE</v>
      </c>
      <c r="D281" s="12" t="str">
        <f>Cod_Gen6[[#This Row],[Marca]]</f>
        <v>GENERICO</v>
      </c>
      <c r="E281" s="12" t="str">
        <f>Cod_Gen6[[#This Row],[Modelo]]</f>
        <v>N/A</v>
      </c>
      <c r="F281" s="12">
        <f>Cod_Gen6[[#This Row],[N* Serie]]</f>
        <v>0</v>
      </c>
      <c r="G281" s="9"/>
      <c r="H281" s="3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spans="1:22" ht="15" x14ac:dyDescent="0.2">
      <c r="A282" s="11">
        <v>281</v>
      </c>
      <c r="B282" s="12" t="str">
        <f>Cod_Gen6[[#This Row],[Codigo]]</f>
        <v>REGEN/A-5</v>
      </c>
      <c r="C282" s="12" t="str">
        <f>Cod_Gen6[[#This Row],[Tipo de Equipo]]</f>
        <v>REGULADOR DE VOLTAJE</v>
      </c>
      <c r="D282" s="12" t="str">
        <f>Cod_Gen6[[#This Row],[Marca]]</f>
        <v>GENERICO</v>
      </c>
      <c r="E282" s="12" t="str">
        <f>Cod_Gen6[[#This Row],[Modelo]]</f>
        <v>N/A</v>
      </c>
      <c r="F282" s="12">
        <f>Cod_Gen6[[#This Row],[N* Serie]]</f>
        <v>0</v>
      </c>
      <c r="G282" s="8"/>
      <c r="H282" s="40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spans="1:22" ht="15" x14ac:dyDescent="0.2">
      <c r="A283" s="11">
        <v>282</v>
      </c>
      <c r="B283" s="12" t="str">
        <f>Cod_Gen6[[#This Row],[Codigo]]</f>
        <v>SUAUALA-1</v>
      </c>
      <c r="C283" s="12" t="str">
        <f>Cod_Gen6[[#This Row],[Tipo de Equipo]]</f>
        <v>SUB BAJO</v>
      </c>
      <c r="D283" s="12" t="str">
        <f>Cod_Gen6[[#This Row],[Marca]]</f>
        <v>AUDIOLAB</v>
      </c>
      <c r="E283" s="12" t="str">
        <f>Cod_Gen6[[#This Row],[Modelo]]</f>
        <v>ALA218</v>
      </c>
      <c r="F283" s="12">
        <f>Cod_Gen6[[#This Row],[N* Serie]]</f>
        <v>0</v>
      </c>
      <c r="G283" s="9"/>
      <c r="H283" s="3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spans="1:22" ht="15" x14ac:dyDescent="0.2">
      <c r="A284" s="11">
        <v>283</v>
      </c>
      <c r="B284" s="12" t="str">
        <f>Cod_Gen6[[#This Row],[Codigo]]</f>
        <v>TAGEN/A-1</v>
      </c>
      <c r="C284" s="12" t="str">
        <f>Cod_Gen6[[#This Row],[Tipo de Equipo]]</f>
        <v>TARIMA</v>
      </c>
      <c r="D284" s="12" t="str">
        <f>Cod_Gen6[[#This Row],[Marca]]</f>
        <v>GENERICO</v>
      </c>
      <c r="E284" s="12" t="str">
        <f>Cod_Gen6[[#This Row],[Modelo]]</f>
        <v>N/A</v>
      </c>
      <c r="F284" s="12">
        <f>Cod_Gen6[[#This Row],[N* Serie]]</f>
        <v>0</v>
      </c>
      <c r="G284" s="8"/>
      <c r="H284" s="40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spans="1:22" ht="15" x14ac:dyDescent="0.2">
      <c r="A285" s="11">
        <v>284</v>
      </c>
      <c r="B285" s="12" t="str">
        <f>Cod_Gen6[[#This Row],[Codigo]]</f>
        <v>TALE32A-1</v>
      </c>
      <c r="C285" s="12" t="str">
        <f>Cod_Gen6[[#This Row],[Tipo de Equipo]]</f>
        <v>TABLERO TRIFASICO</v>
      </c>
      <c r="D285" s="12" t="str">
        <f>Cod_Gen6[[#This Row],[Marca]]</f>
        <v>LEXO</v>
      </c>
      <c r="E285" s="12" t="str">
        <f>Cod_Gen6[[#This Row],[Modelo]]</f>
        <v>32A</v>
      </c>
      <c r="F285" s="12">
        <f>Cod_Gen6[[#This Row],[N* Serie]]</f>
        <v>0</v>
      </c>
      <c r="G285" s="9"/>
      <c r="H285" s="3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spans="1:22" ht="15" x14ac:dyDescent="0.2">
      <c r="A286" s="11">
        <v>285</v>
      </c>
      <c r="B286" s="12" t="str">
        <f>Cod_Gen6[[#This Row],[Codigo]]</f>
        <v>TALE32A-2</v>
      </c>
      <c r="C286" s="12" t="str">
        <f>Cod_Gen6[[#This Row],[Tipo de Equipo]]</f>
        <v>TABLERO TRIFASICO</v>
      </c>
      <c r="D286" s="12" t="str">
        <f>Cod_Gen6[[#This Row],[Marca]]</f>
        <v>LEXO</v>
      </c>
      <c r="E286" s="12" t="str">
        <f>Cod_Gen6[[#This Row],[Modelo]]</f>
        <v>32A</v>
      </c>
      <c r="F286" s="12">
        <f>Cod_Gen6[[#This Row],[N* Serie]]</f>
        <v>0</v>
      </c>
      <c r="G286" s="8"/>
      <c r="H286" s="40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spans="1:22" ht="15" x14ac:dyDescent="0.2">
      <c r="A287" s="11">
        <v>286</v>
      </c>
      <c r="B287" s="12" t="str">
        <f>Cod_Gen6[[#This Row],[Codigo]]</f>
        <v>TOFEMEG-1</v>
      </c>
      <c r="C287" s="12" t="str">
        <f>Cod_Gen6[[#This Row],[Tipo de Equipo]]</f>
        <v>TORRE</v>
      </c>
      <c r="D287" s="12" t="str">
        <f>Cod_Gen6[[#This Row],[Marca]]</f>
        <v>FENIX</v>
      </c>
      <c r="E287" s="12" t="str">
        <f>Cod_Gen6[[#This Row],[Modelo]]</f>
        <v>MEGARA 300</v>
      </c>
      <c r="F287" s="12">
        <f>Cod_Gen6[[#This Row],[N* Serie]]</f>
        <v>0</v>
      </c>
      <c r="G287" s="9"/>
      <c r="H287" s="3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spans="1:22" ht="15" x14ac:dyDescent="0.2">
      <c r="A288" s="11">
        <v>287</v>
      </c>
      <c r="B288" s="12" t="str">
        <f>Cod_Gen6[[#This Row],[Codigo]]</f>
        <v>TOFEMEG-2</v>
      </c>
      <c r="C288" s="12" t="str">
        <f>Cod_Gen6[[#This Row],[Tipo de Equipo]]</f>
        <v>TORRE</v>
      </c>
      <c r="D288" s="12" t="str">
        <f>Cod_Gen6[[#This Row],[Marca]]</f>
        <v>FENIX</v>
      </c>
      <c r="E288" s="12" t="str">
        <f>Cod_Gen6[[#This Row],[Modelo]]</f>
        <v>MEGARA 300</v>
      </c>
      <c r="F288" s="12">
        <f>Cod_Gen6[[#This Row],[N* Serie]]</f>
        <v>0</v>
      </c>
      <c r="G288" s="8"/>
      <c r="H288" s="40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spans="1:22" ht="15" x14ac:dyDescent="0.2">
      <c r="A289" s="11">
        <v>288</v>
      </c>
      <c r="B289" s="12" t="str">
        <f>Cod_Gen6[[#This Row],[Codigo]]</f>
        <v>TOGEN/A-1</v>
      </c>
      <c r="C289" s="12" t="str">
        <f>Cod_Gen6[[#This Row],[Tipo de Equipo]]</f>
        <v>TOTEM FOTOGRAFICO</v>
      </c>
      <c r="D289" s="12" t="str">
        <f>Cod_Gen6[[#This Row],[Marca]]</f>
        <v>GENERICO</v>
      </c>
      <c r="E289" s="12" t="str">
        <f>Cod_Gen6[[#This Row],[Modelo]]</f>
        <v>N/A</v>
      </c>
      <c r="F289" s="12">
        <f>Cod_Gen6[[#This Row],[N* Serie]]</f>
        <v>0</v>
      </c>
      <c r="G289" s="9"/>
      <c r="H289" s="3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spans="1:22" ht="15" x14ac:dyDescent="0.2">
      <c r="A290" s="11">
        <v>289</v>
      </c>
      <c r="B290" s="12" t="str">
        <f>Cod_Gen6[[#This Row],[Codigo]]</f>
        <v>TRGA1MT-1</v>
      </c>
      <c r="C290" s="12" t="str">
        <f>Cod_Gen6[[#This Row],[Tipo de Equipo]]</f>
        <v>TRUSS 1 MT</v>
      </c>
      <c r="D290" s="12" t="str">
        <f>Cod_Gen6[[#This Row],[Marca]]</f>
        <v>GALAXY</v>
      </c>
      <c r="E290" s="12" t="str">
        <f>Cod_Gen6[[#This Row],[Modelo]]</f>
        <v>1MT-3MM</v>
      </c>
      <c r="F290" s="12">
        <f>Cod_Gen6[[#This Row],[N* Serie]]</f>
        <v>0</v>
      </c>
      <c r="G290" s="8"/>
      <c r="H290" s="40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spans="1:22" ht="15" x14ac:dyDescent="0.2">
      <c r="A291" s="11">
        <v>290</v>
      </c>
      <c r="B291" s="12" t="str">
        <f>Cod_Gen6[[#This Row],[Codigo]]</f>
        <v>TRGA1MT-2</v>
      </c>
      <c r="C291" s="12" t="str">
        <f>Cod_Gen6[[#This Row],[Tipo de Equipo]]</f>
        <v>TRUSS 1 MT</v>
      </c>
      <c r="D291" s="12" t="str">
        <f>Cod_Gen6[[#This Row],[Marca]]</f>
        <v>GALAXY</v>
      </c>
      <c r="E291" s="12" t="str">
        <f>Cod_Gen6[[#This Row],[Modelo]]</f>
        <v>1MT-3MM</v>
      </c>
      <c r="F291" s="12">
        <f>Cod_Gen6[[#This Row],[N* Serie]]</f>
        <v>0</v>
      </c>
      <c r="G291" s="9"/>
      <c r="H291" s="3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spans="1:22" ht="15" x14ac:dyDescent="0.2">
      <c r="A292" s="11">
        <v>291</v>
      </c>
      <c r="B292" s="12" t="str">
        <f>Cod_Gen6[[#This Row],[Codigo]]</f>
        <v>TRGA2MT-1</v>
      </c>
      <c r="C292" s="12" t="str">
        <f>Cod_Gen6[[#This Row],[Tipo de Equipo]]</f>
        <v>TRUSS 2 MTS</v>
      </c>
      <c r="D292" s="12" t="str">
        <f>Cod_Gen6[[#This Row],[Marca]]</f>
        <v>GALAXY</v>
      </c>
      <c r="E292" s="12" t="str">
        <f>Cod_Gen6[[#This Row],[Modelo]]</f>
        <v>2MT-3MM</v>
      </c>
      <c r="F292" s="12">
        <f>Cod_Gen6[[#This Row],[N* Serie]]</f>
        <v>0</v>
      </c>
      <c r="G292" s="8"/>
      <c r="H292" s="40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spans="1:22" ht="15" x14ac:dyDescent="0.2">
      <c r="A293" s="11">
        <v>292</v>
      </c>
      <c r="B293" s="12" t="str">
        <f>Cod_Gen6[[#This Row],[Codigo]]</f>
        <v>TRGA2MT-2</v>
      </c>
      <c r="C293" s="12" t="str">
        <f>Cod_Gen6[[#This Row],[Tipo de Equipo]]</f>
        <v>TRUSS 2 MTS</v>
      </c>
      <c r="D293" s="12" t="str">
        <f>Cod_Gen6[[#This Row],[Marca]]</f>
        <v>GALAXY</v>
      </c>
      <c r="E293" s="12" t="str">
        <f>Cod_Gen6[[#This Row],[Modelo]]</f>
        <v>2MT-3MM</v>
      </c>
      <c r="F293" s="12">
        <f>Cod_Gen6[[#This Row],[N* Serie]]</f>
        <v>0</v>
      </c>
      <c r="G293" s="30"/>
      <c r="H293" s="3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spans="1:22" ht="15" x14ac:dyDescent="0.2">
      <c r="A294" s="11">
        <v>293</v>
      </c>
      <c r="B294" s="12" t="str">
        <f>Cod_Gen6[[#This Row],[Codigo]]</f>
        <v>TRGA3MT-1</v>
      </c>
      <c r="C294" s="12" t="str">
        <f>Cod_Gen6[[#This Row],[Tipo de Equipo]]</f>
        <v>TRUSS 3 MTS</v>
      </c>
      <c r="D294" s="12" t="str">
        <f>Cod_Gen6[[#This Row],[Marca]]</f>
        <v>GALAXY</v>
      </c>
      <c r="E294" s="12" t="str">
        <f>Cod_Gen6[[#This Row],[Modelo]]</f>
        <v>3MT-3MM</v>
      </c>
      <c r="F294" s="12">
        <f>Cod_Gen6[[#This Row],[N* Serie]]</f>
        <v>0</v>
      </c>
      <c r="G294" s="39"/>
      <c r="H294" s="40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spans="1:22" ht="15" x14ac:dyDescent="0.2">
      <c r="A295" s="11">
        <v>294</v>
      </c>
      <c r="B295" s="12" t="str">
        <f>Cod_Gen6[[#This Row],[Codigo]]</f>
        <v>TRGA3MT-2</v>
      </c>
      <c r="C295" s="12" t="str">
        <f>Cod_Gen6[[#This Row],[Tipo de Equipo]]</f>
        <v>TRUSS 3 MTS</v>
      </c>
      <c r="D295" s="12" t="str">
        <f>Cod_Gen6[[#This Row],[Marca]]</f>
        <v>GALAXY</v>
      </c>
      <c r="E295" s="12" t="str">
        <f>Cod_Gen6[[#This Row],[Modelo]]</f>
        <v>3MT-3MM</v>
      </c>
      <c r="F295" s="12">
        <f>Cod_Gen6[[#This Row],[N* Serie]]</f>
        <v>0</v>
      </c>
      <c r="G295" s="30"/>
      <c r="H295" s="3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spans="1:22" ht="15" x14ac:dyDescent="0.2">
      <c r="A296" s="11">
        <v>295</v>
      </c>
      <c r="B296" s="12" t="str">
        <f>Cod_Gen6[[#This Row],[Codigo]]</f>
        <v>TRGA3MT-3</v>
      </c>
      <c r="C296" s="12" t="str">
        <f>Cod_Gen6[[#This Row],[Tipo de Equipo]]</f>
        <v>TRUSS 3 MTS</v>
      </c>
      <c r="D296" s="12" t="str">
        <f>Cod_Gen6[[#This Row],[Marca]]</f>
        <v>GALAXY</v>
      </c>
      <c r="E296" s="12" t="str">
        <f>Cod_Gen6[[#This Row],[Modelo]]</f>
        <v>3MT-3MM</v>
      </c>
      <c r="F296" s="12">
        <f>Cod_Gen6[[#This Row],[N* Serie]]</f>
        <v>0</v>
      </c>
      <c r="G296" s="39"/>
      <c r="H296" s="40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spans="1:22" ht="15" x14ac:dyDescent="0.2">
      <c r="A297" s="11">
        <v>296</v>
      </c>
      <c r="B297" s="12" t="str">
        <f>Cod_Gen6[[#This Row],[Codigo]]</f>
        <v>TRGA3MT-4</v>
      </c>
      <c r="C297" s="12" t="str">
        <f>Cod_Gen6[[#This Row],[Tipo de Equipo]]</f>
        <v>TRUSS 3 MTS</v>
      </c>
      <c r="D297" s="12" t="str">
        <f>Cod_Gen6[[#This Row],[Marca]]</f>
        <v>GALAXY</v>
      </c>
      <c r="E297" s="12" t="str">
        <f>Cod_Gen6[[#This Row],[Modelo]]</f>
        <v>3MT-3MM</v>
      </c>
      <c r="F297" s="12">
        <f>Cod_Gen6[[#This Row],[N* Serie]]</f>
        <v>0</v>
      </c>
      <c r="G297" s="30"/>
      <c r="H297" s="3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spans="1:22" ht="15" x14ac:dyDescent="0.2">
      <c r="A298" s="11">
        <v>297</v>
      </c>
      <c r="B298" s="12" t="str">
        <f>Cod_Gen6[[#This Row],[Codigo]]</f>
        <v>TRGA3MT-5</v>
      </c>
      <c r="C298" s="12" t="str">
        <f>Cod_Gen6[[#This Row],[Tipo de Equipo]]</f>
        <v>TRUSS 3 MTS</v>
      </c>
      <c r="D298" s="12" t="str">
        <f>Cod_Gen6[[#This Row],[Marca]]</f>
        <v>GALAXY</v>
      </c>
      <c r="E298" s="12" t="str">
        <f>Cod_Gen6[[#This Row],[Modelo]]</f>
        <v>3MT-3MM</v>
      </c>
      <c r="F298" s="12">
        <f>Cod_Gen6[[#This Row],[N* Serie]]</f>
        <v>0</v>
      </c>
      <c r="G298" s="39"/>
      <c r="H298" s="40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spans="1:22" ht="15" x14ac:dyDescent="0.2">
      <c r="A299" s="11">
        <v>298</v>
      </c>
      <c r="B299" s="12" t="str">
        <f>Cod_Gen6[[#This Row],[Codigo]]</f>
        <v>TRGA3MT-6</v>
      </c>
      <c r="C299" s="12" t="str">
        <f>Cod_Gen6[[#This Row],[Tipo de Equipo]]</f>
        <v>TRUSS 3 MTS</v>
      </c>
      <c r="D299" s="12" t="str">
        <f>Cod_Gen6[[#This Row],[Marca]]</f>
        <v>GALAXY</v>
      </c>
      <c r="E299" s="12" t="str">
        <f>Cod_Gen6[[#This Row],[Modelo]]</f>
        <v>3MT-3MM</v>
      </c>
      <c r="F299" s="12">
        <f>Cod_Gen6[[#This Row],[N* Serie]]</f>
        <v>0</v>
      </c>
      <c r="G299" s="30"/>
      <c r="H299" s="3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spans="1:22" ht="15" x14ac:dyDescent="0.2">
      <c r="A300" s="11">
        <v>299</v>
      </c>
      <c r="B300" s="12" t="str">
        <f>Cod_Gen6[[#This Row],[Codigo]]</f>
        <v>TRGA3MT-7</v>
      </c>
      <c r="C300" s="12" t="str">
        <f>Cod_Gen6[[#This Row],[Tipo de Equipo]]</f>
        <v>TRUSS 3 MTS</v>
      </c>
      <c r="D300" s="12" t="str">
        <f>Cod_Gen6[[#This Row],[Marca]]</f>
        <v>GALAXY</v>
      </c>
      <c r="E300" s="12" t="str">
        <f>Cod_Gen6[[#This Row],[Modelo]]</f>
        <v>3MT-3MM</v>
      </c>
      <c r="F300" s="12">
        <f>Cod_Gen6[[#This Row],[N* Serie]]</f>
        <v>0</v>
      </c>
      <c r="G300" s="39"/>
      <c r="H300" s="40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spans="1:22" ht="15" x14ac:dyDescent="0.2">
      <c r="A301" s="11">
        <v>300</v>
      </c>
      <c r="B301" s="12" t="str">
        <f>Cod_Gen6[[#This Row],[Codigo]]</f>
        <v>TRGA3MT-8</v>
      </c>
      <c r="C301" s="12" t="str">
        <f>Cod_Gen6[[#This Row],[Tipo de Equipo]]</f>
        <v>TRUSS 3 MTS</v>
      </c>
      <c r="D301" s="12" t="str">
        <f>Cod_Gen6[[#This Row],[Marca]]</f>
        <v>GALAXY</v>
      </c>
      <c r="E301" s="12" t="str">
        <f>Cod_Gen6[[#This Row],[Modelo]]</f>
        <v>3MT-3MM</v>
      </c>
      <c r="F301" s="12">
        <f>Cod_Gen6[[#This Row],[N* Serie]]</f>
        <v>0</v>
      </c>
      <c r="G301" s="30"/>
      <c r="H301" s="3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spans="1:22" ht="15" x14ac:dyDescent="0.2">
      <c r="A302" s="11">
        <v>301</v>
      </c>
      <c r="B302" s="12" t="str">
        <f>Cod_Gen6[[#This Row],[Codigo]]</f>
        <v>TRGA3MT-9</v>
      </c>
      <c r="C302" s="12" t="str">
        <f>Cod_Gen6[[#This Row],[Tipo de Equipo]]</f>
        <v>TRUSS 3 MTS</v>
      </c>
      <c r="D302" s="12" t="str">
        <f>Cod_Gen6[[#This Row],[Marca]]</f>
        <v>GALAXY</v>
      </c>
      <c r="E302" s="12" t="str">
        <f>Cod_Gen6[[#This Row],[Modelo]]</f>
        <v>3MT-3MM</v>
      </c>
      <c r="F302" s="12">
        <f>Cod_Gen6[[#This Row],[N* Serie]]</f>
        <v>0</v>
      </c>
      <c r="G302" s="39"/>
      <c r="H302" s="40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spans="1:22" ht="15" x14ac:dyDescent="0.2">
      <c r="A303" s="11">
        <v>302</v>
      </c>
      <c r="B303" s="12" t="str">
        <f>Cod_Gen6[[#This Row],[Codigo]]</f>
        <v>TRGA3MT-10</v>
      </c>
      <c r="C303" s="12" t="str">
        <f>Cod_Gen6[[#This Row],[Tipo de Equipo]]</f>
        <v>TRUSS 3 MTS</v>
      </c>
      <c r="D303" s="12" t="str">
        <f>Cod_Gen6[[#This Row],[Marca]]</f>
        <v>GALAXY</v>
      </c>
      <c r="E303" s="12" t="str">
        <f>Cod_Gen6[[#This Row],[Modelo]]</f>
        <v>3MT-3MM</v>
      </c>
      <c r="F303" s="12">
        <f>Cod_Gen6[[#This Row],[N* Serie]]</f>
        <v>0</v>
      </c>
      <c r="G303" s="30"/>
      <c r="H303" s="3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spans="1:22" ht="15" x14ac:dyDescent="0.2">
      <c r="A304" s="11">
        <v>303</v>
      </c>
      <c r="B304" s="12" t="str">
        <f>Cod_Gen6[[#This Row],[Codigo]]</f>
        <v>TRMO3MT-1</v>
      </c>
      <c r="C304" s="12" t="str">
        <f>Cod_Gen6[[#This Row],[Tipo de Equipo]]</f>
        <v>TRUSS 3 MTS</v>
      </c>
      <c r="D304" s="12" t="str">
        <f>Cod_Gen6[[#This Row],[Marca]]</f>
        <v>MOWL</v>
      </c>
      <c r="E304" s="12" t="str">
        <f>Cod_Gen6[[#This Row],[Modelo]]</f>
        <v>3MT-3MM</v>
      </c>
      <c r="F304" s="12">
        <f>Cod_Gen6[[#This Row],[N* Serie]]</f>
        <v>0</v>
      </c>
      <c r="G304" s="39"/>
      <c r="H304" s="40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spans="1:22" ht="15" x14ac:dyDescent="0.2">
      <c r="A305" s="11">
        <v>304</v>
      </c>
      <c r="B305" s="12" t="str">
        <f>Cod_Gen6[[#This Row],[Codigo]]</f>
        <v>TRMO3MT-2</v>
      </c>
      <c r="C305" s="12" t="str">
        <f>Cod_Gen6[[#This Row],[Tipo de Equipo]]</f>
        <v>TRUSS 3 MTS</v>
      </c>
      <c r="D305" s="12" t="str">
        <f>Cod_Gen6[[#This Row],[Marca]]</f>
        <v>MOWL</v>
      </c>
      <c r="E305" s="12" t="str">
        <f>Cod_Gen6[[#This Row],[Modelo]]</f>
        <v>3MT-3MM</v>
      </c>
      <c r="F305" s="12">
        <f>Cod_Gen6[[#This Row],[N* Serie]]</f>
        <v>0</v>
      </c>
      <c r="G305" s="30"/>
      <c r="H305" s="3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spans="1:22" ht="15" x14ac:dyDescent="0.2">
      <c r="A306" s="11">
        <v>305</v>
      </c>
      <c r="B306" s="12" t="str">
        <f>Cod_Gen6[[#This Row],[Codigo]]</f>
        <v>TRMO3MT-3</v>
      </c>
      <c r="C306" s="12" t="str">
        <f>Cod_Gen6[[#This Row],[Tipo de Equipo]]</f>
        <v>TRUSS 3 MTS</v>
      </c>
      <c r="D306" s="12" t="str">
        <f>Cod_Gen6[[#This Row],[Marca]]</f>
        <v>MOWL</v>
      </c>
      <c r="E306" s="12" t="str">
        <f>Cod_Gen6[[#This Row],[Modelo]]</f>
        <v>3MT-3MM</v>
      </c>
      <c r="F306" s="12">
        <f>Cod_Gen6[[#This Row],[N* Serie]]</f>
        <v>0</v>
      </c>
      <c r="G306" s="39"/>
      <c r="H306" s="40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spans="1:22" ht="15" x14ac:dyDescent="0.2">
      <c r="A307" s="11">
        <v>306</v>
      </c>
      <c r="B307" s="12" t="str">
        <f>Cod_Gen6[[#This Row],[Codigo]]</f>
        <v>TRMO3MT-4</v>
      </c>
      <c r="C307" s="12" t="str">
        <f>Cod_Gen6[[#This Row],[Tipo de Equipo]]</f>
        <v>TRUSS 3 MTS</v>
      </c>
      <c r="D307" s="12" t="str">
        <f>Cod_Gen6[[#This Row],[Marca]]</f>
        <v>MOWL</v>
      </c>
      <c r="E307" s="12" t="str">
        <f>Cod_Gen6[[#This Row],[Modelo]]</f>
        <v>3MT-3MM</v>
      </c>
      <c r="F307" s="12">
        <f>Cod_Gen6[[#This Row],[N* Serie]]</f>
        <v>0</v>
      </c>
      <c r="G307" s="30"/>
      <c r="H307" s="3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spans="1:22" ht="15" x14ac:dyDescent="0.2">
      <c r="A308" s="11">
        <v>307</v>
      </c>
      <c r="B308" s="12" t="str">
        <f>Cod_Gen6[[#This Row],[Codigo]]</f>
        <v>TRGE10 -1</v>
      </c>
      <c r="C308" s="12" t="str">
        <f>Cod_Gen6[[#This Row],[Tipo de Equipo]]</f>
        <v>TRIF EXTENSIONES</v>
      </c>
      <c r="D308" s="12" t="str">
        <f>Cod_Gen6[[#This Row],[Marca]]</f>
        <v>GENERICO</v>
      </c>
      <c r="E308" s="12" t="str">
        <f>Cod_Gen6[[#This Row],[Modelo]]</f>
        <v>10 MTS</v>
      </c>
      <c r="F308" s="12">
        <f>Cod_Gen6[[#This Row],[N* Serie]]</f>
        <v>0</v>
      </c>
      <c r="G308" s="39"/>
      <c r="H308" s="40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spans="1:22" ht="15" x14ac:dyDescent="0.2">
      <c r="A309" s="11">
        <v>308</v>
      </c>
      <c r="B309" s="12" t="str">
        <f>Cod_Gen6[[#This Row],[Codigo]]</f>
        <v>TRGE10 -2</v>
      </c>
      <c r="C309" s="12" t="str">
        <f>Cod_Gen6[[#This Row],[Tipo de Equipo]]</f>
        <v>TRIF EXTENSIONES</v>
      </c>
      <c r="D309" s="12" t="str">
        <f>Cod_Gen6[[#This Row],[Marca]]</f>
        <v>GENERICO</v>
      </c>
      <c r="E309" s="12" t="str">
        <f>Cod_Gen6[[#This Row],[Modelo]]</f>
        <v>10 MTS</v>
      </c>
      <c r="F309" s="12">
        <f>Cod_Gen6[[#This Row],[N* Serie]]</f>
        <v>0</v>
      </c>
      <c r="G309" s="30"/>
      <c r="H309" s="3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spans="1:22" ht="15" x14ac:dyDescent="0.2">
      <c r="A310" s="11">
        <v>309</v>
      </c>
      <c r="B310" s="12" t="str">
        <f>Cod_Gen6[[#This Row],[Codigo]]</f>
        <v>TRGE10 -3</v>
      </c>
      <c r="C310" s="12" t="str">
        <f>Cod_Gen6[[#This Row],[Tipo de Equipo]]</f>
        <v>TRIF EXTENSIONES</v>
      </c>
      <c r="D310" s="12" t="str">
        <f>Cod_Gen6[[#This Row],[Marca]]</f>
        <v>GENERICO</v>
      </c>
      <c r="E310" s="12" t="str">
        <f>Cod_Gen6[[#This Row],[Modelo]]</f>
        <v>10 MTS</v>
      </c>
      <c r="F310" s="12">
        <f>Cod_Gen6[[#This Row],[N* Serie]]</f>
        <v>0</v>
      </c>
      <c r="G310" s="39"/>
      <c r="H310" s="40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spans="1:22" ht="15" x14ac:dyDescent="0.2">
      <c r="A311" s="11">
        <v>310</v>
      </c>
      <c r="B311" s="12" t="str">
        <f>Cod_Gen6[[#This Row],[Codigo]]</f>
        <v>TRGE10 -4</v>
      </c>
      <c r="C311" s="12" t="str">
        <f>Cod_Gen6[[#This Row],[Tipo de Equipo]]</f>
        <v>TRIF EXTENSIONES</v>
      </c>
      <c r="D311" s="12" t="str">
        <f>Cod_Gen6[[#This Row],[Marca]]</f>
        <v>GENERICO</v>
      </c>
      <c r="E311" s="12" t="str">
        <f>Cod_Gen6[[#This Row],[Modelo]]</f>
        <v>10 MTS</v>
      </c>
      <c r="F311" s="12">
        <f>Cod_Gen6[[#This Row],[N* Serie]]</f>
        <v>0</v>
      </c>
      <c r="G311" s="30"/>
      <c r="H311" s="3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spans="1:22" ht="15" x14ac:dyDescent="0.2">
      <c r="A312" s="11">
        <v>311</v>
      </c>
      <c r="B312" s="12" t="str">
        <f>Cod_Gen6[[#This Row],[Codigo]]</f>
        <v>TRGE10 -5</v>
      </c>
      <c r="C312" s="12" t="str">
        <f>Cod_Gen6[[#This Row],[Tipo de Equipo]]</f>
        <v>TRIF EXTENSIONES</v>
      </c>
      <c r="D312" s="12" t="str">
        <f>Cod_Gen6[[#This Row],[Marca]]</f>
        <v>GENERICO</v>
      </c>
      <c r="E312" s="12" t="str">
        <f>Cod_Gen6[[#This Row],[Modelo]]</f>
        <v>10 MTS</v>
      </c>
      <c r="F312" s="12">
        <f>Cod_Gen6[[#This Row],[N* Serie]]</f>
        <v>0</v>
      </c>
      <c r="G312" s="39"/>
      <c r="H312" s="40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spans="1:22" ht="15" x14ac:dyDescent="0.2">
      <c r="A313" s="11">
        <v>312</v>
      </c>
      <c r="B313" s="12" t="str">
        <f>Cod_Gen6[[#This Row],[Codigo]]</f>
        <v>TRGE10 -6</v>
      </c>
      <c r="C313" s="12" t="str">
        <f>Cod_Gen6[[#This Row],[Tipo de Equipo]]</f>
        <v>TRIF EXTENSIONES</v>
      </c>
      <c r="D313" s="12" t="str">
        <f>Cod_Gen6[[#This Row],[Marca]]</f>
        <v>GENERICO</v>
      </c>
      <c r="E313" s="12" t="str">
        <f>Cod_Gen6[[#This Row],[Modelo]]</f>
        <v>10 MTS</v>
      </c>
      <c r="F313" s="12">
        <f>Cod_Gen6[[#This Row],[N* Serie]]</f>
        <v>0</v>
      </c>
      <c r="G313" s="30"/>
      <c r="H313" s="3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spans="1:22" ht="15" x14ac:dyDescent="0.2">
      <c r="A314" s="11">
        <v>313</v>
      </c>
      <c r="B314" s="12" t="str">
        <f>Cod_Gen6[[#This Row],[Codigo]]</f>
        <v>TUGEN/A-1</v>
      </c>
      <c r="C314" s="12" t="str">
        <f>Cod_Gen6[[#This Row],[Tipo de Equipo]]</f>
        <v>TUBO 3 MTS</v>
      </c>
      <c r="D314" s="12" t="str">
        <f>Cod_Gen6[[#This Row],[Marca]]</f>
        <v>GENERICO</v>
      </c>
      <c r="E314" s="12" t="str">
        <f>Cod_Gen6[[#This Row],[Modelo]]</f>
        <v>N/A</v>
      </c>
      <c r="F314" s="12">
        <f>Cod_Gen6[[#This Row],[N* Serie]]</f>
        <v>0</v>
      </c>
      <c r="G314" s="39"/>
      <c r="H314" s="40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spans="1:22" ht="15" x14ac:dyDescent="0.2">
      <c r="A315" s="11">
        <v>314</v>
      </c>
      <c r="B315" s="12" t="str">
        <f>Cod_Gen6[[#This Row],[Codigo]]</f>
        <v>TUGEN/A-2</v>
      </c>
      <c r="C315" s="12" t="str">
        <f>Cod_Gen6[[#This Row],[Tipo de Equipo]]</f>
        <v>TUBO 3 MTS</v>
      </c>
      <c r="D315" s="12" t="str">
        <f>Cod_Gen6[[#This Row],[Marca]]</f>
        <v>GENERICO</v>
      </c>
      <c r="E315" s="12" t="str">
        <f>Cod_Gen6[[#This Row],[Modelo]]</f>
        <v>N/A</v>
      </c>
      <c r="F315" s="12">
        <f>Cod_Gen6[[#This Row],[N* Serie]]</f>
        <v>0</v>
      </c>
      <c r="G315" s="137"/>
      <c r="H315" s="13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spans="1:22" ht="15" x14ac:dyDescent="0.2">
      <c r="A316" s="11">
        <v>315</v>
      </c>
      <c r="B316" s="12" t="str">
        <f>Cod_Gen6[[#This Row],[Codigo]]</f>
        <v>TUGEN/A-3</v>
      </c>
      <c r="C316" s="12" t="str">
        <f>Cod_Gen6[[#This Row],[Tipo de Equipo]]</f>
        <v>TUBO 3 MTS</v>
      </c>
      <c r="D316" s="12" t="str">
        <f>Cod_Gen6[[#This Row],[Marca]]</f>
        <v>GENERICO</v>
      </c>
      <c r="E316" s="12" t="str">
        <f>Cod_Gen6[[#This Row],[Modelo]]</f>
        <v>N/A</v>
      </c>
      <c r="F316" s="12">
        <f>Cod_Gen6[[#This Row],[N* Serie]]</f>
        <v>0</v>
      </c>
      <c r="G316" s="137"/>
      <c r="H316" s="13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spans="1:22" ht="15" x14ac:dyDescent="0.2">
      <c r="A317" s="11">
        <v>316</v>
      </c>
      <c r="B317" s="12" t="str">
        <f>Cod_Gen6[[#This Row],[Codigo]]</f>
        <v>TUGEN/A-4</v>
      </c>
      <c r="C317" s="12" t="str">
        <f>Cod_Gen6[[#This Row],[Tipo de Equipo]]</f>
        <v>TUBO 3 MTS</v>
      </c>
      <c r="D317" s="12" t="str">
        <f>Cod_Gen6[[#This Row],[Marca]]</f>
        <v>GENERICO</v>
      </c>
      <c r="E317" s="12" t="str">
        <f>Cod_Gen6[[#This Row],[Modelo]]</f>
        <v>N/A</v>
      </c>
      <c r="F317" s="12">
        <f>Cod_Gen6[[#This Row],[N* Serie]]</f>
        <v>0</v>
      </c>
      <c r="G317" s="137"/>
      <c r="H317" s="13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spans="1:22" ht="15" x14ac:dyDescent="0.2">
      <c r="A318" s="11">
        <v>317</v>
      </c>
      <c r="B318" s="12" t="str">
        <f>Cod_Gen6[[#This Row],[Codigo]]</f>
        <v>TUGEN/A-5</v>
      </c>
      <c r="C318" s="12" t="str">
        <f>Cod_Gen6[[#This Row],[Tipo de Equipo]]</f>
        <v>TUBO 3 MTS</v>
      </c>
      <c r="D318" s="12" t="str">
        <f>Cod_Gen6[[#This Row],[Marca]]</f>
        <v>GENERICO</v>
      </c>
      <c r="E318" s="12" t="str">
        <f>Cod_Gen6[[#This Row],[Modelo]]</f>
        <v>N/A</v>
      </c>
      <c r="F318" s="12">
        <f>Cod_Gen6[[#This Row],[N* Serie]]</f>
        <v>0</v>
      </c>
      <c r="G318" s="137"/>
      <c r="H318" s="13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spans="1:22" ht="15" x14ac:dyDescent="0.2">
      <c r="A319" s="11">
        <v>318</v>
      </c>
      <c r="B319" s="12" t="str">
        <f>Cod_Gen6[[#This Row],[Codigo]]</f>
        <v>TUGEN/A-6</v>
      </c>
      <c r="C319" s="12" t="str">
        <f>Cod_Gen6[[#This Row],[Tipo de Equipo]]</f>
        <v>TUBO 3 MTS</v>
      </c>
      <c r="D319" s="12" t="str">
        <f>Cod_Gen6[[#This Row],[Marca]]</f>
        <v>GENERICO</v>
      </c>
      <c r="E319" s="12" t="str">
        <f>Cod_Gen6[[#This Row],[Modelo]]</f>
        <v>N/A</v>
      </c>
      <c r="F319" s="12">
        <f>Cod_Gen6[[#This Row],[N* Serie]]</f>
        <v>0</v>
      </c>
      <c r="G319" s="137"/>
      <c r="H319" s="13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spans="1:22" ht="15" x14ac:dyDescent="0.2">
      <c r="A320" s="124">
        <v>319</v>
      </c>
      <c r="B320" s="125" t="str">
        <f>Cod_Gen6[[#This Row],[Codigo]]</f>
        <v>TUGEN/A-7</v>
      </c>
      <c r="C320" s="125" t="str">
        <f>Cod_Gen6[[#This Row],[Tipo de Equipo]]</f>
        <v>TUBO 3 MTS</v>
      </c>
      <c r="D320" s="125" t="str">
        <f>Cod_Gen6[[#This Row],[Marca]]</f>
        <v>GENERICO</v>
      </c>
      <c r="E320" s="125" t="str">
        <f>Cod_Gen6[[#This Row],[Modelo]]</f>
        <v>N/A</v>
      </c>
      <c r="F320" s="125">
        <f>Cod_Gen6[[#This Row],[N* Serie]]</f>
        <v>0</v>
      </c>
      <c r="G320" s="138"/>
      <c r="H320" s="139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spans="1:23" ht="14" x14ac:dyDescent="0.15">
      <c r="A321" s="6"/>
      <c r="B321" s="10"/>
      <c r="C321" s="10"/>
      <c r="D321" s="10"/>
      <c r="E321" s="10"/>
      <c r="F321" s="10"/>
      <c r="G321" s="10"/>
      <c r="H321" s="10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4" x14ac:dyDescent="0.15">
      <c r="A322" s="6"/>
      <c r="B322" s="10"/>
      <c r="C322" s="10"/>
      <c r="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4" x14ac:dyDescent="0.15">
      <c r="A323" s="6"/>
      <c r="B323" s="10"/>
      <c r="C323" s="10"/>
      <c r="D323" s="10"/>
      <c r="E323" s="10"/>
      <c r="F323" s="10"/>
      <c r="G323" s="10"/>
      <c r="H323" s="10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4" x14ac:dyDescent="0.15">
      <c r="A324" s="6"/>
      <c r="B324" s="10"/>
      <c r="C324" s="10"/>
      <c r="D324" s="10"/>
      <c r="E324" s="10"/>
      <c r="F324" s="10"/>
      <c r="G324" s="10"/>
      <c r="H324" s="10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4" x14ac:dyDescent="0.15">
      <c r="A325" s="6"/>
      <c r="B325" s="10"/>
      <c r="C325" s="10"/>
      <c r="D325" s="10"/>
      <c r="E325" s="10"/>
      <c r="F325" s="10"/>
      <c r="G325" s="10"/>
      <c r="H325" s="10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4" x14ac:dyDescent="0.15">
      <c r="A326" s="6"/>
      <c r="B326" s="10"/>
      <c r="C326" s="10"/>
      <c r="D326" s="10"/>
      <c r="E326" s="10"/>
      <c r="F326" s="10"/>
      <c r="G326" s="10"/>
      <c r="H326" s="10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4" x14ac:dyDescent="0.15">
      <c r="A327" s="6"/>
      <c r="B327" s="10"/>
      <c r="C327" s="10"/>
      <c r="D327" s="10"/>
      <c r="E327" s="10"/>
      <c r="F327" s="10"/>
      <c r="G327" s="10"/>
      <c r="H327" s="10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4" x14ac:dyDescent="0.15">
      <c r="A328" s="6"/>
      <c r="B328" s="10"/>
      <c r="C328" s="10"/>
      <c r="D328" s="10"/>
      <c r="E328" s="10"/>
      <c r="F328" s="10"/>
      <c r="G328" s="10"/>
      <c r="H328" s="10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4" x14ac:dyDescent="0.15">
      <c r="A329" s="6"/>
      <c r="B329" s="10"/>
      <c r="C329" s="10"/>
      <c r="D329" s="10"/>
      <c r="E329" s="10"/>
      <c r="F329" s="10"/>
      <c r="G329" s="10"/>
      <c r="H329" s="10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4" x14ac:dyDescent="0.15">
      <c r="A330" s="6"/>
      <c r="B330" s="10"/>
      <c r="C330" s="10"/>
      <c r="D330" s="10"/>
      <c r="E330" s="10"/>
      <c r="F330" s="10"/>
      <c r="G330" s="10"/>
      <c r="H330" s="10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4" x14ac:dyDescent="0.15">
      <c r="A331" s="6"/>
      <c r="B331" s="10"/>
      <c r="C331" s="10"/>
      <c r="D331" s="10"/>
      <c r="E331" s="10"/>
      <c r="F331" s="10"/>
      <c r="G331" s="10"/>
      <c r="H331" s="10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4" x14ac:dyDescent="0.15">
      <c r="A332" s="6"/>
      <c r="B332" s="10"/>
      <c r="C332" s="10"/>
      <c r="D332" s="10"/>
      <c r="E332" s="10"/>
      <c r="F332" s="10"/>
      <c r="G332" s="10"/>
      <c r="H332" s="10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4" x14ac:dyDescent="0.15">
      <c r="A333" s="6"/>
      <c r="B333" s="10"/>
      <c r="C333" s="10"/>
      <c r="D333" s="10"/>
      <c r="E333" s="10"/>
      <c r="F333" s="10"/>
      <c r="G333" s="10"/>
      <c r="H333" s="10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4" x14ac:dyDescent="0.15">
      <c r="A334" s="6"/>
      <c r="B334" s="10"/>
      <c r="C334" s="10"/>
      <c r="D334" s="10"/>
      <c r="E334" s="10"/>
      <c r="F334" s="10"/>
      <c r="G334" s="10"/>
      <c r="H334" s="10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4" x14ac:dyDescent="0.15">
      <c r="A335" s="6"/>
      <c r="B335" s="10"/>
      <c r="C335" s="10"/>
      <c r="D335" s="10"/>
      <c r="E335" s="10"/>
      <c r="F335" s="10"/>
      <c r="G335" s="10"/>
      <c r="H335" s="10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4" x14ac:dyDescent="0.15">
      <c r="A336" s="6"/>
      <c r="B336" s="10"/>
      <c r="C336" s="10"/>
      <c r="D336" s="10"/>
      <c r="E336" s="10"/>
      <c r="F336" s="10"/>
      <c r="G336" s="10"/>
      <c r="H336" s="10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4" x14ac:dyDescent="0.15">
      <c r="A337" s="6"/>
      <c r="B337" s="10"/>
      <c r="C337" s="10"/>
      <c r="D337" s="10"/>
      <c r="E337" s="10"/>
      <c r="F337" s="10"/>
      <c r="G337" s="10"/>
      <c r="H337" s="10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4" x14ac:dyDescent="0.15">
      <c r="A338" s="6"/>
      <c r="B338" s="10"/>
      <c r="C338" s="10"/>
      <c r="D338" s="10"/>
      <c r="E338" s="10"/>
      <c r="F338" s="10"/>
      <c r="G338" s="10"/>
      <c r="H338" s="10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4" x14ac:dyDescent="0.15">
      <c r="A339" s="6"/>
      <c r="B339" s="10"/>
      <c r="C339" s="10"/>
      <c r="D339" s="10"/>
      <c r="E339" s="10"/>
      <c r="F339" s="10"/>
      <c r="G339" s="10"/>
      <c r="H339" s="10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4" x14ac:dyDescent="0.15">
      <c r="A340" s="6"/>
      <c r="B340" s="10"/>
      <c r="C340" s="10"/>
      <c r="D340" s="10"/>
      <c r="E340" s="10"/>
      <c r="F340" s="10"/>
      <c r="G340" s="10"/>
      <c r="H340" s="10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4" x14ac:dyDescent="0.15">
      <c r="A341" s="6"/>
      <c r="B341" s="10"/>
      <c r="C341" s="10"/>
      <c r="D341" s="10"/>
      <c r="E341" s="10"/>
      <c r="F341" s="10"/>
      <c r="G341" s="10"/>
      <c r="H341" s="10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4" x14ac:dyDescent="0.15">
      <c r="A342" s="6"/>
      <c r="B342" s="10"/>
      <c r="C342" s="10"/>
      <c r="D342" s="10"/>
      <c r="E342" s="10"/>
      <c r="F342" s="10"/>
      <c r="G342" s="10"/>
      <c r="H342" s="10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4" x14ac:dyDescent="0.15">
      <c r="A343" s="6"/>
      <c r="B343" s="10"/>
      <c r="C343" s="10"/>
      <c r="D343" s="10"/>
      <c r="E343" s="10"/>
      <c r="F343" s="10"/>
      <c r="G343" s="10"/>
      <c r="H343" s="10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4" x14ac:dyDescent="0.15">
      <c r="A344" s="6"/>
      <c r="B344" s="10"/>
      <c r="C344" s="10"/>
      <c r="D344" s="10"/>
      <c r="E344" s="10"/>
      <c r="F344" s="10"/>
      <c r="G344" s="10"/>
      <c r="H344" s="10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4" x14ac:dyDescent="0.15">
      <c r="A345" s="6"/>
      <c r="B345" s="10"/>
      <c r="C345" s="10"/>
      <c r="D345" s="10"/>
      <c r="E345" s="10"/>
      <c r="F345" s="10"/>
      <c r="G345" s="10"/>
      <c r="H345" s="10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4" x14ac:dyDescent="0.15">
      <c r="A346" s="6"/>
      <c r="B346" s="10"/>
      <c r="C346" s="10"/>
      <c r="D346" s="10"/>
      <c r="E346" s="10"/>
      <c r="F346" s="10"/>
      <c r="G346" s="10"/>
      <c r="H346" s="10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4" x14ac:dyDescent="0.15">
      <c r="A347" s="6"/>
      <c r="B347" s="10"/>
      <c r="C347" s="10"/>
      <c r="D347" s="10"/>
      <c r="E347" s="10"/>
      <c r="F347" s="10"/>
      <c r="G347" s="10"/>
      <c r="H347" s="10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4" x14ac:dyDescent="0.15">
      <c r="A348" s="6"/>
      <c r="B348" s="10"/>
      <c r="C348" s="10"/>
      <c r="D348" s="10"/>
      <c r="E348" s="10"/>
      <c r="F348" s="10"/>
      <c r="G348" s="10"/>
      <c r="H348" s="10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4" x14ac:dyDescent="0.15">
      <c r="A349" s="6"/>
      <c r="B349" s="10"/>
      <c r="C349" s="10"/>
      <c r="D349" s="10"/>
      <c r="E349" s="10"/>
      <c r="F349" s="10"/>
      <c r="G349" s="10"/>
      <c r="H349" s="10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4" x14ac:dyDescent="0.15">
      <c r="A350" s="6"/>
      <c r="B350" s="10"/>
      <c r="C350" s="10"/>
      <c r="D350" s="10"/>
      <c r="E350" s="10"/>
      <c r="F350" s="10"/>
      <c r="G350" s="10"/>
      <c r="H350" s="10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4" x14ac:dyDescent="0.15">
      <c r="A351" s="6"/>
      <c r="B351" s="10"/>
      <c r="C351" s="10"/>
      <c r="D351" s="10"/>
      <c r="E351" s="10"/>
      <c r="F351" s="10"/>
      <c r="G351" s="10"/>
      <c r="H351" s="10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4" x14ac:dyDescent="0.15">
      <c r="A352" s="6"/>
      <c r="B352" s="10"/>
      <c r="C352" s="10"/>
      <c r="D352" s="10"/>
      <c r="E352" s="10"/>
      <c r="F352" s="10"/>
      <c r="G352" s="10"/>
      <c r="H352" s="1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4" x14ac:dyDescent="0.15">
      <c r="A353" s="6"/>
      <c r="B353" s="10"/>
      <c r="C353" s="10"/>
      <c r="D353" s="10"/>
      <c r="E353" s="10"/>
      <c r="F353" s="10"/>
      <c r="G353" s="10"/>
      <c r="H353" s="1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4" x14ac:dyDescent="0.15">
      <c r="A354" s="6"/>
      <c r="B354" s="10"/>
      <c r="C354" s="10"/>
      <c r="D354" s="10"/>
      <c r="E354" s="10"/>
      <c r="F354" s="10"/>
      <c r="G354" s="10"/>
      <c r="H354" s="10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4" x14ac:dyDescent="0.15">
      <c r="A355" s="6"/>
      <c r="B355" s="10"/>
      <c r="C355" s="10"/>
      <c r="D355" s="10"/>
      <c r="E355" s="10"/>
      <c r="F355" s="10"/>
      <c r="G355" s="10"/>
      <c r="H355" s="10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4" x14ac:dyDescent="0.15">
      <c r="A356" s="6"/>
      <c r="B356" s="10"/>
      <c r="C356" s="10"/>
      <c r="D356" s="10"/>
      <c r="E356" s="10"/>
      <c r="F356" s="10"/>
      <c r="G356" s="10"/>
      <c r="H356" s="10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4" x14ac:dyDescent="0.15">
      <c r="A357" s="6"/>
      <c r="B357" s="10"/>
      <c r="C357" s="10"/>
      <c r="D357" s="10"/>
      <c r="E357" s="10"/>
      <c r="F357" s="10"/>
      <c r="G357" s="10"/>
      <c r="H357" s="10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4" x14ac:dyDescent="0.15">
      <c r="A358" s="6"/>
      <c r="B358" s="10"/>
      <c r="C358" s="10"/>
      <c r="D358" s="10"/>
      <c r="E358" s="10"/>
      <c r="F358" s="10"/>
      <c r="G358" s="10"/>
      <c r="H358" s="10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4" x14ac:dyDescent="0.15">
      <c r="A359" s="6"/>
      <c r="B359" s="10"/>
      <c r="C359" s="10"/>
      <c r="D359" s="10"/>
      <c r="E359" s="10"/>
      <c r="F359" s="10"/>
      <c r="G359" s="10"/>
      <c r="H359" s="10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4" x14ac:dyDescent="0.15">
      <c r="A360" s="6"/>
      <c r="B360" s="10"/>
      <c r="C360" s="10"/>
      <c r="D360" s="10"/>
      <c r="E360" s="10"/>
      <c r="F360" s="10"/>
      <c r="G360" s="10"/>
      <c r="H360" s="10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4" x14ac:dyDescent="0.15">
      <c r="A361" s="6"/>
      <c r="B361" s="10"/>
      <c r="C361" s="10"/>
      <c r="D361" s="10"/>
      <c r="E361" s="10"/>
      <c r="F361" s="10"/>
      <c r="G361" s="10"/>
      <c r="H361" s="10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4" x14ac:dyDescent="0.15">
      <c r="A362" s="6"/>
      <c r="B362" s="10"/>
      <c r="C362" s="10"/>
      <c r="D362" s="10"/>
      <c r="E362" s="10"/>
      <c r="F362" s="10"/>
      <c r="G362" s="10"/>
      <c r="H362" s="10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4" x14ac:dyDescent="0.15">
      <c r="A363" s="6"/>
      <c r="B363" s="10"/>
      <c r="C363" s="10"/>
      <c r="D363" s="10"/>
      <c r="E363" s="10"/>
      <c r="F363" s="10"/>
      <c r="G363" s="10"/>
      <c r="H363" s="10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4" x14ac:dyDescent="0.15">
      <c r="A364" s="6"/>
      <c r="B364" s="10"/>
      <c r="C364" s="10"/>
      <c r="D364" s="10"/>
      <c r="E364" s="10"/>
      <c r="F364" s="10"/>
      <c r="G364" s="10"/>
      <c r="H364" s="10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4" x14ac:dyDescent="0.15">
      <c r="A365" s="6"/>
      <c r="B365" s="10"/>
      <c r="C365" s="10"/>
      <c r="D365" s="10"/>
      <c r="E365" s="10"/>
      <c r="F365" s="10"/>
      <c r="G365" s="10"/>
      <c r="H365" s="10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4" x14ac:dyDescent="0.15">
      <c r="A366" s="6"/>
      <c r="B366" s="10"/>
      <c r="C366" s="10"/>
      <c r="D366" s="10"/>
      <c r="E366" s="10"/>
      <c r="F366" s="10"/>
      <c r="G366" s="10"/>
      <c r="H366" s="10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4" x14ac:dyDescent="0.15">
      <c r="A367" s="6"/>
      <c r="B367" s="10"/>
      <c r="C367" s="10"/>
      <c r="D367" s="10"/>
      <c r="E367" s="10"/>
      <c r="F367" s="10"/>
      <c r="G367" s="10"/>
      <c r="H367" s="10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4" x14ac:dyDescent="0.15">
      <c r="A368" s="6"/>
      <c r="B368" s="10"/>
      <c r="C368" s="10"/>
      <c r="D368" s="10"/>
      <c r="E368" s="10"/>
      <c r="F368" s="10"/>
      <c r="G368" s="10"/>
      <c r="H368" s="10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4" x14ac:dyDescent="0.15">
      <c r="A369" s="6"/>
      <c r="B369" s="10"/>
      <c r="C369" s="10"/>
      <c r="D369" s="10"/>
      <c r="E369" s="10"/>
      <c r="F369" s="10"/>
      <c r="G369" s="10"/>
      <c r="H369" s="10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4" x14ac:dyDescent="0.15">
      <c r="A370" s="6"/>
      <c r="B370" s="10"/>
      <c r="C370" s="10"/>
      <c r="D370" s="10"/>
      <c r="E370" s="10"/>
      <c r="F370" s="10"/>
      <c r="G370" s="10"/>
      <c r="H370" s="10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4" x14ac:dyDescent="0.15">
      <c r="A371" s="6"/>
      <c r="B371" s="10"/>
      <c r="C371" s="10"/>
      <c r="D371" s="10"/>
      <c r="E371" s="10"/>
      <c r="F371" s="10"/>
      <c r="G371" s="10"/>
      <c r="H371" s="10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4" x14ac:dyDescent="0.15">
      <c r="A372" s="6"/>
      <c r="B372" s="10"/>
      <c r="C372" s="10"/>
      <c r="D372" s="10"/>
      <c r="E372" s="10"/>
      <c r="F372" s="10"/>
      <c r="G372" s="10"/>
      <c r="H372" s="10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4" x14ac:dyDescent="0.15">
      <c r="A373" s="6"/>
      <c r="B373" s="10"/>
      <c r="C373" s="10"/>
      <c r="D373" s="10"/>
      <c r="E373" s="10"/>
      <c r="F373" s="10"/>
      <c r="G373" s="10"/>
      <c r="H373" s="10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4" x14ac:dyDescent="0.15">
      <c r="A374" s="6"/>
      <c r="B374" s="10"/>
      <c r="C374" s="10"/>
      <c r="D374" s="10"/>
      <c r="E374" s="10"/>
      <c r="F374" s="10"/>
      <c r="G374" s="10"/>
      <c r="H374" s="10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4" x14ac:dyDescent="0.15">
      <c r="A375" s="6"/>
      <c r="B375" s="10"/>
      <c r="C375" s="10"/>
      <c r="D375" s="10"/>
      <c r="E375" s="10"/>
      <c r="F375" s="10"/>
      <c r="G375" s="10"/>
      <c r="H375" s="10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4" x14ac:dyDescent="0.15">
      <c r="A376" s="6"/>
      <c r="B376" s="10"/>
      <c r="C376" s="10"/>
      <c r="D376" s="10"/>
      <c r="E376" s="10"/>
      <c r="F376" s="10"/>
      <c r="G376" s="10"/>
      <c r="H376" s="10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4" x14ac:dyDescent="0.15">
      <c r="A377" s="6"/>
      <c r="B377" s="10"/>
      <c r="C377" s="10"/>
      <c r="D377" s="10"/>
      <c r="E377" s="10"/>
      <c r="F377" s="10"/>
      <c r="G377" s="10"/>
      <c r="H377" s="10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4" x14ac:dyDescent="0.15">
      <c r="A378" s="6"/>
      <c r="B378" s="10"/>
      <c r="C378" s="10"/>
      <c r="D378" s="10"/>
      <c r="E378" s="10"/>
      <c r="F378" s="10"/>
      <c r="G378" s="10"/>
      <c r="H378" s="10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4" x14ac:dyDescent="0.15">
      <c r="A379" s="6"/>
      <c r="B379" s="10"/>
      <c r="C379" s="10"/>
      <c r="D379" s="10"/>
      <c r="E379" s="10"/>
      <c r="F379" s="10"/>
      <c r="G379" s="10"/>
      <c r="H379" s="10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4" x14ac:dyDescent="0.15">
      <c r="A380" s="6"/>
      <c r="B380" s="10"/>
      <c r="C380" s="10"/>
      <c r="D380" s="10"/>
      <c r="E380" s="10"/>
      <c r="F380" s="10"/>
      <c r="G380" s="10"/>
      <c r="H380" s="10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4" x14ac:dyDescent="0.15">
      <c r="A381" s="6"/>
      <c r="B381" s="10"/>
      <c r="C381" s="10"/>
      <c r="D381" s="10"/>
      <c r="E381" s="10"/>
      <c r="F381" s="10"/>
      <c r="G381" s="10"/>
      <c r="H381" s="10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4" x14ac:dyDescent="0.15">
      <c r="A382" s="6"/>
      <c r="B382" s="10"/>
      <c r="C382" s="10"/>
      <c r="D382" s="10"/>
      <c r="E382" s="10"/>
      <c r="F382" s="10"/>
      <c r="G382" s="10"/>
      <c r="H382" s="10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4" x14ac:dyDescent="0.15">
      <c r="A383" s="6"/>
      <c r="B383" s="10"/>
      <c r="C383" s="10"/>
      <c r="D383" s="10"/>
      <c r="E383" s="10"/>
      <c r="F383" s="10"/>
      <c r="G383" s="10"/>
      <c r="H383" s="10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4" x14ac:dyDescent="0.15">
      <c r="A384" s="6"/>
      <c r="B384" s="10"/>
      <c r="C384" s="10"/>
      <c r="D384" s="10"/>
      <c r="E384" s="10"/>
      <c r="F384" s="10"/>
      <c r="G384" s="10"/>
      <c r="H384" s="10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4" x14ac:dyDescent="0.15">
      <c r="A385" s="6"/>
      <c r="B385" s="10"/>
      <c r="C385" s="10"/>
      <c r="D385" s="10"/>
      <c r="E385" s="10"/>
      <c r="F385" s="10"/>
      <c r="G385" s="10"/>
      <c r="H385" s="10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4" x14ac:dyDescent="0.15">
      <c r="A386" s="6"/>
      <c r="B386" s="10"/>
      <c r="C386" s="10"/>
      <c r="D386" s="10"/>
      <c r="E386" s="10"/>
      <c r="F386" s="10"/>
      <c r="G386" s="10"/>
      <c r="H386" s="10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4" x14ac:dyDescent="0.15">
      <c r="A387" s="6"/>
      <c r="B387" s="10"/>
      <c r="C387" s="10"/>
      <c r="D387" s="10"/>
      <c r="E387" s="10"/>
      <c r="F387" s="10"/>
      <c r="G387" s="10"/>
      <c r="H387" s="10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4" x14ac:dyDescent="0.15">
      <c r="A388" s="6"/>
      <c r="B388" s="10"/>
      <c r="C388" s="10"/>
      <c r="D388" s="10"/>
      <c r="E388" s="10"/>
      <c r="F388" s="10"/>
      <c r="G388" s="10"/>
      <c r="H388" s="10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4" x14ac:dyDescent="0.15">
      <c r="A389" s="6"/>
      <c r="B389" s="10"/>
      <c r="C389" s="10"/>
      <c r="D389" s="10"/>
      <c r="E389" s="10"/>
      <c r="F389" s="10"/>
      <c r="G389" s="10"/>
      <c r="H389" s="10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4" x14ac:dyDescent="0.15">
      <c r="A390" s="6"/>
      <c r="B390" s="10"/>
      <c r="C390" s="10"/>
      <c r="D390" s="10"/>
      <c r="E390" s="10"/>
      <c r="F390" s="10"/>
      <c r="G390" s="10"/>
      <c r="H390" s="10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4" x14ac:dyDescent="0.15">
      <c r="A391" s="6"/>
      <c r="B391" s="10"/>
      <c r="C391" s="10"/>
      <c r="D391" s="10"/>
      <c r="E391" s="10"/>
      <c r="F391" s="10"/>
      <c r="G391" s="10"/>
      <c r="H391" s="10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4" x14ac:dyDescent="0.15">
      <c r="A392" s="6"/>
      <c r="B392" s="10"/>
      <c r="C392" s="10"/>
      <c r="D392" s="10"/>
      <c r="E392" s="10"/>
      <c r="F392" s="10"/>
      <c r="G392" s="10"/>
      <c r="H392" s="10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4" x14ac:dyDescent="0.15">
      <c r="A393" s="6"/>
      <c r="B393" s="10"/>
      <c r="C393" s="10"/>
      <c r="D393" s="10"/>
      <c r="E393" s="10"/>
      <c r="F393" s="10"/>
      <c r="G393" s="10"/>
      <c r="H393" s="10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4" x14ac:dyDescent="0.15">
      <c r="A394" s="6"/>
      <c r="B394" s="10"/>
      <c r="C394" s="10"/>
      <c r="D394" s="10"/>
      <c r="E394" s="10"/>
      <c r="F394" s="10"/>
      <c r="G394" s="10"/>
      <c r="H394" s="10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4" x14ac:dyDescent="0.15">
      <c r="A395" s="6"/>
      <c r="B395" s="10"/>
      <c r="C395" s="10"/>
      <c r="D395" s="10"/>
      <c r="E395" s="10"/>
      <c r="F395" s="10"/>
      <c r="G395" s="10"/>
      <c r="H395" s="10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4" x14ac:dyDescent="0.15">
      <c r="A396" s="6"/>
      <c r="B396" s="10"/>
      <c r="C396" s="10"/>
      <c r="D396" s="10"/>
      <c r="E396" s="10"/>
      <c r="F396" s="10"/>
      <c r="G396" s="10"/>
      <c r="H396" s="10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4" x14ac:dyDescent="0.15">
      <c r="A397" s="6"/>
      <c r="B397" s="10"/>
      <c r="C397" s="10"/>
      <c r="D397" s="10"/>
      <c r="E397" s="10"/>
      <c r="F397" s="10"/>
      <c r="G397" s="10"/>
      <c r="H397" s="10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4" x14ac:dyDescent="0.15">
      <c r="A398" s="6"/>
      <c r="B398" s="10"/>
      <c r="C398" s="10"/>
      <c r="D398" s="10"/>
      <c r="E398" s="10"/>
      <c r="F398" s="10"/>
      <c r="G398" s="10"/>
      <c r="H398" s="10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4" x14ac:dyDescent="0.15">
      <c r="A399" s="6"/>
      <c r="B399" s="10"/>
      <c r="C399" s="10"/>
      <c r="D399" s="10"/>
      <c r="E399" s="10"/>
      <c r="F399" s="10"/>
      <c r="G399" s="10"/>
      <c r="H399" s="10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4" x14ac:dyDescent="0.15">
      <c r="A400" s="6"/>
      <c r="B400" s="10"/>
      <c r="C400" s="10"/>
      <c r="D400" s="10"/>
      <c r="E400" s="10"/>
      <c r="F400" s="10"/>
      <c r="G400" s="10"/>
      <c r="H400" s="10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4" x14ac:dyDescent="0.15">
      <c r="A401" s="6"/>
      <c r="B401" s="10"/>
      <c r="C401" s="10"/>
      <c r="D401" s="10"/>
      <c r="E401" s="10"/>
      <c r="F401" s="10"/>
      <c r="G401" s="10"/>
      <c r="H401" s="10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4" x14ac:dyDescent="0.15">
      <c r="A402" s="6"/>
      <c r="B402" s="10"/>
      <c r="C402" s="10"/>
      <c r="D402" s="10"/>
      <c r="E402" s="10"/>
      <c r="F402" s="10"/>
      <c r="G402" s="10"/>
      <c r="H402" s="1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4" x14ac:dyDescent="0.15">
      <c r="A403" s="6"/>
      <c r="B403" s="10"/>
      <c r="C403" s="10"/>
      <c r="D403" s="10"/>
      <c r="E403" s="10"/>
      <c r="F403" s="10"/>
      <c r="G403" s="10"/>
      <c r="H403" s="1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4" x14ac:dyDescent="0.15">
      <c r="A404" s="6"/>
      <c r="B404" s="10"/>
      <c r="C404" s="10"/>
      <c r="D404" s="10"/>
      <c r="E404" s="10"/>
      <c r="F404" s="10"/>
      <c r="G404" s="10"/>
      <c r="H404" s="1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4" x14ac:dyDescent="0.15">
      <c r="A405" s="6"/>
      <c r="B405" s="10"/>
      <c r="C405" s="10"/>
      <c r="D405" s="10"/>
      <c r="E405" s="10"/>
      <c r="F405" s="10"/>
      <c r="G405" s="10"/>
      <c r="H405" s="1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4" x14ac:dyDescent="0.15">
      <c r="A406" s="6"/>
      <c r="B406" s="10"/>
      <c r="C406" s="10"/>
      <c r="D406" s="10"/>
      <c r="E406" s="10"/>
      <c r="F406" s="10"/>
      <c r="G406" s="10"/>
      <c r="H406" s="1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4" x14ac:dyDescent="0.15">
      <c r="A407" s="6"/>
      <c r="B407" s="10"/>
      <c r="C407" s="10"/>
      <c r="D407" s="10"/>
      <c r="E407" s="10"/>
      <c r="F407" s="10"/>
      <c r="G407" s="10"/>
      <c r="H407" s="1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4" x14ac:dyDescent="0.15">
      <c r="A408" s="6"/>
      <c r="B408" s="10"/>
      <c r="C408" s="10"/>
      <c r="D408" s="10"/>
      <c r="E408" s="10"/>
      <c r="F408" s="10"/>
      <c r="G408" s="10"/>
      <c r="H408" s="1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4" x14ac:dyDescent="0.15">
      <c r="A409" s="6"/>
      <c r="B409" s="10"/>
      <c r="C409" s="10"/>
      <c r="D409" s="10"/>
      <c r="E409" s="10"/>
      <c r="F409" s="10"/>
      <c r="G409" s="10"/>
      <c r="H409" s="1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4" x14ac:dyDescent="0.15">
      <c r="A410" s="6"/>
      <c r="B410" s="10"/>
      <c r="C410" s="10"/>
      <c r="D410" s="10"/>
      <c r="E410" s="10"/>
      <c r="F410" s="10"/>
      <c r="G410" s="10"/>
      <c r="H410" s="1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4" x14ac:dyDescent="0.15">
      <c r="A411" s="6"/>
      <c r="B411" s="10"/>
      <c r="C411" s="10"/>
      <c r="D411" s="10"/>
      <c r="E411" s="10"/>
      <c r="F411" s="10"/>
      <c r="G411" s="10"/>
      <c r="H411" s="1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4" x14ac:dyDescent="0.15">
      <c r="A412" s="6"/>
      <c r="B412" s="10"/>
      <c r="C412" s="10"/>
      <c r="D412" s="10"/>
      <c r="E412" s="10"/>
      <c r="F412" s="10"/>
      <c r="G412" s="10"/>
      <c r="H412" s="1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4" x14ac:dyDescent="0.15">
      <c r="A413" s="6"/>
      <c r="B413" s="10"/>
      <c r="C413" s="10"/>
      <c r="D413" s="10"/>
      <c r="E413" s="10"/>
      <c r="F413" s="10"/>
      <c r="G413" s="10"/>
      <c r="H413" s="1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4" x14ac:dyDescent="0.15">
      <c r="A414" s="6"/>
      <c r="B414" s="10"/>
      <c r="C414" s="10"/>
      <c r="D414" s="10"/>
      <c r="E414" s="10"/>
      <c r="F414" s="10"/>
      <c r="G414" s="10"/>
      <c r="H414" s="1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4" x14ac:dyDescent="0.15">
      <c r="A415" s="6"/>
      <c r="B415" s="10"/>
      <c r="C415" s="10"/>
      <c r="D415" s="10"/>
      <c r="E415" s="10"/>
      <c r="F415" s="10"/>
      <c r="G415" s="10"/>
      <c r="H415" s="1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4" x14ac:dyDescent="0.15">
      <c r="A416" s="6"/>
      <c r="B416" s="10"/>
      <c r="C416" s="10"/>
      <c r="D416" s="10"/>
      <c r="E416" s="10"/>
      <c r="F416" s="10"/>
      <c r="G416" s="10"/>
      <c r="H416" s="1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4" x14ac:dyDescent="0.15">
      <c r="A417" s="6"/>
      <c r="B417" s="10"/>
      <c r="C417" s="10"/>
      <c r="D417" s="10"/>
      <c r="E417" s="10"/>
      <c r="F417" s="10"/>
      <c r="G417" s="10"/>
      <c r="H417" s="1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4" x14ac:dyDescent="0.15">
      <c r="A418" s="6"/>
      <c r="B418" s="10"/>
      <c r="C418" s="10"/>
      <c r="D418" s="10"/>
      <c r="E418" s="10"/>
      <c r="F418" s="10"/>
      <c r="G418" s="10"/>
      <c r="H418" s="1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4" x14ac:dyDescent="0.15">
      <c r="A419" s="6"/>
      <c r="B419" s="10"/>
      <c r="C419" s="10"/>
      <c r="D419" s="10"/>
      <c r="E419" s="10"/>
      <c r="F419" s="10"/>
      <c r="G419" s="10"/>
      <c r="H419" s="1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4" x14ac:dyDescent="0.15">
      <c r="A420" s="6"/>
      <c r="B420" s="10"/>
      <c r="C420" s="10"/>
      <c r="D420" s="10"/>
      <c r="E420" s="10"/>
      <c r="F420" s="10"/>
      <c r="G420" s="10"/>
      <c r="H420" s="1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4" x14ac:dyDescent="0.15">
      <c r="A421" s="6"/>
      <c r="B421" s="10"/>
      <c r="C421" s="10"/>
      <c r="D421" s="10"/>
      <c r="E421" s="10"/>
      <c r="F421" s="10"/>
      <c r="G421" s="10"/>
      <c r="H421" s="1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4" x14ac:dyDescent="0.15">
      <c r="A422" s="6"/>
      <c r="B422" s="10"/>
      <c r="C422" s="10"/>
      <c r="D422" s="10"/>
      <c r="E422" s="10"/>
      <c r="F422" s="10"/>
      <c r="G422" s="10"/>
      <c r="H422" s="1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4" x14ac:dyDescent="0.15">
      <c r="A423" s="6"/>
      <c r="B423" s="10"/>
      <c r="C423" s="10"/>
      <c r="D423" s="10"/>
      <c r="E423" s="10"/>
      <c r="F423" s="10"/>
      <c r="G423" s="10"/>
      <c r="H423" s="1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4" x14ac:dyDescent="0.15">
      <c r="A424" s="6"/>
      <c r="B424" s="10"/>
      <c r="C424" s="10"/>
      <c r="D424" s="10"/>
      <c r="E424" s="10"/>
      <c r="F424" s="10"/>
      <c r="G424" s="10"/>
      <c r="H424" s="1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4" x14ac:dyDescent="0.15">
      <c r="A425" s="6"/>
      <c r="B425" s="10"/>
      <c r="C425" s="10"/>
      <c r="D425" s="10"/>
      <c r="E425" s="10"/>
      <c r="F425" s="10"/>
      <c r="G425" s="10"/>
      <c r="H425" s="1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4" x14ac:dyDescent="0.15">
      <c r="A426" s="6"/>
      <c r="B426" s="10"/>
      <c r="C426" s="10"/>
      <c r="D426" s="10"/>
      <c r="E426" s="10"/>
      <c r="F426" s="10"/>
      <c r="G426" s="10"/>
      <c r="H426" s="1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4" x14ac:dyDescent="0.15">
      <c r="A427" s="6"/>
      <c r="B427" s="10"/>
      <c r="C427" s="10"/>
      <c r="D427" s="10"/>
      <c r="E427" s="10"/>
      <c r="F427" s="10"/>
      <c r="G427" s="10"/>
      <c r="H427" s="1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4" x14ac:dyDescent="0.15">
      <c r="A428" s="6"/>
      <c r="B428" s="10"/>
      <c r="C428" s="10"/>
      <c r="D428" s="10"/>
      <c r="E428" s="10"/>
      <c r="F428" s="10"/>
      <c r="G428" s="10"/>
      <c r="H428" s="1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4" x14ac:dyDescent="0.15">
      <c r="A429" s="6"/>
      <c r="B429" s="10"/>
      <c r="C429" s="10"/>
      <c r="D429" s="10"/>
      <c r="E429" s="10"/>
      <c r="F429" s="10"/>
      <c r="G429" s="10"/>
      <c r="H429" s="1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4" x14ac:dyDescent="0.15">
      <c r="A430" s="6"/>
      <c r="B430" s="10"/>
      <c r="C430" s="10"/>
      <c r="D430" s="10"/>
      <c r="E430" s="10"/>
      <c r="F430" s="10"/>
      <c r="G430" s="10"/>
      <c r="H430" s="1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4" x14ac:dyDescent="0.15">
      <c r="A431" s="6"/>
      <c r="B431" s="10"/>
      <c r="C431" s="10"/>
      <c r="D431" s="10"/>
      <c r="E431" s="10"/>
      <c r="F431" s="10"/>
      <c r="G431" s="10"/>
      <c r="H431" s="1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4" x14ac:dyDescent="0.15">
      <c r="A432" s="6"/>
      <c r="B432" s="10"/>
      <c r="C432" s="10"/>
      <c r="D432" s="10"/>
      <c r="E432" s="10"/>
      <c r="F432" s="10"/>
      <c r="G432" s="10"/>
      <c r="H432" s="1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4" x14ac:dyDescent="0.15">
      <c r="A433" s="6"/>
      <c r="B433" s="10"/>
      <c r="C433" s="10"/>
      <c r="D433" s="10"/>
      <c r="E433" s="10"/>
      <c r="F433" s="10"/>
      <c r="G433" s="10"/>
      <c r="H433" s="1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4" x14ac:dyDescent="0.15">
      <c r="A434" s="6"/>
      <c r="B434" s="10"/>
      <c r="C434" s="10"/>
      <c r="D434" s="10"/>
      <c r="E434" s="10"/>
      <c r="F434" s="10"/>
      <c r="G434" s="10"/>
      <c r="H434" s="1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4" x14ac:dyDescent="0.15">
      <c r="A435" s="6"/>
      <c r="B435" s="10"/>
      <c r="C435" s="10"/>
      <c r="D435" s="10"/>
      <c r="E435" s="10"/>
      <c r="F435" s="10"/>
      <c r="G435" s="10"/>
      <c r="H435" s="1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4" x14ac:dyDescent="0.15">
      <c r="A436" s="6"/>
      <c r="B436" s="10"/>
      <c r="C436" s="10"/>
      <c r="D436" s="10"/>
      <c r="E436" s="10"/>
      <c r="F436" s="10"/>
      <c r="G436" s="10"/>
      <c r="H436" s="1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4" x14ac:dyDescent="0.15">
      <c r="A437" s="6"/>
      <c r="B437" s="10"/>
      <c r="C437" s="10"/>
      <c r="D437" s="10"/>
      <c r="E437" s="10"/>
      <c r="F437" s="10"/>
      <c r="G437" s="10"/>
      <c r="H437" s="1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4" x14ac:dyDescent="0.15">
      <c r="A438" s="6"/>
      <c r="B438" s="10"/>
      <c r="C438" s="10"/>
      <c r="D438" s="10"/>
      <c r="E438" s="10"/>
      <c r="F438" s="10"/>
      <c r="G438" s="10"/>
      <c r="H438" s="1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4" x14ac:dyDescent="0.15">
      <c r="A439" s="6"/>
      <c r="B439" s="10"/>
      <c r="C439" s="10"/>
      <c r="D439" s="10"/>
      <c r="E439" s="10"/>
      <c r="F439" s="10"/>
      <c r="G439" s="10"/>
      <c r="H439" s="1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4" x14ac:dyDescent="0.15">
      <c r="A440" s="6"/>
      <c r="B440" s="10"/>
      <c r="C440" s="10"/>
      <c r="D440" s="10"/>
      <c r="E440" s="10"/>
      <c r="F440" s="10"/>
      <c r="G440" s="10"/>
      <c r="H440" s="1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4" x14ac:dyDescent="0.15">
      <c r="A441" s="6"/>
      <c r="B441" s="10"/>
      <c r="C441" s="10"/>
      <c r="D441" s="10"/>
      <c r="E441" s="10"/>
      <c r="F441" s="10"/>
      <c r="G441" s="10"/>
      <c r="H441" s="1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4" x14ac:dyDescent="0.15">
      <c r="A442" s="6"/>
      <c r="B442" s="10"/>
      <c r="C442" s="10"/>
      <c r="D442" s="10"/>
      <c r="E442" s="10"/>
      <c r="F442" s="10"/>
      <c r="G442" s="10"/>
      <c r="H442" s="1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4" x14ac:dyDescent="0.15">
      <c r="A443" s="6"/>
      <c r="B443" s="10"/>
      <c r="C443" s="10"/>
      <c r="D443" s="10"/>
      <c r="E443" s="10"/>
      <c r="F443" s="10"/>
      <c r="G443" s="10"/>
      <c r="H443" s="1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4" x14ac:dyDescent="0.15">
      <c r="A444" s="6"/>
      <c r="B444" s="10"/>
      <c r="C444" s="10"/>
      <c r="D444" s="10"/>
      <c r="E444" s="10"/>
      <c r="F444" s="10"/>
      <c r="G444" s="10"/>
      <c r="H444" s="1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4" x14ac:dyDescent="0.15">
      <c r="A445" s="6"/>
      <c r="B445" s="10"/>
      <c r="C445" s="10"/>
      <c r="D445" s="10"/>
      <c r="E445" s="10"/>
      <c r="F445" s="10"/>
      <c r="G445" s="10"/>
      <c r="H445" s="1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4" x14ac:dyDescent="0.15">
      <c r="A446" s="6"/>
      <c r="B446" s="10"/>
      <c r="C446" s="10"/>
      <c r="D446" s="10"/>
      <c r="E446" s="10"/>
      <c r="F446" s="10"/>
      <c r="G446" s="10"/>
      <c r="H446" s="1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4" x14ac:dyDescent="0.15">
      <c r="A447" s="6"/>
      <c r="B447" s="10"/>
      <c r="C447" s="10"/>
      <c r="D447" s="10"/>
      <c r="E447" s="10"/>
      <c r="F447" s="10"/>
      <c r="G447" s="10"/>
      <c r="H447" s="1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4" x14ac:dyDescent="0.15">
      <c r="A448" s="6"/>
      <c r="B448" s="10"/>
      <c r="C448" s="10"/>
      <c r="D448" s="10"/>
      <c r="E448" s="10"/>
      <c r="F448" s="10"/>
      <c r="G448" s="10"/>
      <c r="H448" s="1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4" x14ac:dyDescent="0.15">
      <c r="A449" s="6"/>
      <c r="B449" s="10"/>
      <c r="C449" s="10"/>
      <c r="D449" s="10"/>
      <c r="E449" s="10"/>
      <c r="F449" s="10"/>
      <c r="G449" s="10"/>
      <c r="H449" s="1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4" x14ac:dyDescent="0.15">
      <c r="A450" s="6"/>
      <c r="B450" s="10"/>
      <c r="C450" s="10"/>
      <c r="D450" s="10"/>
      <c r="E450" s="10"/>
      <c r="F450" s="10"/>
      <c r="G450" s="10"/>
      <c r="H450" s="1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4" x14ac:dyDescent="0.15">
      <c r="A451" s="6"/>
      <c r="B451" s="10"/>
      <c r="C451" s="10"/>
      <c r="D451" s="10"/>
      <c r="E451" s="10"/>
      <c r="F451" s="10"/>
      <c r="G451" s="10"/>
      <c r="H451" s="1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4" x14ac:dyDescent="0.15">
      <c r="A452" s="6"/>
      <c r="B452" s="10"/>
      <c r="C452" s="10"/>
      <c r="D452" s="10"/>
      <c r="E452" s="10"/>
      <c r="F452" s="10"/>
      <c r="G452" s="10"/>
      <c r="H452" s="1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4" x14ac:dyDescent="0.15">
      <c r="A453" s="6"/>
      <c r="B453" s="10"/>
      <c r="C453" s="10"/>
      <c r="D453" s="10"/>
      <c r="E453" s="10"/>
      <c r="F453" s="10"/>
      <c r="G453" s="10"/>
      <c r="H453" s="1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4" x14ac:dyDescent="0.15">
      <c r="A454" s="6"/>
      <c r="B454" s="10"/>
      <c r="C454" s="10"/>
      <c r="D454" s="10"/>
      <c r="E454" s="10"/>
      <c r="F454" s="10"/>
      <c r="G454" s="10"/>
      <c r="H454" s="1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4" x14ac:dyDescent="0.15">
      <c r="A455" s="6"/>
      <c r="B455" s="10"/>
      <c r="C455" s="10"/>
      <c r="D455" s="10"/>
      <c r="E455" s="10"/>
      <c r="F455" s="10"/>
      <c r="G455" s="10"/>
      <c r="H455" s="1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4" x14ac:dyDescent="0.15">
      <c r="A456" s="6"/>
      <c r="B456" s="10"/>
      <c r="C456" s="10"/>
      <c r="D456" s="10"/>
      <c r="E456" s="10"/>
      <c r="F456" s="10"/>
      <c r="G456" s="10"/>
      <c r="H456" s="1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4" x14ac:dyDescent="0.15">
      <c r="A457" s="6"/>
      <c r="B457" s="10"/>
      <c r="C457" s="10"/>
      <c r="D457" s="10"/>
      <c r="E457" s="10"/>
      <c r="F457" s="10"/>
      <c r="G457" s="10"/>
      <c r="H457" s="1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4" x14ac:dyDescent="0.15">
      <c r="A458" s="6"/>
      <c r="B458" s="10"/>
      <c r="C458" s="10"/>
      <c r="D458" s="10"/>
      <c r="E458" s="10"/>
      <c r="F458" s="10"/>
      <c r="G458" s="10"/>
      <c r="H458" s="1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4" x14ac:dyDescent="0.15">
      <c r="A459" s="6"/>
      <c r="B459" s="10"/>
      <c r="C459" s="10"/>
      <c r="D459" s="10"/>
      <c r="E459" s="10"/>
      <c r="F459" s="10"/>
      <c r="G459" s="10"/>
      <c r="H459" s="1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4" x14ac:dyDescent="0.15">
      <c r="A460" s="6"/>
      <c r="B460" s="10"/>
      <c r="C460" s="10"/>
      <c r="D460" s="10"/>
      <c r="E460" s="10"/>
      <c r="F460" s="10"/>
      <c r="G460" s="10"/>
      <c r="H460" s="1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4" x14ac:dyDescent="0.15">
      <c r="A461" s="6"/>
      <c r="B461" s="10"/>
      <c r="C461" s="10"/>
      <c r="D461" s="10"/>
      <c r="E461" s="10"/>
      <c r="F461" s="10"/>
      <c r="G461" s="10"/>
      <c r="H461" s="1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4" x14ac:dyDescent="0.15">
      <c r="A462" s="6"/>
      <c r="B462" s="10"/>
      <c r="C462" s="10"/>
      <c r="D462" s="10"/>
      <c r="E462" s="10"/>
      <c r="F462" s="10"/>
      <c r="G462" s="10"/>
      <c r="H462" s="1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4" x14ac:dyDescent="0.15">
      <c r="A463" s="6"/>
      <c r="B463" s="10"/>
      <c r="C463" s="10"/>
      <c r="D463" s="10"/>
      <c r="E463" s="10"/>
      <c r="F463" s="10"/>
      <c r="G463" s="10"/>
      <c r="H463" s="1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4" x14ac:dyDescent="0.15">
      <c r="A464" s="6"/>
      <c r="B464" s="10"/>
      <c r="C464" s="10"/>
      <c r="D464" s="10"/>
      <c r="E464" s="10"/>
      <c r="F464" s="10"/>
      <c r="G464" s="10"/>
      <c r="H464" s="1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4" x14ac:dyDescent="0.15">
      <c r="A465" s="6"/>
      <c r="B465" s="10"/>
      <c r="C465" s="10"/>
      <c r="D465" s="10"/>
      <c r="E465" s="10"/>
      <c r="F465" s="10"/>
      <c r="G465" s="10"/>
      <c r="H465" s="1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4" x14ac:dyDescent="0.15">
      <c r="A466" s="6"/>
      <c r="B466" s="10"/>
      <c r="C466" s="10"/>
      <c r="D466" s="10"/>
      <c r="E466" s="10"/>
      <c r="F466" s="10"/>
      <c r="G466" s="10"/>
      <c r="H466" s="1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4" x14ac:dyDescent="0.15">
      <c r="A467" s="6"/>
      <c r="B467" s="10"/>
      <c r="C467" s="10"/>
      <c r="D467" s="10"/>
      <c r="E467" s="10"/>
      <c r="F467" s="10"/>
      <c r="G467" s="10"/>
      <c r="H467" s="1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4" x14ac:dyDescent="0.15">
      <c r="A468" s="6"/>
      <c r="B468" s="10"/>
      <c r="C468" s="10"/>
      <c r="D468" s="10"/>
      <c r="E468" s="10"/>
      <c r="F468" s="10"/>
      <c r="G468" s="10"/>
      <c r="H468" s="1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4" x14ac:dyDescent="0.15">
      <c r="A469" s="6"/>
      <c r="B469" s="10"/>
      <c r="C469" s="10"/>
      <c r="D469" s="10"/>
      <c r="E469" s="10"/>
      <c r="F469" s="10"/>
      <c r="G469" s="10"/>
      <c r="H469" s="1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4" x14ac:dyDescent="0.15">
      <c r="A470" s="6"/>
      <c r="B470" s="10"/>
      <c r="C470" s="10"/>
      <c r="D470" s="10"/>
      <c r="E470" s="10"/>
      <c r="F470" s="10"/>
      <c r="G470" s="10"/>
      <c r="H470" s="1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4" x14ac:dyDescent="0.15">
      <c r="A471" s="6"/>
      <c r="B471" s="10"/>
      <c r="C471" s="10"/>
      <c r="D471" s="10"/>
      <c r="E471" s="10"/>
      <c r="F471" s="10"/>
      <c r="G471" s="10"/>
      <c r="H471" s="1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4" x14ac:dyDescent="0.15">
      <c r="A472" s="6"/>
      <c r="B472" s="10"/>
      <c r="C472" s="10"/>
      <c r="D472" s="10"/>
      <c r="E472" s="10"/>
      <c r="F472" s="10"/>
      <c r="G472" s="10"/>
      <c r="H472" s="1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4" x14ac:dyDescent="0.15">
      <c r="A473" s="6"/>
      <c r="B473" s="10"/>
      <c r="C473" s="10"/>
      <c r="D473" s="10"/>
      <c r="E473" s="10"/>
      <c r="F473" s="10"/>
      <c r="G473" s="10"/>
      <c r="H473" s="1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4" x14ac:dyDescent="0.15">
      <c r="A474" s="6"/>
      <c r="B474" s="10"/>
      <c r="C474" s="10"/>
      <c r="D474" s="10"/>
      <c r="E474" s="10"/>
      <c r="F474" s="10"/>
      <c r="G474" s="10"/>
      <c r="H474" s="1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4" x14ac:dyDescent="0.15">
      <c r="A475" s="6"/>
      <c r="B475" s="10"/>
      <c r="C475" s="10"/>
      <c r="D475" s="10"/>
      <c r="E475" s="10"/>
      <c r="F475" s="10"/>
      <c r="G475" s="10"/>
      <c r="H475" s="1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4" x14ac:dyDescent="0.15">
      <c r="A476" s="6"/>
      <c r="B476" s="10"/>
      <c r="C476" s="10"/>
      <c r="D476" s="10"/>
      <c r="E476" s="10"/>
      <c r="F476" s="10"/>
      <c r="G476" s="10"/>
      <c r="H476" s="1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4" x14ac:dyDescent="0.15">
      <c r="A477" s="6"/>
      <c r="B477" s="10"/>
      <c r="C477" s="10"/>
      <c r="D477" s="10"/>
      <c r="E477" s="10"/>
      <c r="F477" s="10"/>
      <c r="G477" s="10"/>
      <c r="H477" s="1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4" x14ac:dyDescent="0.15">
      <c r="A478" s="6"/>
      <c r="B478" s="10"/>
      <c r="C478" s="10"/>
      <c r="D478" s="10"/>
      <c r="E478" s="10"/>
      <c r="F478" s="10"/>
      <c r="G478" s="10"/>
      <c r="H478" s="1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4" x14ac:dyDescent="0.15">
      <c r="A479" s="6"/>
      <c r="B479" s="10"/>
      <c r="C479" s="10"/>
      <c r="D479" s="10"/>
      <c r="E479" s="10"/>
      <c r="F479" s="10"/>
      <c r="G479" s="10"/>
      <c r="H479" s="1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4" x14ac:dyDescent="0.15">
      <c r="A480" s="6"/>
      <c r="B480" s="10"/>
      <c r="C480" s="10"/>
      <c r="D480" s="10"/>
      <c r="E480" s="10"/>
      <c r="F480" s="10"/>
      <c r="G480" s="10"/>
      <c r="H480" s="1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4" x14ac:dyDescent="0.15">
      <c r="A481" s="6"/>
      <c r="B481" s="10"/>
      <c r="C481" s="10"/>
      <c r="D481" s="10"/>
      <c r="E481" s="10"/>
      <c r="F481" s="10"/>
      <c r="G481" s="10"/>
      <c r="H481" s="1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4" x14ac:dyDescent="0.15">
      <c r="A482" s="6"/>
      <c r="B482" s="10"/>
      <c r="C482" s="10"/>
      <c r="D482" s="10"/>
      <c r="E482" s="10"/>
      <c r="F482" s="10"/>
      <c r="G482" s="10"/>
      <c r="H482" s="1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4" x14ac:dyDescent="0.15">
      <c r="A483" s="6"/>
      <c r="B483" s="10"/>
      <c r="C483" s="10"/>
      <c r="D483" s="10"/>
      <c r="E483" s="10"/>
      <c r="F483" s="10"/>
      <c r="G483" s="10"/>
      <c r="H483" s="1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4" x14ac:dyDescent="0.15">
      <c r="A484" s="6"/>
      <c r="B484" s="10"/>
      <c r="C484" s="10"/>
      <c r="D484" s="10"/>
      <c r="E484" s="10"/>
      <c r="F484" s="10"/>
      <c r="G484" s="10"/>
      <c r="H484" s="1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4" x14ac:dyDescent="0.15">
      <c r="A485" s="6"/>
      <c r="B485" s="10"/>
      <c r="C485" s="10"/>
      <c r="D485" s="10"/>
      <c r="E485" s="10"/>
      <c r="F485" s="10"/>
      <c r="G485" s="10"/>
      <c r="H485" s="1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4" x14ac:dyDescent="0.15">
      <c r="A486" s="6"/>
      <c r="B486" s="10"/>
      <c r="C486" s="10"/>
      <c r="D486" s="10"/>
      <c r="E486" s="10"/>
      <c r="F486" s="10"/>
      <c r="G486" s="10"/>
      <c r="H486" s="1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4" x14ac:dyDescent="0.15">
      <c r="A487" s="6"/>
      <c r="B487" s="10"/>
      <c r="C487" s="10"/>
      <c r="D487" s="10"/>
      <c r="E487" s="10"/>
      <c r="F487" s="10"/>
      <c r="G487" s="10"/>
      <c r="H487" s="1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4" x14ac:dyDescent="0.15">
      <c r="A488" s="6"/>
      <c r="B488" s="10"/>
      <c r="C488" s="10"/>
      <c r="D488" s="10"/>
      <c r="E488" s="10"/>
      <c r="F488" s="10"/>
      <c r="G488" s="10"/>
      <c r="H488" s="1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4" x14ac:dyDescent="0.15">
      <c r="A489" s="6"/>
      <c r="B489" s="10"/>
      <c r="C489" s="10"/>
      <c r="D489" s="10"/>
      <c r="E489" s="10"/>
      <c r="F489" s="10"/>
      <c r="G489" s="10"/>
      <c r="H489" s="1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4" x14ac:dyDescent="0.15">
      <c r="A490" s="6"/>
      <c r="B490" s="10"/>
      <c r="C490" s="10"/>
      <c r="D490" s="10"/>
      <c r="E490" s="10"/>
      <c r="F490" s="10"/>
      <c r="G490" s="10"/>
      <c r="H490" s="1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4" x14ac:dyDescent="0.15">
      <c r="A491" s="6"/>
      <c r="B491" s="10"/>
      <c r="C491" s="10"/>
      <c r="D491" s="10"/>
      <c r="E491" s="10"/>
      <c r="F491" s="10"/>
      <c r="G491" s="10"/>
      <c r="H491" s="1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4" x14ac:dyDescent="0.15">
      <c r="A492" s="6"/>
      <c r="B492" s="10"/>
      <c r="C492" s="10"/>
      <c r="D492" s="10"/>
      <c r="E492" s="10"/>
      <c r="F492" s="10"/>
      <c r="G492" s="10"/>
      <c r="H492" s="1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4" x14ac:dyDescent="0.15">
      <c r="A493" s="6"/>
      <c r="B493" s="10"/>
      <c r="C493" s="10"/>
      <c r="D493" s="10"/>
      <c r="E493" s="10"/>
      <c r="F493" s="10"/>
      <c r="G493" s="10"/>
      <c r="H493" s="1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4" x14ac:dyDescent="0.15">
      <c r="A494" s="6"/>
      <c r="B494" s="10"/>
      <c r="C494" s="10"/>
      <c r="D494" s="10"/>
      <c r="E494" s="10"/>
      <c r="F494" s="10"/>
      <c r="G494" s="10"/>
      <c r="H494" s="1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4" x14ac:dyDescent="0.15">
      <c r="A495" s="6"/>
      <c r="B495" s="10"/>
      <c r="C495" s="10"/>
      <c r="D495" s="10"/>
      <c r="E495" s="10"/>
      <c r="F495" s="10"/>
      <c r="G495" s="10"/>
      <c r="H495" s="1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4" x14ac:dyDescent="0.15">
      <c r="A496" s="6"/>
      <c r="B496" s="10"/>
      <c r="C496" s="10"/>
      <c r="D496" s="10"/>
      <c r="E496" s="10"/>
      <c r="F496" s="10"/>
      <c r="G496" s="10"/>
      <c r="H496" s="1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4" x14ac:dyDescent="0.15">
      <c r="A497" s="6"/>
      <c r="B497" s="10"/>
      <c r="C497" s="10"/>
      <c r="D497" s="10"/>
      <c r="E497" s="10"/>
      <c r="F497" s="10"/>
      <c r="G497" s="10"/>
      <c r="H497" s="1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4" x14ac:dyDescent="0.15">
      <c r="A498" s="6"/>
      <c r="B498" s="10"/>
      <c r="C498" s="10"/>
      <c r="D498" s="10"/>
      <c r="E498" s="10"/>
      <c r="F498" s="10"/>
      <c r="G498" s="10"/>
      <c r="H498" s="1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4" x14ac:dyDescent="0.15">
      <c r="A499" s="6"/>
      <c r="B499" s="10"/>
      <c r="C499" s="10"/>
      <c r="D499" s="10"/>
      <c r="E499" s="10"/>
      <c r="F499" s="10"/>
      <c r="G499" s="10"/>
      <c r="H499" s="1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4" x14ac:dyDescent="0.15">
      <c r="A500" s="6"/>
      <c r="B500" s="10"/>
      <c r="C500" s="10"/>
      <c r="D500" s="10"/>
      <c r="E500" s="10"/>
      <c r="F500" s="10"/>
      <c r="G500" s="10"/>
      <c r="H500" s="1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4" x14ac:dyDescent="0.15">
      <c r="A501" s="6"/>
      <c r="B501" s="10"/>
      <c r="C501" s="10"/>
      <c r="D501" s="10"/>
      <c r="E501" s="10"/>
      <c r="F501" s="10"/>
      <c r="G501" s="10"/>
      <c r="H501" s="1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4" x14ac:dyDescent="0.15">
      <c r="A502" s="6"/>
      <c r="B502" s="10"/>
      <c r="C502" s="10"/>
      <c r="D502" s="10"/>
      <c r="E502" s="10"/>
      <c r="F502" s="10"/>
      <c r="G502" s="10"/>
      <c r="H502" s="1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4" x14ac:dyDescent="0.15">
      <c r="A503" s="6"/>
      <c r="B503" s="10"/>
      <c r="C503" s="10"/>
      <c r="D503" s="10"/>
      <c r="E503" s="10"/>
      <c r="F503" s="10"/>
      <c r="G503" s="10"/>
      <c r="H503" s="1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4" x14ac:dyDescent="0.15">
      <c r="A504" s="6"/>
      <c r="B504" s="10"/>
      <c r="C504" s="10"/>
      <c r="D504" s="10"/>
      <c r="E504" s="10"/>
      <c r="F504" s="10"/>
      <c r="G504" s="10"/>
      <c r="H504" s="1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4" x14ac:dyDescent="0.15">
      <c r="A505" s="6"/>
      <c r="B505" s="10"/>
      <c r="C505" s="10"/>
      <c r="D505" s="10"/>
      <c r="E505" s="10"/>
      <c r="F505" s="10"/>
      <c r="G505" s="10"/>
      <c r="H505" s="1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4" x14ac:dyDescent="0.15">
      <c r="A506" s="6"/>
      <c r="B506" s="10"/>
      <c r="C506" s="10"/>
      <c r="D506" s="10"/>
      <c r="E506" s="10"/>
      <c r="F506" s="10"/>
      <c r="G506" s="10"/>
      <c r="H506" s="1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4" x14ac:dyDescent="0.15">
      <c r="A507" s="6"/>
      <c r="B507" s="10"/>
      <c r="C507" s="10"/>
      <c r="D507" s="10"/>
      <c r="E507" s="10"/>
      <c r="F507" s="10"/>
      <c r="G507" s="10"/>
      <c r="H507" s="1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4" x14ac:dyDescent="0.15">
      <c r="A508" s="6"/>
      <c r="B508" s="10"/>
      <c r="C508" s="10"/>
      <c r="D508" s="10"/>
      <c r="E508" s="10"/>
      <c r="F508" s="10"/>
      <c r="G508" s="10"/>
      <c r="H508" s="1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4" x14ac:dyDescent="0.15">
      <c r="A509" s="6"/>
      <c r="B509" s="10"/>
      <c r="C509" s="10"/>
      <c r="D509" s="10"/>
      <c r="E509" s="10"/>
      <c r="F509" s="10"/>
      <c r="G509" s="10"/>
      <c r="H509" s="1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4" x14ac:dyDescent="0.15">
      <c r="A510" s="6"/>
      <c r="B510" s="10"/>
      <c r="C510" s="10"/>
      <c r="D510" s="10"/>
      <c r="E510" s="10"/>
      <c r="F510" s="10"/>
      <c r="G510" s="10"/>
      <c r="H510" s="1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4" x14ac:dyDescent="0.15">
      <c r="A511" s="6"/>
      <c r="B511" s="10"/>
      <c r="C511" s="10"/>
      <c r="D511" s="10"/>
      <c r="E511" s="10"/>
      <c r="F511" s="10"/>
      <c r="G511" s="10"/>
      <c r="H511" s="1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4" x14ac:dyDescent="0.15">
      <c r="A512" s="6"/>
      <c r="B512" s="10"/>
      <c r="C512" s="10"/>
      <c r="D512" s="10"/>
      <c r="E512" s="10"/>
      <c r="F512" s="10"/>
      <c r="G512" s="10"/>
      <c r="H512" s="1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4" x14ac:dyDescent="0.15">
      <c r="A513" s="6"/>
      <c r="B513" s="10"/>
      <c r="C513" s="10"/>
      <c r="D513" s="10"/>
      <c r="E513" s="10"/>
      <c r="F513" s="10"/>
      <c r="G513" s="10"/>
      <c r="H513" s="1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4" x14ac:dyDescent="0.15">
      <c r="A514" s="6"/>
      <c r="B514" s="10"/>
      <c r="C514" s="10"/>
      <c r="D514" s="10"/>
      <c r="E514" s="10"/>
      <c r="F514" s="10"/>
      <c r="G514" s="10"/>
      <c r="H514" s="1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4" x14ac:dyDescent="0.15">
      <c r="A515" s="6"/>
      <c r="B515" s="10"/>
      <c r="C515" s="10"/>
      <c r="D515" s="10"/>
      <c r="E515" s="10"/>
      <c r="F515" s="10"/>
      <c r="G515" s="10"/>
      <c r="H515" s="1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4" x14ac:dyDescent="0.15">
      <c r="A516" s="6"/>
      <c r="B516" s="10"/>
      <c r="C516" s="10"/>
      <c r="D516" s="10"/>
      <c r="E516" s="10"/>
      <c r="F516" s="10"/>
      <c r="G516" s="10"/>
      <c r="H516" s="1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4" x14ac:dyDescent="0.15">
      <c r="A517" s="6"/>
      <c r="B517" s="10"/>
      <c r="C517" s="10"/>
      <c r="D517" s="10"/>
      <c r="E517" s="10"/>
      <c r="F517" s="10"/>
      <c r="G517" s="10"/>
      <c r="H517" s="1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4" x14ac:dyDescent="0.15">
      <c r="A518" s="6"/>
      <c r="B518" s="10"/>
      <c r="C518" s="10"/>
      <c r="D518" s="10"/>
      <c r="E518" s="10"/>
      <c r="F518" s="10"/>
      <c r="G518" s="10"/>
      <c r="H518" s="1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4" x14ac:dyDescent="0.15">
      <c r="A519" s="6"/>
      <c r="B519" s="10"/>
      <c r="C519" s="10"/>
      <c r="D519" s="10"/>
      <c r="E519" s="10"/>
      <c r="F519" s="10"/>
      <c r="G519" s="10"/>
      <c r="H519" s="1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4" x14ac:dyDescent="0.15">
      <c r="A520" s="6"/>
      <c r="B520" s="10"/>
      <c r="C520" s="10"/>
      <c r="D520" s="10"/>
      <c r="E520" s="10"/>
      <c r="F520" s="10"/>
      <c r="G520" s="10"/>
      <c r="H520" s="1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4" x14ac:dyDescent="0.15">
      <c r="A521" s="6"/>
      <c r="B521" s="10"/>
      <c r="C521" s="10"/>
      <c r="D521" s="10"/>
      <c r="E521" s="10"/>
      <c r="F521" s="10"/>
      <c r="G521" s="10"/>
      <c r="H521" s="1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4" x14ac:dyDescent="0.15">
      <c r="A522" s="6"/>
      <c r="B522" s="10"/>
      <c r="C522" s="10"/>
      <c r="D522" s="10"/>
      <c r="E522" s="10"/>
      <c r="F522" s="10"/>
      <c r="G522" s="10"/>
      <c r="H522" s="1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4" x14ac:dyDescent="0.15">
      <c r="A523" s="6"/>
      <c r="B523" s="10"/>
      <c r="C523" s="10"/>
      <c r="D523" s="10"/>
      <c r="E523" s="10"/>
      <c r="F523" s="10"/>
      <c r="G523" s="10"/>
      <c r="H523" s="1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4" x14ac:dyDescent="0.15">
      <c r="A524" s="6"/>
      <c r="B524" s="10"/>
      <c r="C524" s="10"/>
      <c r="D524" s="10"/>
      <c r="E524" s="10"/>
      <c r="F524" s="10"/>
      <c r="G524" s="10"/>
      <c r="H524" s="10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4" x14ac:dyDescent="0.15">
      <c r="A525" s="6"/>
      <c r="B525" s="10"/>
      <c r="C525" s="10"/>
      <c r="D525" s="10"/>
      <c r="E525" s="10"/>
      <c r="F525" s="10"/>
      <c r="G525" s="10"/>
      <c r="H525" s="1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4" x14ac:dyDescent="0.15">
      <c r="A526" s="6"/>
      <c r="B526" s="10"/>
      <c r="C526" s="10"/>
      <c r="D526" s="10"/>
      <c r="E526" s="10"/>
      <c r="F526" s="10"/>
      <c r="G526" s="10"/>
      <c r="H526" s="1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4" x14ac:dyDescent="0.15">
      <c r="A527" s="6"/>
      <c r="B527" s="10"/>
      <c r="C527" s="10"/>
      <c r="D527" s="10"/>
      <c r="E527" s="10"/>
      <c r="F527" s="10"/>
      <c r="G527" s="10"/>
      <c r="H527" s="1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4" x14ac:dyDescent="0.15">
      <c r="A528" s="6"/>
      <c r="B528" s="10"/>
      <c r="C528" s="10"/>
      <c r="D528" s="10"/>
      <c r="E528" s="10"/>
      <c r="F528" s="10"/>
      <c r="G528" s="10"/>
      <c r="H528" s="1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4" x14ac:dyDescent="0.15">
      <c r="A529" s="6"/>
      <c r="B529" s="10"/>
      <c r="C529" s="10"/>
      <c r="D529" s="10"/>
      <c r="E529" s="10"/>
      <c r="F529" s="10"/>
      <c r="G529" s="10"/>
      <c r="H529" s="1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4" x14ac:dyDescent="0.15">
      <c r="A530" s="6"/>
      <c r="B530" s="10"/>
      <c r="C530" s="10"/>
      <c r="D530" s="10"/>
      <c r="E530" s="10"/>
      <c r="F530" s="10"/>
      <c r="G530" s="10"/>
      <c r="H530" s="1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4" x14ac:dyDescent="0.15">
      <c r="A531" s="6"/>
      <c r="B531" s="10"/>
      <c r="C531" s="10"/>
      <c r="D531" s="10"/>
      <c r="E531" s="10"/>
      <c r="F531" s="10"/>
      <c r="G531" s="10"/>
      <c r="H531" s="1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4" x14ac:dyDescent="0.15">
      <c r="A532" s="6"/>
      <c r="B532" s="10"/>
      <c r="C532" s="10"/>
      <c r="D532" s="10"/>
      <c r="E532" s="10"/>
      <c r="F532" s="10"/>
      <c r="G532" s="10"/>
      <c r="H532" s="1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4" x14ac:dyDescent="0.15">
      <c r="A533" s="6"/>
      <c r="B533" s="10"/>
      <c r="C533" s="10"/>
      <c r="D533" s="10"/>
      <c r="E533" s="10"/>
      <c r="F533" s="10"/>
      <c r="G533" s="10"/>
      <c r="H533" s="1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4" x14ac:dyDescent="0.15">
      <c r="A534" s="6"/>
      <c r="B534" s="10"/>
      <c r="C534" s="10"/>
      <c r="D534" s="10"/>
      <c r="E534" s="10"/>
      <c r="F534" s="10"/>
      <c r="G534" s="10"/>
      <c r="H534" s="1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4" x14ac:dyDescent="0.15">
      <c r="A535" s="6"/>
      <c r="B535" s="10"/>
      <c r="C535" s="10"/>
      <c r="D535" s="10"/>
      <c r="E535" s="10"/>
      <c r="F535" s="10"/>
      <c r="G535" s="10"/>
      <c r="H535" s="1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4" x14ac:dyDescent="0.15">
      <c r="A536" s="6"/>
      <c r="B536" s="10"/>
      <c r="C536" s="10"/>
      <c r="D536" s="10"/>
      <c r="E536" s="10"/>
      <c r="F536" s="10"/>
      <c r="G536" s="10"/>
      <c r="H536" s="1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4" x14ac:dyDescent="0.15">
      <c r="A537" s="6"/>
      <c r="B537" s="10"/>
      <c r="C537" s="10"/>
      <c r="D537" s="10"/>
      <c r="E537" s="10"/>
      <c r="F537" s="10"/>
      <c r="G537" s="10"/>
      <c r="H537" s="1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4" x14ac:dyDescent="0.15">
      <c r="A538" s="6"/>
      <c r="B538" s="10"/>
      <c r="C538" s="10"/>
      <c r="D538" s="10"/>
      <c r="E538" s="10"/>
      <c r="F538" s="10"/>
      <c r="G538" s="10"/>
      <c r="H538" s="1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4" x14ac:dyDescent="0.15">
      <c r="A539" s="6"/>
      <c r="B539" s="10"/>
      <c r="C539" s="10"/>
      <c r="D539" s="10"/>
      <c r="E539" s="10"/>
      <c r="F539" s="10"/>
      <c r="G539" s="10"/>
      <c r="H539" s="1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4" x14ac:dyDescent="0.15">
      <c r="A540" s="6"/>
      <c r="B540" s="10"/>
      <c r="C540" s="10"/>
      <c r="D540" s="10"/>
      <c r="E540" s="10"/>
      <c r="F540" s="10"/>
      <c r="G540" s="10"/>
      <c r="H540" s="1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4" x14ac:dyDescent="0.15">
      <c r="A541" s="6"/>
      <c r="B541" s="10"/>
      <c r="C541" s="10"/>
      <c r="D541" s="10"/>
      <c r="E541" s="10"/>
      <c r="F541" s="10"/>
      <c r="G541" s="10"/>
      <c r="H541" s="1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4" x14ac:dyDescent="0.15">
      <c r="A542" s="6"/>
      <c r="B542" s="10"/>
      <c r="C542" s="10"/>
      <c r="D542" s="10"/>
      <c r="E542" s="10"/>
      <c r="F542" s="10"/>
      <c r="G542" s="10"/>
      <c r="H542" s="1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4" x14ac:dyDescent="0.15">
      <c r="A543" s="6"/>
      <c r="B543" s="10"/>
      <c r="C543" s="10"/>
      <c r="D543" s="10"/>
      <c r="E543" s="10"/>
      <c r="F543" s="10"/>
      <c r="G543" s="10"/>
      <c r="H543" s="1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4" x14ac:dyDescent="0.15">
      <c r="A544" s="6"/>
      <c r="B544" s="10"/>
      <c r="C544" s="10"/>
      <c r="D544" s="10"/>
      <c r="E544" s="10"/>
      <c r="F544" s="10"/>
      <c r="G544" s="10"/>
      <c r="H544" s="1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4" x14ac:dyDescent="0.15">
      <c r="A545" s="6"/>
      <c r="B545" s="10"/>
      <c r="C545" s="10"/>
      <c r="D545" s="10"/>
      <c r="E545" s="10"/>
      <c r="F545" s="10"/>
      <c r="G545" s="10"/>
      <c r="H545" s="1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4" x14ac:dyDescent="0.15">
      <c r="A546" s="6"/>
      <c r="B546" s="10"/>
      <c r="C546" s="10"/>
      <c r="D546" s="10"/>
      <c r="E546" s="10"/>
      <c r="F546" s="10"/>
      <c r="G546" s="10"/>
      <c r="H546" s="1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4" x14ac:dyDescent="0.15">
      <c r="A547" s="6"/>
      <c r="B547" s="10"/>
      <c r="C547" s="10"/>
      <c r="D547" s="10"/>
      <c r="E547" s="10"/>
      <c r="F547" s="10"/>
      <c r="G547" s="10"/>
      <c r="H547" s="1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4" x14ac:dyDescent="0.15">
      <c r="A548" s="6"/>
      <c r="B548" s="10"/>
      <c r="C548" s="10"/>
      <c r="D548" s="10"/>
      <c r="E548" s="10"/>
      <c r="F548" s="10"/>
      <c r="G548" s="10"/>
      <c r="H548" s="1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4" x14ac:dyDescent="0.15">
      <c r="A549" s="6"/>
      <c r="B549" s="10"/>
      <c r="C549" s="10"/>
      <c r="D549" s="10"/>
      <c r="E549" s="10"/>
      <c r="F549" s="10"/>
      <c r="G549" s="10"/>
      <c r="H549" s="1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4" x14ac:dyDescent="0.15">
      <c r="A550" s="6"/>
      <c r="B550" s="10"/>
      <c r="C550" s="10"/>
      <c r="D550" s="10"/>
      <c r="E550" s="10"/>
      <c r="F550" s="10"/>
      <c r="G550" s="10"/>
      <c r="H550" s="1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4" x14ac:dyDescent="0.15">
      <c r="A551" s="6"/>
      <c r="B551" s="10"/>
      <c r="C551" s="10"/>
      <c r="D551" s="10"/>
      <c r="E551" s="10"/>
      <c r="F551" s="10"/>
      <c r="G551" s="10"/>
      <c r="H551" s="1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4" x14ac:dyDescent="0.15">
      <c r="A552" s="6"/>
      <c r="B552" s="10"/>
      <c r="C552" s="10"/>
      <c r="D552" s="10"/>
      <c r="E552" s="10"/>
      <c r="F552" s="10"/>
      <c r="G552" s="10"/>
      <c r="H552" s="1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4" x14ac:dyDescent="0.15">
      <c r="A553" s="6"/>
      <c r="B553" s="10"/>
      <c r="C553" s="10"/>
      <c r="D553" s="10"/>
      <c r="E553" s="10"/>
      <c r="F553" s="10"/>
      <c r="G553" s="10"/>
      <c r="H553" s="1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4" x14ac:dyDescent="0.15">
      <c r="A554" s="6"/>
      <c r="B554" s="10"/>
      <c r="C554" s="10"/>
      <c r="D554" s="10"/>
      <c r="E554" s="10"/>
      <c r="F554" s="10"/>
      <c r="G554" s="10"/>
      <c r="H554" s="1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4" x14ac:dyDescent="0.15">
      <c r="A555" s="6"/>
      <c r="B555" s="10"/>
      <c r="C555" s="10"/>
      <c r="D555" s="10"/>
      <c r="E555" s="10"/>
      <c r="F555" s="10"/>
      <c r="G555" s="10"/>
      <c r="H555" s="1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4" x14ac:dyDescent="0.15">
      <c r="A556" s="6"/>
      <c r="B556" s="10"/>
      <c r="C556" s="10"/>
      <c r="D556" s="10"/>
      <c r="E556" s="10"/>
      <c r="F556" s="10"/>
      <c r="G556" s="10"/>
      <c r="H556" s="1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4" x14ac:dyDescent="0.15">
      <c r="A557" s="6"/>
      <c r="B557" s="10"/>
      <c r="C557" s="10"/>
      <c r="D557" s="10"/>
      <c r="E557" s="10"/>
      <c r="F557" s="10"/>
      <c r="G557" s="10"/>
      <c r="H557" s="1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4" x14ac:dyDescent="0.15">
      <c r="A558" s="6"/>
      <c r="B558" s="10"/>
      <c r="C558" s="10"/>
      <c r="D558" s="10"/>
      <c r="E558" s="10"/>
      <c r="F558" s="10"/>
      <c r="G558" s="10"/>
      <c r="H558" s="1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4" x14ac:dyDescent="0.15">
      <c r="A559" s="6"/>
      <c r="B559" s="10"/>
      <c r="C559" s="10"/>
      <c r="D559" s="10"/>
      <c r="E559" s="10"/>
      <c r="F559" s="10"/>
      <c r="G559" s="10"/>
      <c r="H559" s="1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4" x14ac:dyDescent="0.15">
      <c r="A560" s="6"/>
      <c r="B560" s="10"/>
      <c r="C560" s="10"/>
      <c r="D560" s="10"/>
      <c r="E560" s="10"/>
      <c r="F560" s="10"/>
      <c r="G560" s="10"/>
      <c r="H560" s="1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4" x14ac:dyDescent="0.15">
      <c r="A561" s="6"/>
      <c r="B561" s="10"/>
      <c r="C561" s="10"/>
      <c r="D561" s="10"/>
      <c r="E561" s="10"/>
      <c r="F561" s="10"/>
      <c r="G561" s="10"/>
      <c r="H561" s="1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4" x14ac:dyDescent="0.15">
      <c r="A562" s="6"/>
      <c r="B562" s="10"/>
      <c r="C562" s="10"/>
      <c r="D562" s="10"/>
      <c r="E562" s="10"/>
      <c r="F562" s="10"/>
      <c r="G562" s="10"/>
      <c r="H562" s="1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4" x14ac:dyDescent="0.15">
      <c r="A563" s="6"/>
      <c r="B563" s="10"/>
      <c r="C563" s="10"/>
      <c r="D563" s="10"/>
      <c r="E563" s="10"/>
      <c r="F563" s="10"/>
      <c r="G563" s="10"/>
      <c r="H563" s="1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4" x14ac:dyDescent="0.15">
      <c r="A564" s="6"/>
      <c r="B564" s="10"/>
      <c r="C564" s="10"/>
      <c r="D564" s="10"/>
      <c r="E564" s="10"/>
      <c r="F564" s="10"/>
      <c r="G564" s="10"/>
      <c r="H564" s="1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4" x14ac:dyDescent="0.15">
      <c r="A565" s="6"/>
      <c r="B565" s="10"/>
      <c r="C565" s="10"/>
      <c r="D565" s="10"/>
      <c r="E565" s="10"/>
      <c r="F565" s="10"/>
      <c r="G565" s="10"/>
      <c r="H565" s="1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4" x14ac:dyDescent="0.15">
      <c r="A566" s="6"/>
      <c r="B566" s="10"/>
      <c r="C566" s="10"/>
      <c r="D566" s="10"/>
      <c r="E566" s="10"/>
      <c r="F566" s="10"/>
      <c r="G566" s="10"/>
      <c r="H566" s="1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4" x14ac:dyDescent="0.15">
      <c r="A567" s="6"/>
      <c r="B567" s="10"/>
      <c r="C567" s="10"/>
      <c r="D567" s="10"/>
      <c r="E567" s="10"/>
      <c r="F567" s="10"/>
      <c r="G567" s="10"/>
      <c r="H567" s="1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4" x14ac:dyDescent="0.15">
      <c r="A568" s="6"/>
      <c r="B568" s="10"/>
      <c r="C568" s="10"/>
      <c r="D568" s="10"/>
      <c r="E568" s="10"/>
      <c r="F568" s="10"/>
      <c r="G568" s="10"/>
      <c r="H568" s="1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4" x14ac:dyDescent="0.15">
      <c r="A569" s="6"/>
      <c r="B569" s="10"/>
      <c r="C569" s="10"/>
      <c r="D569" s="10"/>
      <c r="E569" s="10"/>
      <c r="F569" s="10"/>
      <c r="G569" s="10"/>
      <c r="H569" s="1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4" x14ac:dyDescent="0.15">
      <c r="A570" s="6"/>
      <c r="B570" s="10"/>
      <c r="C570" s="10"/>
      <c r="D570" s="10"/>
      <c r="E570" s="10"/>
      <c r="F570" s="10"/>
      <c r="G570" s="10"/>
      <c r="H570" s="1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4" x14ac:dyDescent="0.15">
      <c r="A571" s="6"/>
      <c r="B571" s="10"/>
      <c r="C571" s="10"/>
      <c r="D571" s="10"/>
      <c r="E571" s="10"/>
      <c r="F571" s="10"/>
      <c r="G571" s="10"/>
      <c r="H571" s="1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4" x14ac:dyDescent="0.15">
      <c r="A572" s="6"/>
      <c r="B572" s="10"/>
      <c r="C572" s="10"/>
      <c r="D572" s="10"/>
      <c r="E572" s="10"/>
      <c r="F572" s="10"/>
      <c r="G572" s="10"/>
      <c r="H572" s="1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4" x14ac:dyDescent="0.15">
      <c r="A573" s="6"/>
      <c r="B573" s="10"/>
      <c r="C573" s="10"/>
      <c r="D573" s="10"/>
      <c r="E573" s="10"/>
      <c r="F573" s="10"/>
      <c r="G573" s="10"/>
      <c r="H573" s="1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4" x14ac:dyDescent="0.15">
      <c r="A574" s="6"/>
      <c r="B574" s="10"/>
      <c r="C574" s="10"/>
      <c r="D574" s="10"/>
      <c r="E574" s="10"/>
      <c r="F574" s="10"/>
      <c r="G574" s="10"/>
      <c r="H574" s="1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4" x14ac:dyDescent="0.15">
      <c r="A575" s="6"/>
      <c r="B575" s="10"/>
      <c r="C575" s="10"/>
      <c r="D575" s="10"/>
      <c r="E575" s="10"/>
      <c r="F575" s="10"/>
      <c r="G575" s="10"/>
      <c r="H575" s="1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4" x14ac:dyDescent="0.15">
      <c r="A576" s="6"/>
      <c r="B576" s="10"/>
      <c r="C576" s="10"/>
      <c r="D576" s="10"/>
      <c r="E576" s="10"/>
      <c r="F576" s="10"/>
      <c r="G576" s="10"/>
      <c r="H576" s="1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4" x14ac:dyDescent="0.15">
      <c r="A577" s="6"/>
      <c r="B577" s="10"/>
      <c r="C577" s="10"/>
      <c r="D577" s="10"/>
      <c r="E577" s="10"/>
      <c r="F577" s="10"/>
      <c r="G577" s="10"/>
      <c r="H577" s="1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4" x14ac:dyDescent="0.15">
      <c r="A578" s="6"/>
      <c r="B578" s="10"/>
      <c r="C578" s="10"/>
      <c r="D578" s="10"/>
      <c r="E578" s="10"/>
      <c r="F578" s="10"/>
      <c r="G578" s="10"/>
      <c r="H578" s="1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4" x14ac:dyDescent="0.15">
      <c r="A579" s="6"/>
      <c r="B579" s="10"/>
      <c r="C579" s="10"/>
      <c r="D579" s="10"/>
      <c r="E579" s="10"/>
      <c r="F579" s="10"/>
      <c r="G579" s="10"/>
      <c r="H579" s="1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4" x14ac:dyDescent="0.15">
      <c r="A580" s="6"/>
      <c r="B580" s="10"/>
      <c r="C580" s="10"/>
      <c r="D580" s="10"/>
      <c r="E580" s="10"/>
      <c r="F580" s="10"/>
      <c r="G580" s="10"/>
      <c r="H580" s="1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4" x14ac:dyDescent="0.15">
      <c r="A581" s="6"/>
      <c r="B581" s="10"/>
      <c r="C581" s="10"/>
      <c r="D581" s="10"/>
      <c r="E581" s="10"/>
      <c r="F581" s="10"/>
      <c r="G581" s="10"/>
      <c r="H581" s="1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4" x14ac:dyDescent="0.15">
      <c r="A582" s="6"/>
      <c r="B582" s="10"/>
      <c r="C582" s="10"/>
      <c r="D582" s="10"/>
      <c r="E582" s="10"/>
      <c r="F582" s="10"/>
      <c r="G582" s="10"/>
      <c r="H582" s="1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4" x14ac:dyDescent="0.15">
      <c r="A583" s="6"/>
      <c r="B583" s="10"/>
      <c r="C583" s="10"/>
      <c r="D583" s="10"/>
      <c r="E583" s="10"/>
      <c r="F583" s="10"/>
      <c r="G583" s="10"/>
      <c r="H583" s="1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4" x14ac:dyDescent="0.15">
      <c r="A584" s="6"/>
      <c r="B584" s="10"/>
      <c r="C584" s="10"/>
      <c r="D584" s="10"/>
      <c r="E584" s="10"/>
      <c r="F584" s="10"/>
      <c r="G584" s="10"/>
      <c r="H584" s="1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4" x14ac:dyDescent="0.15">
      <c r="A585" s="6"/>
      <c r="B585" s="10"/>
      <c r="C585" s="10"/>
      <c r="D585" s="10"/>
      <c r="E585" s="10"/>
      <c r="F585" s="10"/>
      <c r="G585" s="10"/>
      <c r="H585" s="1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4" x14ac:dyDescent="0.15">
      <c r="A586" s="6"/>
      <c r="B586" s="10"/>
      <c r="C586" s="10"/>
      <c r="D586" s="10"/>
      <c r="E586" s="10"/>
      <c r="F586" s="10"/>
      <c r="G586" s="10"/>
      <c r="H586" s="1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4" x14ac:dyDescent="0.15">
      <c r="A587" s="6"/>
      <c r="B587" s="10"/>
      <c r="C587" s="10"/>
      <c r="D587" s="10"/>
      <c r="E587" s="10"/>
      <c r="F587" s="10"/>
      <c r="G587" s="10"/>
      <c r="H587" s="1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4" x14ac:dyDescent="0.15">
      <c r="A588" s="6"/>
      <c r="B588" s="10"/>
      <c r="C588" s="10"/>
      <c r="D588" s="10"/>
      <c r="E588" s="10"/>
      <c r="F588" s="10"/>
      <c r="G588" s="10"/>
      <c r="H588" s="1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4" x14ac:dyDescent="0.15">
      <c r="A589" s="6"/>
      <c r="B589" s="10"/>
      <c r="C589" s="10"/>
      <c r="D589" s="10"/>
      <c r="E589" s="10"/>
      <c r="F589" s="10"/>
      <c r="G589" s="10"/>
      <c r="H589" s="1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4" x14ac:dyDescent="0.15">
      <c r="A590" s="6"/>
      <c r="B590" s="10"/>
      <c r="C590" s="10"/>
      <c r="D590" s="10"/>
      <c r="E590" s="10"/>
      <c r="F590" s="10"/>
      <c r="G590" s="10"/>
      <c r="H590" s="1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4" x14ac:dyDescent="0.15">
      <c r="A591" s="6"/>
      <c r="B591" s="10"/>
      <c r="C591" s="10"/>
      <c r="D591" s="10"/>
      <c r="E591" s="10"/>
      <c r="F591" s="10"/>
      <c r="G591" s="10"/>
      <c r="H591" s="1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4" x14ac:dyDescent="0.15">
      <c r="A592" s="6"/>
      <c r="B592" s="10"/>
      <c r="C592" s="10"/>
      <c r="D592" s="10"/>
      <c r="E592" s="10"/>
      <c r="F592" s="10"/>
      <c r="G592" s="10"/>
      <c r="H592" s="1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4" x14ac:dyDescent="0.15">
      <c r="A593" s="6"/>
      <c r="B593" s="10"/>
      <c r="C593" s="10"/>
      <c r="D593" s="10"/>
      <c r="E593" s="10"/>
      <c r="F593" s="10"/>
      <c r="G593" s="10"/>
      <c r="H593" s="1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4" x14ac:dyDescent="0.15">
      <c r="A594" s="6"/>
      <c r="B594" s="10"/>
      <c r="C594" s="10"/>
      <c r="D594" s="10"/>
      <c r="E594" s="10"/>
      <c r="F594" s="10"/>
      <c r="G594" s="10"/>
      <c r="H594" s="1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4" x14ac:dyDescent="0.15">
      <c r="A595" s="6"/>
      <c r="B595" s="10"/>
      <c r="C595" s="10"/>
      <c r="D595" s="10"/>
      <c r="E595" s="10"/>
      <c r="F595" s="10"/>
      <c r="G595" s="10"/>
      <c r="H595" s="1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4" x14ac:dyDescent="0.15">
      <c r="A596" s="6"/>
      <c r="B596" s="10"/>
      <c r="C596" s="10"/>
      <c r="D596" s="10"/>
      <c r="E596" s="10"/>
      <c r="F596" s="10"/>
      <c r="G596" s="10"/>
      <c r="H596" s="1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4" x14ac:dyDescent="0.15">
      <c r="A597" s="6"/>
      <c r="B597" s="10"/>
      <c r="C597" s="10"/>
      <c r="D597" s="10"/>
      <c r="E597" s="10"/>
      <c r="F597" s="10"/>
      <c r="G597" s="10"/>
      <c r="H597" s="1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4" x14ac:dyDescent="0.15">
      <c r="A598" s="6"/>
      <c r="B598" s="10"/>
      <c r="C598" s="10"/>
      <c r="D598" s="10"/>
      <c r="E598" s="10"/>
      <c r="F598" s="10"/>
      <c r="G598" s="10"/>
      <c r="H598" s="1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4" x14ac:dyDescent="0.15">
      <c r="A599" s="6"/>
      <c r="B599" s="10"/>
      <c r="C599" s="10"/>
      <c r="D599" s="10"/>
      <c r="E599" s="10"/>
      <c r="F599" s="10"/>
      <c r="G599" s="10"/>
      <c r="H599" s="1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4" x14ac:dyDescent="0.15">
      <c r="A600" s="6"/>
      <c r="B600" s="10"/>
      <c r="C600" s="10"/>
      <c r="D600" s="10"/>
      <c r="E600" s="10"/>
      <c r="F600" s="10"/>
      <c r="G600" s="10"/>
      <c r="H600" s="1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4" x14ac:dyDescent="0.15">
      <c r="A601" s="6"/>
      <c r="B601" s="10"/>
      <c r="C601" s="10"/>
      <c r="D601" s="10"/>
      <c r="E601" s="10"/>
      <c r="F601" s="10"/>
      <c r="G601" s="10"/>
      <c r="H601" s="1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4" x14ac:dyDescent="0.15">
      <c r="A602" s="6"/>
      <c r="B602" s="10"/>
      <c r="C602" s="10"/>
      <c r="D602" s="10"/>
      <c r="E602" s="10"/>
      <c r="F602" s="10"/>
      <c r="G602" s="10"/>
      <c r="H602" s="1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4" x14ac:dyDescent="0.15">
      <c r="A603" s="6"/>
      <c r="B603" s="10"/>
      <c r="C603" s="10"/>
      <c r="D603" s="10"/>
      <c r="E603" s="10"/>
      <c r="F603" s="10"/>
      <c r="G603" s="10"/>
      <c r="H603" s="1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4" x14ac:dyDescent="0.15">
      <c r="A604" s="6"/>
      <c r="B604" s="10"/>
      <c r="C604" s="10"/>
      <c r="D604" s="10"/>
      <c r="E604" s="10"/>
      <c r="F604" s="10"/>
      <c r="G604" s="10"/>
      <c r="H604" s="1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4" x14ac:dyDescent="0.15">
      <c r="A605" s="6"/>
      <c r="B605" s="10"/>
      <c r="C605" s="10"/>
      <c r="D605" s="10"/>
      <c r="E605" s="10"/>
      <c r="F605" s="10"/>
      <c r="G605" s="10"/>
      <c r="H605" s="1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4" x14ac:dyDescent="0.15">
      <c r="A606" s="6"/>
      <c r="B606" s="10"/>
      <c r="C606" s="10"/>
      <c r="D606" s="10"/>
      <c r="E606" s="10"/>
      <c r="F606" s="10"/>
      <c r="G606" s="10"/>
      <c r="H606" s="1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4" x14ac:dyDescent="0.15">
      <c r="A607" s="6"/>
      <c r="B607" s="10"/>
      <c r="C607" s="10"/>
      <c r="D607" s="10"/>
      <c r="E607" s="10"/>
      <c r="F607" s="10"/>
      <c r="G607" s="10"/>
      <c r="H607" s="1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4" x14ac:dyDescent="0.15">
      <c r="A608" s="6"/>
      <c r="B608" s="10"/>
      <c r="C608" s="10"/>
      <c r="D608" s="10"/>
      <c r="E608" s="10"/>
      <c r="F608" s="10"/>
      <c r="G608" s="10"/>
      <c r="H608" s="1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4" x14ac:dyDescent="0.15">
      <c r="A609" s="6"/>
      <c r="B609" s="10"/>
      <c r="C609" s="10"/>
      <c r="D609" s="10"/>
      <c r="E609" s="10"/>
      <c r="F609" s="10"/>
      <c r="G609" s="10"/>
      <c r="H609" s="1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4" x14ac:dyDescent="0.15">
      <c r="A610" s="6"/>
      <c r="B610" s="10"/>
      <c r="C610" s="10"/>
      <c r="D610" s="10"/>
      <c r="E610" s="10"/>
      <c r="F610" s="10"/>
      <c r="G610" s="10"/>
      <c r="H610" s="1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4" x14ac:dyDescent="0.15">
      <c r="A611" s="6"/>
      <c r="B611" s="10"/>
      <c r="C611" s="10"/>
      <c r="D611" s="10"/>
      <c r="E611" s="10"/>
      <c r="F611" s="10"/>
      <c r="G611" s="10"/>
      <c r="H611" s="1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4" x14ac:dyDescent="0.15">
      <c r="A612" s="6"/>
      <c r="B612" s="10"/>
      <c r="C612" s="10"/>
      <c r="D612" s="10"/>
      <c r="E612" s="10"/>
      <c r="F612" s="10"/>
      <c r="G612" s="10"/>
      <c r="H612" s="1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4" x14ac:dyDescent="0.15">
      <c r="A613" s="6"/>
      <c r="B613" s="10"/>
      <c r="C613" s="10"/>
      <c r="D613" s="10"/>
      <c r="E613" s="10"/>
      <c r="F613" s="10"/>
      <c r="G613" s="10"/>
      <c r="H613" s="1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4" x14ac:dyDescent="0.15">
      <c r="A614" s="6"/>
      <c r="B614" s="10"/>
      <c r="C614" s="10"/>
      <c r="D614" s="10"/>
      <c r="E614" s="10"/>
      <c r="F614" s="10"/>
      <c r="G614" s="10"/>
      <c r="H614" s="1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4" x14ac:dyDescent="0.15">
      <c r="A615" s="6"/>
      <c r="B615" s="10"/>
      <c r="C615" s="10"/>
      <c r="D615" s="10"/>
      <c r="E615" s="10"/>
      <c r="F615" s="10"/>
      <c r="G615" s="10"/>
      <c r="H615" s="1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4" x14ac:dyDescent="0.15">
      <c r="A616" s="6"/>
      <c r="B616" s="10"/>
      <c r="C616" s="10"/>
      <c r="D616" s="10"/>
      <c r="E616" s="10"/>
      <c r="F616" s="10"/>
      <c r="G616" s="10"/>
      <c r="H616" s="1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4" x14ac:dyDescent="0.15">
      <c r="A617" s="6"/>
      <c r="B617" s="10"/>
      <c r="C617" s="10"/>
      <c r="D617" s="10"/>
      <c r="E617" s="10"/>
      <c r="F617" s="10"/>
      <c r="G617" s="10"/>
      <c r="H617" s="1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4" x14ac:dyDescent="0.15">
      <c r="A618" s="6"/>
      <c r="B618" s="10"/>
      <c r="C618" s="10"/>
      <c r="D618" s="10"/>
      <c r="E618" s="10"/>
      <c r="F618" s="10"/>
      <c r="G618" s="10"/>
      <c r="H618" s="1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4" x14ac:dyDescent="0.15">
      <c r="A619" s="6"/>
      <c r="B619" s="10"/>
      <c r="C619" s="10"/>
      <c r="D619" s="10"/>
      <c r="E619" s="10"/>
      <c r="F619" s="10"/>
      <c r="G619" s="10"/>
      <c r="H619" s="1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4" x14ac:dyDescent="0.15">
      <c r="A620" s="6"/>
      <c r="B620" s="10"/>
      <c r="C620" s="10"/>
      <c r="D620" s="10"/>
      <c r="E620" s="10"/>
      <c r="F620" s="10"/>
      <c r="G620" s="10"/>
      <c r="H620" s="1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4" x14ac:dyDescent="0.15">
      <c r="A621" s="6"/>
      <c r="B621" s="10"/>
      <c r="C621" s="10"/>
      <c r="D621" s="10"/>
      <c r="E621" s="10"/>
      <c r="F621" s="10"/>
      <c r="G621" s="10"/>
      <c r="H621" s="1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4" x14ac:dyDescent="0.15">
      <c r="A622" s="6"/>
      <c r="B622" s="10"/>
      <c r="C622" s="10"/>
      <c r="D622" s="10"/>
      <c r="E622" s="10"/>
      <c r="F622" s="10"/>
      <c r="G622" s="10"/>
      <c r="H622" s="1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4" x14ac:dyDescent="0.15">
      <c r="A623" s="6"/>
      <c r="B623" s="10"/>
      <c r="C623" s="10"/>
      <c r="D623" s="10"/>
      <c r="E623" s="10"/>
      <c r="F623" s="10"/>
      <c r="G623" s="10"/>
      <c r="H623" s="1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4" x14ac:dyDescent="0.15">
      <c r="A624" s="6"/>
      <c r="B624" s="10"/>
      <c r="C624" s="10"/>
      <c r="D624" s="10"/>
      <c r="E624" s="10"/>
      <c r="F624" s="10"/>
      <c r="G624" s="10"/>
      <c r="H624" s="1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4" x14ac:dyDescent="0.15">
      <c r="A625" s="6"/>
      <c r="B625" s="10"/>
      <c r="C625" s="10"/>
      <c r="D625" s="10"/>
      <c r="E625" s="10"/>
      <c r="F625" s="10"/>
      <c r="G625" s="10"/>
      <c r="H625" s="1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4" x14ac:dyDescent="0.15">
      <c r="A626" s="6"/>
      <c r="B626" s="10"/>
      <c r="C626" s="10"/>
      <c r="D626" s="10"/>
      <c r="E626" s="10"/>
      <c r="F626" s="10"/>
      <c r="G626" s="10"/>
      <c r="H626" s="1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4" x14ac:dyDescent="0.15">
      <c r="A627" s="6"/>
      <c r="B627" s="10"/>
      <c r="C627" s="10"/>
      <c r="D627" s="10"/>
      <c r="E627" s="10"/>
      <c r="F627" s="10"/>
      <c r="G627" s="10"/>
      <c r="H627" s="1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4" x14ac:dyDescent="0.15">
      <c r="A628" s="6"/>
      <c r="B628" s="10"/>
      <c r="C628" s="10"/>
      <c r="D628" s="10"/>
      <c r="E628" s="10"/>
      <c r="F628" s="10"/>
      <c r="G628" s="10"/>
      <c r="H628" s="1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4" x14ac:dyDescent="0.15">
      <c r="A629" s="6"/>
      <c r="B629" s="10"/>
      <c r="C629" s="10"/>
      <c r="D629" s="10"/>
      <c r="E629" s="10"/>
      <c r="F629" s="10"/>
      <c r="G629" s="10"/>
      <c r="H629" s="1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4" x14ac:dyDescent="0.15">
      <c r="A630" s="6"/>
      <c r="B630" s="10"/>
      <c r="C630" s="10"/>
      <c r="D630" s="10"/>
      <c r="E630" s="10"/>
      <c r="F630" s="10"/>
      <c r="G630" s="10"/>
      <c r="H630" s="1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4" x14ac:dyDescent="0.15">
      <c r="A631" s="6"/>
      <c r="B631" s="10"/>
      <c r="C631" s="10"/>
      <c r="D631" s="10"/>
      <c r="E631" s="10"/>
      <c r="F631" s="10"/>
      <c r="G631" s="10"/>
      <c r="H631" s="1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4" x14ac:dyDescent="0.15">
      <c r="A632" s="6"/>
      <c r="B632" s="10"/>
      <c r="C632" s="10"/>
      <c r="D632" s="10"/>
      <c r="E632" s="10"/>
      <c r="F632" s="10"/>
      <c r="G632" s="10"/>
      <c r="H632" s="1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4" x14ac:dyDescent="0.15">
      <c r="A633" s="6"/>
      <c r="B633" s="10"/>
      <c r="C633" s="10"/>
      <c r="D633" s="10"/>
      <c r="E633" s="10"/>
      <c r="F633" s="10"/>
      <c r="G633" s="10"/>
      <c r="H633" s="1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4" x14ac:dyDescent="0.15">
      <c r="A634" s="6"/>
      <c r="B634" s="10"/>
      <c r="C634" s="10"/>
      <c r="D634" s="10"/>
      <c r="E634" s="10"/>
      <c r="F634" s="10"/>
      <c r="G634" s="10"/>
      <c r="H634" s="1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4" x14ac:dyDescent="0.15">
      <c r="A635" s="6"/>
      <c r="B635" s="10"/>
      <c r="C635" s="10"/>
      <c r="D635" s="10"/>
      <c r="E635" s="10"/>
      <c r="F635" s="10"/>
      <c r="G635" s="10"/>
      <c r="H635" s="1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4" x14ac:dyDescent="0.15">
      <c r="A636" s="6"/>
      <c r="B636" s="10"/>
      <c r="C636" s="10"/>
      <c r="D636" s="10"/>
      <c r="E636" s="10"/>
      <c r="F636" s="10"/>
      <c r="G636" s="10"/>
      <c r="H636" s="1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4" x14ac:dyDescent="0.15">
      <c r="A637" s="6"/>
      <c r="B637" s="10"/>
      <c r="C637" s="10"/>
      <c r="D637" s="10"/>
      <c r="E637" s="10"/>
      <c r="F637" s="10"/>
      <c r="G637" s="10"/>
      <c r="H637" s="1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4" x14ac:dyDescent="0.15">
      <c r="A638" s="6"/>
      <c r="B638" s="10"/>
      <c r="C638" s="10"/>
      <c r="D638" s="10"/>
      <c r="E638" s="10"/>
      <c r="F638" s="10"/>
      <c r="G638" s="10"/>
      <c r="H638" s="1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4" x14ac:dyDescent="0.15">
      <c r="A639" s="6"/>
      <c r="B639" s="10"/>
      <c r="C639" s="10"/>
      <c r="D639" s="10"/>
      <c r="E639" s="10"/>
      <c r="F639" s="10"/>
      <c r="G639" s="10"/>
      <c r="H639" s="1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4" x14ac:dyDescent="0.15">
      <c r="A640" s="6"/>
      <c r="B640" s="10"/>
      <c r="C640" s="10"/>
      <c r="D640" s="10"/>
      <c r="E640" s="10"/>
      <c r="F640" s="10"/>
      <c r="G640" s="10"/>
      <c r="H640" s="1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4" x14ac:dyDescent="0.15">
      <c r="A641" s="6"/>
      <c r="B641" s="10"/>
      <c r="C641" s="10"/>
      <c r="D641" s="10"/>
      <c r="E641" s="10"/>
      <c r="F641" s="10"/>
      <c r="G641" s="10"/>
      <c r="H641" s="1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4" x14ac:dyDescent="0.15">
      <c r="A642" s="6"/>
      <c r="B642" s="10"/>
      <c r="C642" s="10"/>
      <c r="D642" s="10"/>
      <c r="E642" s="10"/>
      <c r="F642" s="10"/>
      <c r="G642" s="10"/>
      <c r="H642" s="1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4" x14ac:dyDescent="0.15">
      <c r="A643" s="6"/>
      <c r="B643" s="10"/>
      <c r="C643" s="10"/>
      <c r="D643" s="10"/>
      <c r="E643" s="10"/>
      <c r="F643" s="10"/>
      <c r="G643" s="10"/>
      <c r="H643" s="1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4" x14ac:dyDescent="0.15">
      <c r="A644" s="6"/>
      <c r="B644" s="10"/>
      <c r="C644" s="10"/>
      <c r="D644" s="10"/>
      <c r="E644" s="10"/>
      <c r="F644" s="10"/>
      <c r="G644" s="10"/>
      <c r="H644" s="1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4" x14ac:dyDescent="0.15">
      <c r="A645" s="6"/>
      <c r="B645" s="10"/>
      <c r="C645" s="10"/>
      <c r="D645" s="10"/>
      <c r="E645" s="10"/>
      <c r="F645" s="10"/>
      <c r="G645" s="10"/>
      <c r="H645" s="1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4" x14ac:dyDescent="0.15">
      <c r="A646" s="6"/>
      <c r="B646" s="10"/>
      <c r="C646" s="10"/>
      <c r="D646" s="10"/>
      <c r="E646" s="10"/>
      <c r="F646" s="10"/>
      <c r="G646" s="10"/>
      <c r="H646" s="1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4" x14ac:dyDescent="0.15">
      <c r="A647" s="6"/>
      <c r="B647" s="10"/>
      <c r="C647" s="10"/>
      <c r="D647" s="10"/>
      <c r="E647" s="10"/>
      <c r="F647" s="10"/>
      <c r="G647" s="10"/>
      <c r="H647" s="1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4" x14ac:dyDescent="0.15">
      <c r="A648" s="6"/>
      <c r="B648" s="10"/>
      <c r="C648" s="10"/>
      <c r="D648" s="10"/>
      <c r="E648" s="10"/>
      <c r="F648" s="10"/>
      <c r="G648" s="10"/>
      <c r="H648" s="1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4" x14ac:dyDescent="0.15">
      <c r="A649" s="6"/>
      <c r="B649" s="10"/>
      <c r="C649" s="10"/>
      <c r="D649" s="10"/>
      <c r="E649" s="10"/>
      <c r="F649" s="10"/>
      <c r="G649" s="10"/>
      <c r="H649" s="1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4" x14ac:dyDescent="0.15">
      <c r="A650" s="6"/>
      <c r="B650" s="10"/>
      <c r="C650" s="10"/>
      <c r="D650" s="10"/>
      <c r="E650" s="10"/>
      <c r="F650" s="10"/>
      <c r="G650" s="10"/>
      <c r="H650" s="1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4" x14ac:dyDescent="0.15">
      <c r="A651" s="6"/>
      <c r="B651" s="10"/>
      <c r="C651" s="10"/>
      <c r="D651" s="10"/>
      <c r="E651" s="10"/>
      <c r="F651" s="10"/>
      <c r="G651" s="10"/>
      <c r="H651" s="1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4" x14ac:dyDescent="0.15">
      <c r="A652" s="6"/>
      <c r="B652" s="10"/>
      <c r="C652" s="10"/>
      <c r="D652" s="10"/>
      <c r="E652" s="10"/>
      <c r="F652" s="10"/>
      <c r="G652" s="10"/>
      <c r="H652" s="1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4" x14ac:dyDescent="0.15">
      <c r="A653" s="6"/>
      <c r="B653" s="10"/>
      <c r="C653" s="10"/>
      <c r="D653" s="10"/>
      <c r="E653" s="10"/>
      <c r="F653" s="10"/>
      <c r="G653" s="10"/>
      <c r="H653" s="1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4" x14ac:dyDescent="0.15">
      <c r="A654" s="6"/>
      <c r="B654" s="10"/>
      <c r="C654" s="10"/>
      <c r="D654" s="10"/>
      <c r="E654" s="10"/>
      <c r="F654" s="10"/>
      <c r="G654" s="10"/>
      <c r="H654" s="1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4" x14ac:dyDescent="0.15">
      <c r="A655" s="6"/>
      <c r="B655" s="10"/>
      <c r="C655" s="10"/>
      <c r="D655" s="10"/>
      <c r="E655" s="10"/>
      <c r="F655" s="10"/>
      <c r="G655" s="10"/>
      <c r="H655" s="1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4" x14ac:dyDescent="0.15">
      <c r="A656" s="6"/>
      <c r="B656" s="10"/>
      <c r="C656" s="10"/>
      <c r="D656" s="10"/>
      <c r="E656" s="10"/>
      <c r="F656" s="10"/>
      <c r="G656" s="10"/>
      <c r="H656" s="1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4" x14ac:dyDescent="0.15">
      <c r="A657" s="6"/>
      <c r="B657" s="10"/>
      <c r="C657" s="10"/>
      <c r="D657" s="10"/>
      <c r="E657" s="10"/>
      <c r="F657" s="10"/>
      <c r="G657" s="10"/>
      <c r="H657" s="1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4" x14ac:dyDescent="0.15">
      <c r="A658" s="6"/>
      <c r="B658" s="10"/>
      <c r="C658" s="10"/>
      <c r="D658" s="10"/>
      <c r="E658" s="10"/>
      <c r="F658" s="10"/>
      <c r="G658" s="10"/>
      <c r="H658" s="1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4" x14ac:dyDescent="0.15">
      <c r="A659" s="6"/>
      <c r="B659" s="10"/>
      <c r="C659" s="10"/>
      <c r="D659" s="10"/>
      <c r="E659" s="10"/>
      <c r="F659" s="10"/>
      <c r="G659" s="10"/>
      <c r="H659" s="1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4" x14ac:dyDescent="0.15">
      <c r="A660" s="6"/>
      <c r="B660" s="10"/>
      <c r="C660" s="10"/>
      <c r="D660" s="10"/>
      <c r="E660" s="10"/>
      <c r="F660" s="10"/>
      <c r="G660" s="10"/>
      <c r="H660" s="1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4" x14ac:dyDescent="0.15">
      <c r="A661" s="6"/>
      <c r="B661" s="10"/>
      <c r="C661" s="10"/>
      <c r="D661" s="10"/>
      <c r="E661" s="10"/>
      <c r="F661" s="10"/>
      <c r="G661" s="10"/>
      <c r="H661" s="1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4" x14ac:dyDescent="0.15">
      <c r="A662" s="6"/>
      <c r="B662" s="10"/>
      <c r="C662" s="10"/>
      <c r="D662" s="10"/>
      <c r="E662" s="10"/>
      <c r="F662" s="10"/>
      <c r="G662" s="10"/>
      <c r="H662" s="1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4" x14ac:dyDescent="0.15">
      <c r="A663" s="6"/>
      <c r="B663" s="10"/>
      <c r="C663" s="10"/>
      <c r="D663" s="10"/>
      <c r="E663" s="10"/>
      <c r="F663" s="10"/>
      <c r="G663" s="10"/>
      <c r="H663" s="1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4" x14ac:dyDescent="0.15">
      <c r="A664" s="6"/>
      <c r="B664" s="10"/>
      <c r="C664" s="10"/>
      <c r="D664" s="10"/>
      <c r="E664" s="10"/>
      <c r="F664" s="10"/>
      <c r="G664" s="10"/>
      <c r="H664" s="1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4" x14ac:dyDescent="0.15">
      <c r="A665" s="6"/>
      <c r="B665" s="10"/>
      <c r="C665" s="10"/>
      <c r="D665" s="10"/>
      <c r="E665" s="10"/>
      <c r="F665" s="10"/>
      <c r="G665" s="10"/>
      <c r="H665" s="1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4" x14ac:dyDescent="0.15">
      <c r="A666" s="6"/>
      <c r="B666" s="10"/>
      <c r="C666" s="10"/>
      <c r="D666" s="10"/>
      <c r="E666" s="10"/>
      <c r="F666" s="10"/>
      <c r="G666" s="10"/>
      <c r="H666" s="1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4" x14ac:dyDescent="0.15">
      <c r="A667" s="6"/>
      <c r="B667" s="10"/>
      <c r="C667" s="10"/>
      <c r="D667" s="10"/>
      <c r="E667" s="10"/>
      <c r="F667" s="10"/>
      <c r="G667" s="10"/>
      <c r="H667" s="1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4" x14ac:dyDescent="0.15">
      <c r="A668" s="6"/>
      <c r="B668" s="10"/>
      <c r="C668" s="10"/>
      <c r="D668" s="10"/>
      <c r="E668" s="10"/>
      <c r="F668" s="10"/>
      <c r="G668" s="10"/>
      <c r="H668" s="1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4" x14ac:dyDescent="0.15">
      <c r="A669" s="6"/>
      <c r="B669" s="10"/>
      <c r="C669" s="10"/>
      <c r="D669" s="10"/>
      <c r="E669" s="10"/>
      <c r="F669" s="10"/>
      <c r="G669" s="10"/>
      <c r="H669" s="1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4" x14ac:dyDescent="0.15">
      <c r="A670" s="6"/>
      <c r="B670" s="10"/>
      <c r="C670" s="10"/>
      <c r="D670" s="10"/>
      <c r="E670" s="10"/>
      <c r="F670" s="10"/>
      <c r="G670" s="10"/>
      <c r="H670" s="1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4" x14ac:dyDescent="0.15">
      <c r="A671" s="6"/>
      <c r="B671" s="10"/>
      <c r="C671" s="10"/>
      <c r="D671" s="10"/>
      <c r="E671" s="10"/>
      <c r="F671" s="10"/>
      <c r="G671" s="10"/>
      <c r="H671" s="1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4" x14ac:dyDescent="0.15">
      <c r="A672" s="6"/>
      <c r="B672" s="10"/>
      <c r="C672" s="10"/>
      <c r="D672" s="10"/>
      <c r="E672" s="10"/>
      <c r="F672" s="10"/>
      <c r="G672" s="10"/>
      <c r="H672" s="1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4" x14ac:dyDescent="0.15">
      <c r="A673" s="6"/>
      <c r="B673" s="10"/>
      <c r="C673" s="10"/>
      <c r="D673" s="10"/>
      <c r="E673" s="10"/>
      <c r="F673" s="10"/>
      <c r="G673" s="10"/>
      <c r="H673" s="1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4" x14ac:dyDescent="0.15">
      <c r="A674" s="6"/>
      <c r="B674" s="10"/>
      <c r="C674" s="10"/>
      <c r="D674" s="10"/>
      <c r="E674" s="10"/>
      <c r="F674" s="10"/>
      <c r="G674" s="10"/>
      <c r="H674" s="1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4" x14ac:dyDescent="0.15">
      <c r="A675" s="6"/>
      <c r="B675" s="10"/>
      <c r="C675" s="10"/>
      <c r="D675" s="10"/>
      <c r="E675" s="10"/>
      <c r="F675" s="10"/>
      <c r="G675" s="10"/>
      <c r="H675" s="1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4" x14ac:dyDescent="0.15">
      <c r="A676" s="6"/>
      <c r="B676" s="10"/>
      <c r="C676" s="10"/>
      <c r="D676" s="10"/>
      <c r="E676" s="10"/>
      <c r="F676" s="10"/>
      <c r="G676" s="10"/>
      <c r="H676" s="1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4" x14ac:dyDescent="0.15">
      <c r="A677" s="6"/>
      <c r="B677" s="10"/>
      <c r="C677" s="10"/>
      <c r="D677" s="10"/>
      <c r="E677" s="10"/>
      <c r="F677" s="10"/>
      <c r="G677" s="10"/>
      <c r="H677" s="1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4" x14ac:dyDescent="0.15">
      <c r="A678" s="6"/>
      <c r="B678" s="10"/>
      <c r="C678" s="10"/>
      <c r="D678" s="10"/>
      <c r="E678" s="10"/>
      <c r="F678" s="10"/>
      <c r="G678" s="10"/>
      <c r="H678" s="1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4" x14ac:dyDescent="0.15">
      <c r="A679" s="6"/>
      <c r="B679" s="10"/>
      <c r="C679" s="10"/>
      <c r="D679" s="10"/>
      <c r="E679" s="10"/>
      <c r="F679" s="10"/>
      <c r="G679" s="10"/>
      <c r="H679" s="1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4" x14ac:dyDescent="0.15">
      <c r="A680" s="6"/>
      <c r="B680" s="10"/>
      <c r="C680" s="10"/>
      <c r="D680" s="10"/>
      <c r="E680" s="10"/>
      <c r="F680" s="10"/>
      <c r="G680" s="10"/>
      <c r="H680" s="1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4" x14ac:dyDescent="0.15">
      <c r="A681" s="6"/>
      <c r="B681" s="10"/>
      <c r="C681" s="10"/>
      <c r="D681" s="10"/>
      <c r="E681" s="10"/>
      <c r="F681" s="10"/>
      <c r="G681" s="10"/>
      <c r="H681" s="1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4" x14ac:dyDescent="0.15">
      <c r="A682" s="6"/>
      <c r="B682" s="10"/>
      <c r="C682" s="10"/>
      <c r="D682" s="10"/>
      <c r="E682" s="10"/>
      <c r="F682" s="10"/>
      <c r="G682" s="10"/>
      <c r="H682" s="1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4" x14ac:dyDescent="0.15">
      <c r="A683" s="6"/>
      <c r="B683" s="10"/>
      <c r="C683" s="10"/>
      <c r="D683" s="10"/>
      <c r="E683" s="10"/>
      <c r="F683" s="10"/>
      <c r="G683" s="10"/>
      <c r="H683" s="1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4" x14ac:dyDescent="0.15">
      <c r="A684" s="6"/>
      <c r="B684" s="10"/>
      <c r="C684" s="10"/>
      <c r="D684" s="10"/>
      <c r="E684" s="10"/>
      <c r="F684" s="10"/>
      <c r="G684" s="10"/>
      <c r="H684" s="1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4" x14ac:dyDescent="0.15">
      <c r="A685" s="6"/>
      <c r="B685" s="10"/>
      <c r="C685" s="10"/>
      <c r="D685" s="10"/>
      <c r="E685" s="10"/>
      <c r="F685" s="10"/>
      <c r="G685" s="10"/>
      <c r="H685" s="1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4" x14ac:dyDescent="0.15">
      <c r="A686" s="6"/>
      <c r="B686" s="10"/>
      <c r="C686" s="10"/>
      <c r="D686" s="10"/>
      <c r="E686" s="10"/>
      <c r="F686" s="10"/>
      <c r="G686" s="10"/>
      <c r="H686" s="1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4" x14ac:dyDescent="0.15">
      <c r="A687" s="6"/>
      <c r="B687" s="10"/>
      <c r="C687" s="10"/>
      <c r="D687" s="10"/>
      <c r="E687" s="10"/>
      <c r="F687" s="10"/>
      <c r="G687" s="10"/>
      <c r="H687" s="1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4" x14ac:dyDescent="0.15">
      <c r="A688" s="6"/>
      <c r="B688" s="10"/>
      <c r="C688" s="10"/>
      <c r="D688" s="10"/>
      <c r="E688" s="10"/>
      <c r="F688" s="10"/>
      <c r="G688" s="10"/>
      <c r="H688" s="1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4" x14ac:dyDescent="0.15">
      <c r="A689" s="6"/>
      <c r="B689" s="10"/>
      <c r="C689" s="10"/>
      <c r="D689" s="10"/>
      <c r="E689" s="10"/>
      <c r="F689" s="10"/>
      <c r="G689" s="10"/>
      <c r="H689" s="1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4" x14ac:dyDescent="0.15">
      <c r="A690" s="6"/>
      <c r="B690" s="10"/>
      <c r="C690" s="10"/>
      <c r="D690" s="10"/>
      <c r="E690" s="10"/>
      <c r="F690" s="10"/>
      <c r="G690" s="10"/>
      <c r="H690" s="1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4" x14ac:dyDescent="0.15">
      <c r="A691" s="6"/>
      <c r="B691" s="10"/>
      <c r="C691" s="10"/>
      <c r="D691" s="10"/>
      <c r="E691" s="10"/>
      <c r="F691" s="10"/>
      <c r="G691" s="10"/>
      <c r="H691" s="1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4" x14ac:dyDescent="0.15">
      <c r="A692" s="6"/>
      <c r="B692" s="10"/>
      <c r="C692" s="10"/>
      <c r="D692" s="10"/>
      <c r="E692" s="10"/>
      <c r="F692" s="10"/>
      <c r="G692" s="10"/>
      <c r="H692" s="1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4" x14ac:dyDescent="0.15">
      <c r="A693" s="6"/>
      <c r="B693" s="10"/>
      <c r="C693" s="10"/>
      <c r="D693" s="10"/>
      <c r="E693" s="10"/>
      <c r="F693" s="10"/>
      <c r="G693" s="10"/>
      <c r="H693" s="1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4" x14ac:dyDescent="0.15">
      <c r="A694" s="6"/>
      <c r="B694" s="10"/>
      <c r="C694" s="10"/>
      <c r="D694" s="10"/>
      <c r="E694" s="10"/>
      <c r="F694" s="10"/>
      <c r="G694" s="10"/>
      <c r="H694" s="1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4" x14ac:dyDescent="0.15">
      <c r="A695" s="6"/>
      <c r="B695" s="10"/>
      <c r="C695" s="10"/>
      <c r="D695" s="10"/>
      <c r="E695" s="10"/>
      <c r="F695" s="10"/>
      <c r="G695" s="10"/>
      <c r="H695" s="1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4" x14ac:dyDescent="0.15">
      <c r="A696" s="6"/>
      <c r="B696" s="10"/>
      <c r="C696" s="10"/>
      <c r="D696" s="10"/>
      <c r="E696" s="10"/>
      <c r="F696" s="10"/>
      <c r="G696" s="10"/>
      <c r="H696" s="1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4" x14ac:dyDescent="0.15">
      <c r="A697" s="6"/>
      <c r="B697" s="10"/>
      <c r="C697" s="10"/>
      <c r="D697" s="10"/>
      <c r="E697" s="10"/>
      <c r="F697" s="10"/>
      <c r="G697" s="10"/>
      <c r="H697" s="1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4" x14ac:dyDescent="0.15">
      <c r="A698" s="6"/>
      <c r="B698" s="10"/>
      <c r="C698" s="10"/>
      <c r="D698" s="10"/>
      <c r="E698" s="10"/>
      <c r="F698" s="10"/>
      <c r="G698" s="10"/>
      <c r="H698" s="1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4" x14ac:dyDescent="0.15">
      <c r="A699" s="6"/>
      <c r="B699" s="10"/>
      <c r="C699" s="10"/>
      <c r="D699" s="10"/>
      <c r="E699" s="10"/>
      <c r="F699" s="10"/>
      <c r="G699" s="10"/>
      <c r="H699" s="1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4" x14ac:dyDescent="0.15">
      <c r="A700" s="6"/>
      <c r="B700" s="10"/>
      <c r="C700" s="10"/>
      <c r="D700" s="10"/>
      <c r="E700" s="10"/>
      <c r="F700" s="10"/>
      <c r="G700" s="10"/>
      <c r="H700" s="1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4" x14ac:dyDescent="0.15">
      <c r="A701" s="6"/>
      <c r="B701" s="10"/>
      <c r="C701" s="10"/>
      <c r="D701" s="10"/>
      <c r="E701" s="10"/>
      <c r="F701" s="10"/>
      <c r="G701" s="10"/>
      <c r="H701" s="1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4" x14ac:dyDescent="0.15">
      <c r="A702" s="6"/>
      <c r="B702" s="10"/>
      <c r="C702" s="10"/>
      <c r="D702" s="10"/>
      <c r="E702" s="10"/>
      <c r="F702" s="10"/>
      <c r="G702" s="10"/>
      <c r="H702" s="1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4" x14ac:dyDescent="0.15">
      <c r="A703" s="6"/>
      <c r="B703" s="10"/>
      <c r="C703" s="10"/>
      <c r="D703" s="10"/>
      <c r="E703" s="10"/>
      <c r="F703" s="10"/>
      <c r="G703" s="10"/>
      <c r="H703" s="1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4" x14ac:dyDescent="0.15">
      <c r="A704" s="6"/>
      <c r="B704" s="10"/>
      <c r="C704" s="10"/>
      <c r="D704" s="10"/>
      <c r="E704" s="10"/>
      <c r="F704" s="10"/>
      <c r="G704" s="10"/>
      <c r="H704" s="1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4" x14ac:dyDescent="0.15">
      <c r="A705" s="6"/>
      <c r="B705" s="10"/>
      <c r="C705" s="10"/>
      <c r="D705" s="10"/>
      <c r="E705" s="10"/>
      <c r="F705" s="10"/>
      <c r="G705" s="10"/>
      <c r="H705" s="1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4" x14ac:dyDescent="0.15">
      <c r="A706" s="6"/>
      <c r="B706" s="10"/>
      <c r="C706" s="10"/>
      <c r="D706" s="10"/>
      <c r="E706" s="10"/>
      <c r="F706" s="10"/>
      <c r="G706" s="10"/>
      <c r="H706" s="1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4" x14ac:dyDescent="0.15">
      <c r="A707" s="6"/>
      <c r="B707" s="10"/>
      <c r="C707" s="10"/>
      <c r="D707" s="10"/>
      <c r="E707" s="10"/>
      <c r="F707" s="10"/>
      <c r="G707" s="10"/>
      <c r="H707" s="1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4" x14ac:dyDescent="0.15">
      <c r="A708" s="6"/>
      <c r="B708" s="10"/>
      <c r="C708" s="10"/>
      <c r="D708" s="10"/>
      <c r="E708" s="10"/>
      <c r="F708" s="10"/>
      <c r="G708" s="10"/>
      <c r="H708" s="1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4" x14ac:dyDescent="0.15">
      <c r="A709" s="6"/>
      <c r="B709" s="10"/>
      <c r="C709" s="10"/>
      <c r="D709" s="10"/>
      <c r="E709" s="10"/>
      <c r="F709" s="10"/>
      <c r="G709" s="10"/>
      <c r="H709" s="1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4" x14ac:dyDescent="0.15">
      <c r="A710" s="6"/>
      <c r="B710" s="10"/>
      <c r="C710" s="10"/>
      <c r="D710" s="10"/>
      <c r="E710" s="10"/>
      <c r="F710" s="10"/>
      <c r="G710" s="10"/>
      <c r="H710" s="1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4" x14ac:dyDescent="0.15">
      <c r="A711" s="6"/>
      <c r="B711" s="10"/>
      <c r="C711" s="10"/>
      <c r="D711" s="10"/>
      <c r="E711" s="10"/>
      <c r="F711" s="10"/>
      <c r="G711" s="10"/>
      <c r="H711" s="1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4" x14ac:dyDescent="0.15">
      <c r="A712" s="6"/>
      <c r="B712" s="10"/>
      <c r="C712" s="10"/>
      <c r="D712" s="10"/>
      <c r="E712" s="10"/>
      <c r="F712" s="10"/>
      <c r="G712" s="10"/>
      <c r="H712" s="1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4" x14ac:dyDescent="0.15">
      <c r="A713" s="6"/>
      <c r="B713" s="10"/>
      <c r="C713" s="10"/>
      <c r="D713" s="10"/>
      <c r="E713" s="10"/>
      <c r="F713" s="10"/>
      <c r="G713" s="10"/>
      <c r="H713" s="1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4" x14ac:dyDescent="0.15">
      <c r="A714" s="6"/>
      <c r="B714" s="10"/>
      <c r="C714" s="10"/>
      <c r="D714" s="10"/>
      <c r="E714" s="10"/>
      <c r="F714" s="10"/>
      <c r="G714" s="10"/>
      <c r="H714" s="1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4" x14ac:dyDescent="0.15">
      <c r="A715" s="6"/>
      <c r="B715" s="10"/>
      <c r="C715" s="10"/>
      <c r="D715" s="10"/>
      <c r="E715" s="10"/>
      <c r="F715" s="10"/>
      <c r="G715" s="10"/>
      <c r="H715" s="1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4" x14ac:dyDescent="0.15">
      <c r="A716" s="6"/>
      <c r="B716" s="10"/>
      <c r="C716" s="10"/>
      <c r="D716" s="10"/>
      <c r="E716" s="10"/>
      <c r="F716" s="10"/>
      <c r="G716" s="10"/>
      <c r="H716" s="1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4" x14ac:dyDescent="0.15">
      <c r="A717" s="6"/>
      <c r="B717" s="10"/>
      <c r="C717" s="10"/>
      <c r="D717" s="10"/>
      <c r="E717" s="10"/>
      <c r="F717" s="10"/>
      <c r="G717" s="10"/>
      <c r="H717" s="1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4" x14ac:dyDescent="0.15">
      <c r="A718" s="6"/>
      <c r="B718" s="10"/>
      <c r="C718" s="10"/>
      <c r="D718" s="10"/>
      <c r="E718" s="10"/>
      <c r="F718" s="10"/>
      <c r="G718" s="10"/>
      <c r="H718" s="1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4" x14ac:dyDescent="0.15">
      <c r="A719" s="6"/>
      <c r="B719" s="10"/>
      <c r="C719" s="10"/>
      <c r="D719" s="10"/>
      <c r="E719" s="10"/>
      <c r="F719" s="10"/>
      <c r="G719" s="10"/>
      <c r="H719" s="1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4" x14ac:dyDescent="0.15">
      <c r="A720" s="6"/>
      <c r="B720" s="10"/>
      <c r="C720" s="10"/>
      <c r="D720" s="10"/>
      <c r="E720" s="10"/>
      <c r="F720" s="10"/>
      <c r="G720" s="10"/>
      <c r="H720" s="1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4" x14ac:dyDescent="0.15">
      <c r="A721" s="6"/>
      <c r="B721" s="10"/>
      <c r="C721" s="10"/>
      <c r="D721" s="10"/>
      <c r="E721" s="10"/>
      <c r="F721" s="10"/>
      <c r="G721" s="10"/>
      <c r="H721" s="1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4" x14ac:dyDescent="0.15">
      <c r="A722" s="6"/>
      <c r="B722" s="10"/>
      <c r="C722" s="10"/>
      <c r="D722" s="10"/>
      <c r="E722" s="10"/>
      <c r="F722" s="10"/>
      <c r="G722" s="10"/>
      <c r="H722" s="1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4" x14ac:dyDescent="0.15">
      <c r="A723" s="6"/>
      <c r="B723" s="10"/>
      <c r="C723" s="10"/>
      <c r="D723" s="10"/>
      <c r="E723" s="10"/>
      <c r="F723" s="10"/>
      <c r="G723" s="10"/>
      <c r="H723" s="1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4" x14ac:dyDescent="0.15">
      <c r="A724" s="6"/>
      <c r="B724" s="10"/>
      <c r="C724" s="10"/>
      <c r="D724" s="10"/>
      <c r="E724" s="10"/>
      <c r="F724" s="10"/>
      <c r="G724" s="10"/>
      <c r="H724" s="1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4" x14ac:dyDescent="0.15">
      <c r="A725" s="6"/>
      <c r="B725" s="10"/>
      <c r="C725" s="10"/>
      <c r="D725" s="10"/>
      <c r="E725" s="10"/>
      <c r="F725" s="10"/>
      <c r="G725" s="10"/>
      <c r="H725" s="1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4" x14ac:dyDescent="0.15">
      <c r="A726" s="6"/>
      <c r="B726" s="10"/>
      <c r="C726" s="10"/>
      <c r="D726" s="10"/>
      <c r="E726" s="10"/>
      <c r="F726" s="10"/>
      <c r="G726" s="10"/>
      <c r="H726" s="1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4" x14ac:dyDescent="0.15">
      <c r="A727" s="6"/>
      <c r="B727" s="10"/>
      <c r="C727" s="10"/>
      <c r="D727" s="10"/>
      <c r="E727" s="10"/>
      <c r="F727" s="10"/>
      <c r="G727" s="10"/>
      <c r="H727" s="1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4" x14ac:dyDescent="0.15">
      <c r="A728" s="6"/>
      <c r="B728" s="10"/>
      <c r="C728" s="10"/>
      <c r="D728" s="10"/>
      <c r="E728" s="10"/>
      <c r="F728" s="10"/>
      <c r="G728" s="10"/>
      <c r="H728" s="1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4" x14ac:dyDescent="0.15">
      <c r="A729" s="6"/>
      <c r="B729" s="10"/>
      <c r="C729" s="10"/>
      <c r="D729" s="10"/>
      <c r="E729" s="10"/>
      <c r="F729" s="10"/>
      <c r="G729" s="10"/>
      <c r="H729" s="1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4" x14ac:dyDescent="0.15">
      <c r="A730" s="6"/>
      <c r="B730" s="10"/>
      <c r="C730" s="10"/>
      <c r="D730" s="10"/>
      <c r="E730" s="10"/>
      <c r="F730" s="10"/>
      <c r="G730" s="10"/>
      <c r="H730" s="1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4" x14ac:dyDescent="0.15">
      <c r="A731" s="6"/>
      <c r="B731" s="10"/>
      <c r="C731" s="10"/>
      <c r="D731" s="10"/>
      <c r="E731" s="10"/>
      <c r="F731" s="10"/>
      <c r="G731" s="10"/>
      <c r="H731" s="1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4" x14ac:dyDescent="0.15">
      <c r="A732" s="6"/>
      <c r="B732" s="10"/>
      <c r="C732" s="10"/>
      <c r="D732" s="10"/>
      <c r="E732" s="10"/>
      <c r="F732" s="10"/>
      <c r="G732" s="10"/>
      <c r="H732" s="1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4" x14ac:dyDescent="0.15">
      <c r="A733" s="6"/>
      <c r="B733" s="10"/>
      <c r="C733" s="10"/>
      <c r="D733" s="10"/>
      <c r="E733" s="10"/>
      <c r="F733" s="10"/>
      <c r="G733" s="10"/>
      <c r="H733" s="1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4" x14ac:dyDescent="0.15">
      <c r="A734" s="6"/>
      <c r="B734" s="10"/>
      <c r="C734" s="10"/>
      <c r="D734" s="10"/>
      <c r="E734" s="10"/>
      <c r="F734" s="10"/>
      <c r="G734" s="10"/>
      <c r="H734" s="1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4" x14ac:dyDescent="0.15">
      <c r="A735" s="6"/>
      <c r="B735" s="10"/>
      <c r="C735" s="10"/>
      <c r="D735" s="10"/>
      <c r="E735" s="10"/>
      <c r="F735" s="10"/>
      <c r="G735" s="10"/>
      <c r="H735" s="1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4" x14ac:dyDescent="0.15">
      <c r="A736" s="6"/>
      <c r="B736" s="10"/>
      <c r="C736" s="10"/>
      <c r="D736" s="10"/>
      <c r="E736" s="10"/>
      <c r="F736" s="10"/>
      <c r="G736" s="10"/>
      <c r="H736" s="1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4" x14ac:dyDescent="0.15">
      <c r="A737" s="6"/>
      <c r="B737" s="10"/>
      <c r="C737" s="10"/>
      <c r="D737" s="10"/>
      <c r="E737" s="10"/>
      <c r="F737" s="10"/>
      <c r="G737" s="10"/>
      <c r="H737" s="1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4" x14ac:dyDescent="0.15">
      <c r="A738" s="6"/>
      <c r="B738" s="10"/>
      <c r="C738" s="10"/>
      <c r="D738" s="10"/>
      <c r="E738" s="10"/>
      <c r="F738" s="10"/>
      <c r="G738" s="10"/>
      <c r="H738" s="1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4" x14ac:dyDescent="0.15">
      <c r="A739" s="6"/>
      <c r="B739" s="10"/>
      <c r="C739" s="10"/>
      <c r="D739" s="10"/>
      <c r="E739" s="10"/>
      <c r="F739" s="10"/>
      <c r="G739" s="10"/>
      <c r="H739" s="1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4" x14ac:dyDescent="0.15">
      <c r="A740" s="6"/>
      <c r="B740" s="10"/>
      <c r="C740" s="10"/>
      <c r="D740" s="10"/>
      <c r="E740" s="10"/>
      <c r="F740" s="10"/>
      <c r="G740" s="10"/>
      <c r="H740" s="1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4" x14ac:dyDescent="0.15">
      <c r="A741" s="6"/>
      <c r="B741" s="10"/>
      <c r="C741" s="10"/>
      <c r="D741" s="10"/>
      <c r="E741" s="10"/>
      <c r="F741" s="10"/>
      <c r="G741" s="10"/>
      <c r="H741" s="1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4" x14ac:dyDescent="0.15">
      <c r="A742" s="6"/>
      <c r="B742" s="10"/>
      <c r="C742" s="10"/>
      <c r="D742" s="10"/>
      <c r="E742" s="10"/>
      <c r="F742" s="10"/>
      <c r="G742" s="10"/>
      <c r="H742" s="1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4" x14ac:dyDescent="0.15">
      <c r="A743" s="6"/>
      <c r="B743" s="10"/>
      <c r="C743" s="10"/>
      <c r="D743" s="10"/>
      <c r="E743" s="10"/>
      <c r="F743" s="10"/>
      <c r="G743" s="10"/>
      <c r="H743" s="1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4" x14ac:dyDescent="0.15">
      <c r="A744" s="6"/>
      <c r="B744" s="10"/>
      <c r="C744" s="10"/>
      <c r="D744" s="10"/>
      <c r="E744" s="10"/>
      <c r="F744" s="10"/>
      <c r="G744" s="10"/>
      <c r="H744" s="1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4" x14ac:dyDescent="0.15">
      <c r="A745" s="6"/>
      <c r="B745" s="10"/>
      <c r="C745" s="10"/>
      <c r="D745" s="10"/>
      <c r="E745" s="10"/>
      <c r="F745" s="10"/>
      <c r="G745" s="10"/>
      <c r="H745" s="1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4" x14ac:dyDescent="0.15">
      <c r="A746" s="6"/>
      <c r="B746" s="10"/>
      <c r="C746" s="10"/>
      <c r="D746" s="10"/>
      <c r="E746" s="10"/>
      <c r="F746" s="10"/>
      <c r="G746" s="10"/>
      <c r="H746" s="1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4" x14ac:dyDescent="0.15">
      <c r="A747" s="6"/>
      <c r="B747" s="10"/>
      <c r="C747" s="10"/>
      <c r="D747" s="10"/>
      <c r="E747" s="10"/>
      <c r="F747" s="10"/>
      <c r="G747" s="10"/>
      <c r="H747" s="1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4" x14ac:dyDescent="0.15">
      <c r="A748" s="6"/>
      <c r="B748" s="10"/>
      <c r="C748" s="10"/>
      <c r="D748" s="10"/>
      <c r="E748" s="10"/>
      <c r="F748" s="10"/>
      <c r="G748" s="10"/>
      <c r="H748" s="1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4" x14ac:dyDescent="0.15">
      <c r="A749" s="6"/>
      <c r="B749" s="10"/>
      <c r="C749" s="10"/>
      <c r="D749" s="10"/>
      <c r="E749" s="10"/>
      <c r="F749" s="10"/>
      <c r="G749" s="10"/>
      <c r="H749" s="1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4" x14ac:dyDescent="0.15">
      <c r="A750" s="6"/>
      <c r="B750" s="10"/>
      <c r="C750" s="10"/>
      <c r="D750" s="10"/>
      <c r="E750" s="10"/>
      <c r="F750" s="10"/>
      <c r="G750" s="10"/>
      <c r="H750" s="1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4" x14ac:dyDescent="0.15">
      <c r="A751" s="6"/>
      <c r="B751" s="10"/>
      <c r="C751" s="10"/>
      <c r="D751" s="10"/>
      <c r="E751" s="10"/>
      <c r="F751" s="10"/>
      <c r="G751" s="10"/>
      <c r="H751" s="1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4" x14ac:dyDescent="0.15">
      <c r="A752" s="6"/>
      <c r="B752" s="10"/>
      <c r="C752" s="10"/>
      <c r="D752" s="10"/>
      <c r="E752" s="10"/>
      <c r="F752" s="10"/>
      <c r="G752" s="10"/>
      <c r="H752" s="1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4" x14ac:dyDescent="0.15">
      <c r="A753" s="6"/>
      <c r="B753" s="10"/>
      <c r="C753" s="10"/>
      <c r="D753" s="10"/>
      <c r="E753" s="10"/>
      <c r="F753" s="10"/>
      <c r="G753" s="10"/>
      <c r="H753" s="1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4" x14ac:dyDescent="0.15">
      <c r="A754" s="6"/>
      <c r="B754" s="10"/>
      <c r="C754" s="10"/>
      <c r="D754" s="10"/>
      <c r="E754" s="10"/>
      <c r="F754" s="10"/>
      <c r="G754" s="10"/>
      <c r="H754" s="1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4" x14ac:dyDescent="0.15">
      <c r="A755" s="6"/>
      <c r="B755" s="10"/>
      <c r="C755" s="10"/>
      <c r="D755" s="10"/>
      <c r="E755" s="10"/>
      <c r="F755" s="10"/>
      <c r="G755" s="10"/>
      <c r="H755" s="1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4" x14ac:dyDescent="0.15">
      <c r="A756" s="6"/>
      <c r="B756" s="10"/>
      <c r="C756" s="10"/>
      <c r="D756" s="10"/>
      <c r="E756" s="10"/>
      <c r="F756" s="10"/>
      <c r="G756" s="10"/>
      <c r="H756" s="1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4" x14ac:dyDescent="0.15">
      <c r="A757" s="6"/>
      <c r="B757" s="10"/>
      <c r="C757" s="10"/>
      <c r="D757" s="10"/>
      <c r="E757" s="10"/>
      <c r="F757" s="10"/>
      <c r="G757" s="10"/>
      <c r="H757" s="1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4" x14ac:dyDescent="0.15">
      <c r="A758" s="6"/>
      <c r="B758" s="10"/>
      <c r="C758" s="10"/>
      <c r="D758" s="10"/>
      <c r="E758" s="10"/>
      <c r="F758" s="10"/>
      <c r="G758" s="10"/>
      <c r="H758" s="1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4" x14ac:dyDescent="0.15">
      <c r="A759" s="6"/>
      <c r="B759" s="10"/>
      <c r="C759" s="10"/>
      <c r="D759" s="10"/>
      <c r="E759" s="10"/>
      <c r="F759" s="10"/>
      <c r="G759" s="10"/>
      <c r="H759" s="1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4" x14ac:dyDescent="0.15">
      <c r="A760" s="6"/>
      <c r="B760" s="10"/>
      <c r="C760" s="10"/>
      <c r="D760" s="10"/>
      <c r="E760" s="10"/>
      <c r="F760" s="10"/>
      <c r="G760" s="10"/>
      <c r="H760" s="1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4" x14ac:dyDescent="0.15">
      <c r="A761" s="6"/>
      <c r="B761" s="10"/>
      <c r="C761" s="10"/>
      <c r="D761" s="10"/>
      <c r="E761" s="10"/>
      <c r="F761" s="10"/>
      <c r="G761" s="10"/>
      <c r="H761" s="1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4" x14ac:dyDescent="0.15">
      <c r="A762" s="6"/>
      <c r="B762" s="10"/>
      <c r="C762" s="10"/>
      <c r="D762" s="10"/>
      <c r="E762" s="10"/>
      <c r="F762" s="10"/>
      <c r="G762" s="10"/>
      <c r="H762" s="1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4" x14ac:dyDescent="0.15">
      <c r="A763" s="6"/>
      <c r="B763" s="10"/>
      <c r="C763" s="10"/>
      <c r="D763" s="10"/>
      <c r="E763" s="10"/>
      <c r="F763" s="10"/>
      <c r="G763" s="10"/>
      <c r="H763" s="1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4" x14ac:dyDescent="0.15">
      <c r="A764" s="6"/>
      <c r="B764" s="10"/>
      <c r="C764" s="10"/>
      <c r="D764" s="10"/>
      <c r="E764" s="10"/>
      <c r="F764" s="10"/>
      <c r="G764" s="10"/>
      <c r="H764" s="1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4" x14ac:dyDescent="0.15">
      <c r="A765" s="6"/>
      <c r="B765" s="10"/>
      <c r="C765" s="10"/>
      <c r="D765" s="10"/>
      <c r="E765" s="10"/>
      <c r="F765" s="10"/>
      <c r="G765" s="10"/>
      <c r="H765" s="1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4" x14ac:dyDescent="0.15">
      <c r="A766" s="6"/>
      <c r="B766" s="10"/>
      <c r="C766" s="10"/>
      <c r="D766" s="10"/>
      <c r="E766" s="10"/>
      <c r="F766" s="10"/>
      <c r="G766" s="10"/>
      <c r="H766" s="1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4" x14ac:dyDescent="0.15">
      <c r="A767" s="6"/>
      <c r="B767" s="10"/>
      <c r="C767" s="10"/>
      <c r="D767" s="10"/>
      <c r="E767" s="10"/>
      <c r="F767" s="10"/>
      <c r="G767" s="10"/>
      <c r="H767" s="1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4" x14ac:dyDescent="0.15">
      <c r="A768" s="6"/>
      <c r="B768" s="10"/>
      <c r="C768" s="10"/>
      <c r="D768" s="10"/>
      <c r="E768" s="10"/>
      <c r="F768" s="10"/>
      <c r="G768" s="10"/>
      <c r="H768" s="1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4" x14ac:dyDescent="0.15">
      <c r="A769" s="6"/>
      <c r="B769" s="10"/>
      <c r="C769" s="10"/>
      <c r="D769" s="10"/>
      <c r="E769" s="10"/>
      <c r="F769" s="10"/>
      <c r="G769" s="10"/>
      <c r="H769" s="1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4" x14ac:dyDescent="0.15">
      <c r="A770" s="6"/>
      <c r="B770" s="10"/>
      <c r="C770" s="10"/>
      <c r="D770" s="10"/>
      <c r="E770" s="10"/>
      <c r="F770" s="10"/>
      <c r="G770" s="10"/>
      <c r="H770" s="1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4" x14ac:dyDescent="0.15">
      <c r="A771" s="6"/>
      <c r="B771" s="10"/>
      <c r="C771" s="10"/>
      <c r="D771" s="10"/>
      <c r="E771" s="10"/>
      <c r="F771" s="10"/>
      <c r="G771" s="10"/>
      <c r="H771" s="1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4" x14ac:dyDescent="0.15">
      <c r="A772" s="6"/>
      <c r="B772" s="10"/>
      <c r="C772" s="10"/>
      <c r="D772" s="10"/>
      <c r="E772" s="10"/>
      <c r="F772" s="10"/>
      <c r="G772" s="10"/>
      <c r="H772" s="1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4" x14ac:dyDescent="0.15">
      <c r="A773" s="6"/>
      <c r="B773" s="10"/>
      <c r="C773" s="10"/>
      <c r="D773" s="10"/>
      <c r="E773" s="10"/>
      <c r="F773" s="10"/>
      <c r="G773" s="10"/>
      <c r="H773" s="1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4" x14ac:dyDescent="0.15">
      <c r="A774" s="6"/>
      <c r="B774" s="10"/>
      <c r="C774" s="10"/>
      <c r="D774" s="10"/>
      <c r="E774" s="10"/>
      <c r="F774" s="10"/>
      <c r="G774" s="10"/>
      <c r="H774" s="1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4" x14ac:dyDescent="0.15">
      <c r="A775" s="6"/>
      <c r="B775" s="10"/>
      <c r="C775" s="10"/>
      <c r="D775" s="10"/>
      <c r="E775" s="10"/>
      <c r="F775" s="10"/>
      <c r="G775" s="10"/>
      <c r="H775" s="1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4" x14ac:dyDescent="0.15">
      <c r="A776" s="6"/>
      <c r="B776" s="10"/>
      <c r="C776" s="10"/>
      <c r="D776" s="10"/>
      <c r="E776" s="10"/>
      <c r="F776" s="10"/>
      <c r="G776" s="10"/>
      <c r="H776" s="1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4" x14ac:dyDescent="0.15">
      <c r="A777" s="6"/>
      <c r="B777" s="10"/>
      <c r="C777" s="10"/>
      <c r="D777" s="10"/>
      <c r="E777" s="10"/>
      <c r="F777" s="10"/>
      <c r="G777" s="10"/>
      <c r="H777" s="1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4" x14ac:dyDescent="0.15">
      <c r="A778" s="6"/>
      <c r="B778" s="10"/>
      <c r="C778" s="10"/>
      <c r="D778" s="10"/>
      <c r="E778" s="10"/>
      <c r="F778" s="10"/>
      <c r="G778" s="10"/>
      <c r="H778" s="1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4" x14ac:dyDescent="0.15">
      <c r="A779" s="6"/>
      <c r="B779" s="10"/>
      <c r="C779" s="10"/>
      <c r="D779" s="10"/>
      <c r="E779" s="10"/>
      <c r="F779" s="10"/>
      <c r="G779" s="10"/>
      <c r="H779" s="1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4" x14ac:dyDescent="0.15">
      <c r="A780" s="6"/>
      <c r="B780" s="10"/>
      <c r="C780" s="10"/>
      <c r="D780" s="10"/>
      <c r="E780" s="10"/>
      <c r="F780" s="10"/>
      <c r="G780" s="10"/>
      <c r="H780" s="1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4" x14ac:dyDescent="0.15">
      <c r="A781" s="6"/>
      <c r="B781" s="10"/>
      <c r="C781" s="10"/>
      <c r="D781" s="10"/>
      <c r="E781" s="10"/>
      <c r="F781" s="10"/>
      <c r="G781" s="10"/>
      <c r="H781" s="1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4" x14ac:dyDescent="0.15">
      <c r="A782" s="6"/>
      <c r="B782" s="10"/>
      <c r="C782" s="10"/>
      <c r="D782" s="10"/>
      <c r="E782" s="10"/>
      <c r="F782" s="10"/>
      <c r="G782" s="10"/>
      <c r="H782" s="1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4" x14ac:dyDescent="0.15">
      <c r="A783" s="6"/>
      <c r="B783" s="10"/>
      <c r="C783" s="10"/>
      <c r="D783" s="10"/>
      <c r="E783" s="10"/>
      <c r="F783" s="10"/>
      <c r="G783" s="10"/>
      <c r="H783" s="1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4" x14ac:dyDescent="0.15">
      <c r="A784" s="6"/>
      <c r="B784" s="10"/>
      <c r="C784" s="10"/>
      <c r="D784" s="10"/>
      <c r="E784" s="10"/>
      <c r="F784" s="10"/>
      <c r="G784" s="10"/>
      <c r="H784" s="1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4" x14ac:dyDescent="0.15">
      <c r="A785" s="6"/>
      <c r="B785" s="10"/>
      <c r="C785" s="10"/>
      <c r="D785" s="10"/>
      <c r="E785" s="10"/>
      <c r="F785" s="10"/>
      <c r="G785" s="10"/>
      <c r="H785" s="1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4" x14ac:dyDescent="0.15">
      <c r="A786" s="6"/>
      <c r="B786" s="10"/>
      <c r="C786" s="10"/>
      <c r="D786" s="10"/>
      <c r="E786" s="10"/>
      <c r="F786" s="10"/>
      <c r="G786" s="10"/>
      <c r="H786" s="1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4" x14ac:dyDescent="0.15">
      <c r="A787" s="6"/>
      <c r="B787" s="10"/>
      <c r="C787" s="10"/>
      <c r="D787" s="10"/>
      <c r="E787" s="10"/>
      <c r="F787" s="10"/>
      <c r="G787" s="10"/>
      <c r="H787" s="1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4" x14ac:dyDescent="0.15">
      <c r="A788" s="6"/>
      <c r="B788" s="10"/>
      <c r="C788" s="10"/>
      <c r="D788" s="10"/>
      <c r="E788" s="10"/>
      <c r="F788" s="10"/>
      <c r="G788" s="10"/>
      <c r="H788" s="1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4" x14ac:dyDescent="0.15">
      <c r="A789" s="6"/>
      <c r="B789" s="10"/>
      <c r="C789" s="10"/>
      <c r="D789" s="10"/>
      <c r="E789" s="10"/>
      <c r="F789" s="10"/>
      <c r="G789" s="10"/>
      <c r="H789" s="1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4" x14ac:dyDescent="0.15">
      <c r="A790" s="6"/>
      <c r="B790" s="10"/>
      <c r="C790" s="10"/>
      <c r="D790" s="10"/>
      <c r="E790" s="10"/>
      <c r="F790" s="10"/>
      <c r="G790" s="10"/>
      <c r="H790" s="1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4" x14ac:dyDescent="0.15">
      <c r="A791" s="6"/>
      <c r="B791" s="10"/>
      <c r="C791" s="10"/>
      <c r="D791" s="10"/>
      <c r="E791" s="10"/>
      <c r="F791" s="10"/>
      <c r="G791" s="10"/>
      <c r="H791" s="1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4" x14ac:dyDescent="0.15">
      <c r="A792" s="6"/>
      <c r="B792" s="10"/>
      <c r="C792" s="10"/>
      <c r="D792" s="10"/>
      <c r="E792" s="10"/>
      <c r="F792" s="10"/>
      <c r="G792" s="10"/>
      <c r="H792" s="1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4" x14ac:dyDescent="0.15">
      <c r="A793" s="6"/>
      <c r="B793" s="10"/>
      <c r="C793" s="10"/>
      <c r="D793" s="10"/>
      <c r="E793" s="10"/>
      <c r="F793" s="10"/>
      <c r="G793" s="10"/>
      <c r="H793" s="1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4" x14ac:dyDescent="0.15">
      <c r="A794" s="6"/>
      <c r="B794" s="10"/>
      <c r="C794" s="10"/>
      <c r="D794" s="10"/>
      <c r="E794" s="10"/>
      <c r="F794" s="10"/>
      <c r="G794" s="10"/>
      <c r="H794" s="1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4" x14ac:dyDescent="0.15">
      <c r="A795" s="6"/>
      <c r="B795" s="10"/>
      <c r="C795" s="10"/>
      <c r="D795" s="10"/>
      <c r="E795" s="10"/>
      <c r="F795" s="10"/>
      <c r="G795" s="10"/>
      <c r="H795" s="1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4" x14ac:dyDescent="0.15">
      <c r="A796" s="6"/>
      <c r="B796" s="10"/>
      <c r="C796" s="10"/>
      <c r="D796" s="10"/>
      <c r="E796" s="10"/>
      <c r="F796" s="10"/>
      <c r="G796" s="10"/>
      <c r="H796" s="1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4" x14ac:dyDescent="0.15">
      <c r="A797" s="6"/>
      <c r="B797" s="10"/>
      <c r="C797" s="10"/>
      <c r="D797" s="10"/>
      <c r="E797" s="10"/>
      <c r="F797" s="10"/>
      <c r="G797" s="10"/>
      <c r="H797" s="1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4" x14ac:dyDescent="0.15">
      <c r="A798" s="6"/>
      <c r="B798" s="10"/>
      <c r="C798" s="10"/>
      <c r="D798" s="10"/>
      <c r="E798" s="10"/>
      <c r="F798" s="10"/>
      <c r="G798" s="10"/>
      <c r="H798" s="1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4" x14ac:dyDescent="0.15">
      <c r="A799" s="6"/>
      <c r="B799" s="10"/>
      <c r="C799" s="10"/>
      <c r="D799" s="10"/>
      <c r="E799" s="10"/>
      <c r="F799" s="10"/>
      <c r="G799" s="10"/>
      <c r="H799" s="1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4" x14ac:dyDescent="0.15">
      <c r="A800" s="6"/>
      <c r="B800" s="10"/>
      <c r="C800" s="10"/>
      <c r="D800" s="10"/>
      <c r="E800" s="10"/>
      <c r="F800" s="10"/>
      <c r="G800" s="10"/>
      <c r="H800" s="1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4" x14ac:dyDescent="0.15">
      <c r="A801" s="6"/>
      <c r="B801" s="10"/>
      <c r="C801" s="10"/>
      <c r="D801" s="10"/>
      <c r="E801" s="10"/>
      <c r="F801" s="10"/>
      <c r="G801" s="10"/>
      <c r="H801" s="1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4" x14ac:dyDescent="0.15">
      <c r="A802" s="6"/>
      <c r="B802" s="10"/>
      <c r="C802" s="10"/>
      <c r="D802" s="10"/>
      <c r="E802" s="10"/>
      <c r="F802" s="10"/>
      <c r="G802" s="10"/>
      <c r="H802" s="1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4" x14ac:dyDescent="0.15">
      <c r="A803" s="6"/>
      <c r="B803" s="10"/>
      <c r="C803" s="10"/>
      <c r="D803" s="10"/>
      <c r="E803" s="10"/>
      <c r="F803" s="10"/>
      <c r="G803" s="10"/>
      <c r="H803" s="1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4" x14ac:dyDescent="0.15">
      <c r="A804" s="6"/>
      <c r="B804" s="10"/>
      <c r="C804" s="10"/>
      <c r="D804" s="10"/>
      <c r="E804" s="10"/>
      <c r="F804" s="10"/>
      <c r="G804" s="10"/>
      <c r="H804" s="1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4" x14ac:dyDescent="0.15">
      <c r="A805" s="6"/>
      <c r="B805" s="10"/>
      <c r="C805" s="10"/>
      <c r="D805" s="10"/>
      <c r="E805" s="10"/>
      <c r="F805" s="10"/>
      <c r="G805" s="10"/>
      <c r="H805" s="1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4" x14ac:dyDescent="0.15">
      <c r="A806" s="6"/>
      <c r="B806" s="10"/>
      <c r="C806" s="10"/>
      <c r="D806" s="10"/>
      <c r="E806" s="10"/>
      <c r="F806" s="10"/>
      <c r="G806" s="10"/>
      <c r="H806" s="1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4" x14ac:dyDescent="0.15">
      <c r="A807" s="6"/>
      <c r="B807" s="10"/>
      <c r="C807" s="10"/>
      <c r="D807" s="10"/>
      <c r="E807" s="10"/>
      <c r="F807" s="10"/>
      <c r="G807" s="10"/>
      <c r="H807" s="1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4" x14ac:dyDescent="0.15">
      <c r="A808" s="6"/>
      <c r="B808" s="10"/>
      <c r="C808" s="10"/>
      <c r="D808" s="10"/>
      <c r="E808" s="10"/>
      <c r="F808" s="10"/>
      <c r="G808" s="10"/>
      <c r="H808" s="1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4" x14ac:dyDescent="0.15">
      <c r="A809" s="6"/>
      <c r="B809" s="10"/>
      <c r="C809" s="10"/>
      <c r="D809" s="10"/>
      <c r="E809" s="10"/>
      <c r="F809" s="10"/>
      <c r="G809" s="10"/>
      <c r="H809" s="1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4" x14ac:dyDescent="0.15">
      <c r="A810" s="6"/>
      <c r="B810" s="10"/>
      <c r="C810" s="10"/>
      <c r="D810" s="10"/>
      <c r="E810" s="10"/>
      <c r="F810" s="10"/>
      <c r="G810" s="10"/>
      <c r="H810" s="1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4" x14ac:dyDescent="0.15">
      <c r="A811" s="6"/>
      <c r="B811" s="10"/>
      <c r="C811" s="10"/>
      <c r="D811" s="10"/>
      <c r="E811" s="10"/>
      <c r="F811" s="10"/>
      <c r="G811" s="10"/>
      <c r="H811" s="1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4" x14ac:dyDescent="0.15">
      <c r="A812" s="6"/>
      <c r="B812" s="10"/>
      <c r="C812" s="10"/>
      <c r="D812" s="10"/>
      <c r="E812" s="10"/>
      <c r="F812" s="10"/>
      <c r="G812" s="10"/>
      <c r="H812" s="1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4" x14ac:dyDescent="0.15">
      <c r="A813" s="6"/>
      <c r="B813" s="10"/>
      <c r="C813" s="10"/>
      <c r="D813" s="10"/>
      <c r="E813" s="10"/>
      <c r="F813" s="10"/>
      <c r="G813" s="10"/>
      <c r="H813" s="1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4" x14ac:dyDescent="0.15">
      <c r="A814" s="6"/>
      <c r="B814" s="10"/>
      <c r="C814" s="10"/>
      <c r="D814" s="10"/>
      <c r="E814" s="10"/>
      <c r="F814" s="10"/>
      <c r="G814" s="10"/>
      <c r="H814" s="1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4" x14ac:dyDescent="0.15">
      <c r="A815" s="6"/>
      <c r="B815" s="10"/>
      <c r="C815" s="10"/>
      <c r="D815" s="10"/>
      <c r="E815" s="10"/>
      <c r="F815" s="10"/>
      <c r="G815" s="10"/>
      <c r="H815" s="1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4" x14ac:dyDescent="0.15">
      <c r="A816" s="6"/>
      <c r="B816" s="10"/>
      <c r="C816" s="10"/>
      <c r="D816" s="10"/>
      <c r="E816" s="10"/>
      <c r="F816" s="10"/>
      <c r="G816" s="10"/>
      <c r="H816" s="1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4" x14ac:dyDescent="0.15">
      <c r="A817" s="6"/>
      <c r="B817" s="10"/>
      <c r="C817" s="10"/>
      <c r="D817" s="10"/>
      <c r="E817" s="10"/>
      <c r="F817" s="10"/>
      <c r="G817" s="10"/>
      <c r="H817" s="1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4" x14ac:dyDescent="0.15">
      <c r="A818" s="6"/>
      <c r="B818" s="10"/>
      <c r="C818" s="10"/>
      <c r="D818" s="10"/>
      <c r="E818" s="10"/>
      <c r="F818" s="10"/>
      <c r="G818" s="10"/>
      <c r="H818" s="1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4" x14ac:dyDescent="0.15">
      <c r="A819" s="6"/>
      <c r="B819" s="10"/>
      <c r="C819" s="10"/>
      <c r="D819" s="10"/>
      <c r="E819" s="10"/>
      <c r="F819" s="10"/>
      <c r="G819" s="10"/>
      <c r="H819" s="1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4" x14ac:dyDescent="0.15">
      <c r="A820" s="6"/>
      <c r="B820" s="10"/>
      <c r="C820" s="10"/>
      <c r="D820" s="10"/>
      <c r="E820" s="10"/>
      <c r="F820" s="10"/>
      <c r="G820" s="10"/>
      <c r="H820" s="1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4" x14ac:dyDescent="0.15">
      <c r="A821" s="6"/>
      <c r="B821" s="10"/>
      <c r="C821" s="10"/>
      <c r="D821" s="10"/>
      <c r="E821" s="10"/>
      <c r="F821" s="10"/>
      <c r="G821" s="10"/>
      <c r="H821" s="1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4" x14ac:dyDescent="0.15">
      <c r="A822" s="6"/>
      <c r="B822" s="10"/>
      <c r="C822" s="10"/>
      <c r="D822" s="10"/>
      <c r="E822" s="10"/>
      <c r="F822" s="10"/>
      <c r="G822" s="10"/>
      <c r="H822" s="1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4" x14ac:dyDescent="0.15">
      <c r="A823" s="6"/>
      <c r="B823" s="10"/>
      <c r="C823" s="10"/>
      <c r="D823" s="10"/>
      <c r="E823" s="10"/>
      <c r="F823" s="10"/>
      <c r="G823" s="10"/>
      <c r="H823" s="1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4" x14ac:dyDescent="0.15">
      <c r="A824" s="6"/>
      <c r="B824" s="10"/>
      <c r="C824" s="10"/>
      <c r="D824" s="10"/>
      <c r="E824" s="10"/>
      <c r="F824" s="10"/>
      <c r="G824" s="10"/>
      <c r="H824" s="1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4" x14ac:dyDescent="0.15">
      <c r="A825" s="6"/>
      <c r="B825" s="10"/>
      <c r="C825" s="10"/>
      <c r="D825" s="10"/>
      <c r="E825" s="10"/>
      <c r="F825" s="10"/>
      <c r="G825" s="10"/>
      <c r="H825" s="1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4" x14ac:dyDescent="0.15">
      <c r="A826" s="6"/>
      <c r="B826" s="10"/>
      <c r="C826" s="10"/>
      <c r="D826" s="10"/>
      <c r="E826" s="10"/>
      <c r="F826" s="10"/>
      <c r="G826" s="10"/>
      <c r="H826" s="1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4" x14ac:dyDescent="0.15">
      <c r="A827" s="6"/>
      <c r="B827" s="10"/>
      <c r="C827" s="10"/>
      <c r="D827" s="10"/>
      <c r="E827" s="10"/>
      <c r="F827" s="10"/>
      <c r="G827" s="10"/>
      <c r="H827" s="1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4" x14ac:dyDescent="0.15">
      <c r="A828" s="6"/>
      <c r="B828" s="10"/>
      <c r="C828" s="10"/>
      <c r="D828" s="10"/>
      <c r="E828" s="10"/>
      <c r="F828" s="10"/>
      <c r="G828" s="10"/>
      <c r="H828" s="1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4" x14ac:dyDescent="0.15">
      <c r="A829" s="6"/>
      <c r="B829" s="10"/>
      <c r="C829" s="10"/>
      <c r="D829" s="10"/>
      <c r="E829" s="10"/>
      <c r="F829" s="10"/>
      <c r="G829" s="10"/>
      <c r="H829" s="1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4" x14ac:dyDescent="0.15">
      <c r="A830" s="6"/>
      <c r="B830" s="10"/>
      <c r="C830" s="10"/>
      <c r="D830" s="10"/>
      <c r="E830" s="10"/>
      <c r="F830" s="10"/>
      <c r="G830" s="10"/>
      <c r="H830" s="1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4" x14ac:dyDescent="0.15">
      <c r="A831" s="6"/>
      <c r="B831" s="10"/>
      <c r="C831" s="10"/>
      <c r="D831" s="10"/>
      <c r="E831" s="10"/>
      <c r="F831" s="10"/>
      <c r="G831" s="10"/>
      <c r="H831" s="1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4" x14ac:dyDescent="0.15">
      <c r="A832" s="6"/>
      <c r="B832" s="10"/>
      <c r="C832" s="10"/>
      <c r="D832" s="10"/>
      <c r="E832" s="10"/>
      <c r="F832" s="10"/>
      <c r="G832" s="10"/>
      <c r="H832" s="1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4" x14ac:dyDescent="0.15">
      <c r="A833" s="6"/>
      <c r="B833" s="10"/>
      <c r="C833" s="10"/>
      <c r="D833" s="10"/>
      <c r="E833" s="10"/>
      <c r="F833" s="10"/>
      <c r="G833" s="10"/>
      <c r="H833" s="1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4" x14ac:dyDescent="0.15">
      <c r="A834" s="6"/>
      <c r="B834" s="10"/>
      <c r="C834" s="10"/>
      <c r="D834" s="10"/>
      <c r="E834" s="10"/>
      <c r="F834" s="10"/>
      <c r="G834" s="10"/>
      <c r="H834" s="1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4" x14ac:dyDescent="0.15">
      <c r="A835" s="6"/>
      <c r="B835" s="10"/>
      <c r="C835" s="10"/>
      <c r="D835" s="10"/>
      <c r="E835" s="10"/>
      <c r="F835" s="10"/>
      <c r="G835" s="10"/>
      <c r="H835" s="1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4" x14ac:dyDescent="0.15">
      <c r="A836" s="6"/>
      <c r="B836" s="10"/>
      <c r="C836" s="10"/>
      <c r="D836" s="10"/>
      <c r="E836" s="10"/>
      <c r="F836" s="10"/>
      <c r="G836" s="10"/>
      <c r="H836" s="1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4" x14ac:dyDescent="0.15">
      <c r="A837" s="6"/>
      <c r="B837" s="10"/>
      <c r="C837" s="10"/>
      <c r="D837" s="10"/>
      <c r="E837" s="10"/>
      <c r="F837" s="10"/>
      <c r="G837" s="10"/>
      <c r="H837" s="1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4" x14ac:dyDescent="0.15">
      <c r="A838" s="6"/>
      <c r="B838" s="10"/>
      <c r="C838" s="10"/>
      <c r="D838" s="10"/>
      <c r="E838" s="10"/>
      <c r="F838" s="10"/>
      <c r="G838" s="10"/>
      <c r="H838" s="1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4" x14ac:dyDescent="0.15">
      <c r="A839" s="6"/>
      <c r="B839" s="10"/>
      <c r="C839" s="10"/>
      <c r="D839" s="10"/>
      <c r="E839" s="10"/>
      <c r="F839" s="10"/>
      <c r="G839" s="10"/>
      <c r="H839" s="1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4" x14ac:dyDescent="0.15">
      <c r="A840" s="6"/>
      <c r="B840" s="10"/>
      <c r="C840" s="10"/>
      <c r="D840" s="10"/>
      <c r="E840" s="10"/>
      <c r="F840" s="10"/>
      <c r="G840" s="10"/>
      <c r="H840" s="1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4" x14ac:dyDescent="0.15">
      <c r="A841" s="6"/>
      <c r="B841" s="10"/>
      <c r="C841" s="10"/>
      <c r="D841" s="10"/>
      <c r="E841" s="10"/>
      <c r="F841" s="10"/>
      <c r="G841" s="10"/>
      <c r="H841" s="1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4" x14ac:dyDescent="0.15">
      <c r="A842" s="6"/>
      <c r="B842" s="10"/>
      <c r="C842" s="10"/>
      <c r="D842" s="10"/>
      <c r="E842" s="10"/>
      <c r="F842" s="10"/>
      <c r="G842" s="10"/>
      <c r="H842" s="1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4" x14ac:dyDescent="0.15">
      <c r="A843" s="6"/>
      <c r="B843" s="10"/>
      <c r="C843" s="10"/>
      <c r="D843" s="10"/>
      <c r="E843" s="10"/>
      <c r="F843" s="10"/>
      <c r="G843" s="10"/>
      <c r="H843" s="1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4" x14ac:dyDescent="0.15">
      <c r="A844" s="6"/>
      <c r="B844" s="10"/>
      <c r="C844" s="10"/>
      <c r="D844" s="10"/>
      <c r="E844" s="10"/>
      <c r="F844" s="10"/>
      <c r="G844" s="10"/>
      <c r="H844" s="1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4" x14ac:dyDescent="0.15">
      <c r="A845" s="6"/>
      <c r="B845" s="10"/>
      <c r="C845" s="10"/>
      <c r="D845" s="10"/>
      <c r="E845" s="10"/>
      <c r="F845" s="10"/>
      <c r="G845" s="10"/>
      <c r="H845" s="1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4" x14ac:dyDescent="0.15">
      <c r="A846" s="6"/>
      <c r="B846" s="10"/>
      <c r="C846" s="10"/>
      <c r="D846" s="10"/>
      <c r="E846" s="10"/>
      <c r="F846" s="10"/>
      <c r="G846" s="10"/>
      <c r="H846" s="1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4" x14ac:dyDescent="0.15">
      <c r="A847" s="6"/>
      <c r="B847" s="10"/>
      <c r="C847" s="10"/>
      <c r="D847" s="10"/>
      <c r="E847" s="10"/>
      <c r="F847" s="10"/>
      <c r="G847" s="10"/>
      <c r="H847" s="1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4" x14ac:dyDescent="0.15">
      <c r="A848" s="6"/>
      <c r="B848" s="10"/>
      <c r="C848" s="10"/>
      <c r="D848" s="10"/>
      <c r="E848" s="10"/>
      <c r="F848" s="10"/>
      <c r="G848" s="10"/>
      <c r="H848" s="1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4" x14ac:dyDescent="0.15">
      <c r="A849" s="6"/>
      <c r="B849" s="10"/>
      <c r="C849" s="10"/>
      <c r="D849" s="10"/>
      <c r="E849" s="10"/>
      <c r="F849" s="10"/>
      <c r="G849" s="10"/>
      <c r="H849" s="1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4" x14ac:dyDescent="0.15">
      <c r="A850" s="6"/>
      <c r="B850" s="10"/>
      <c r="C850" s="10"/>
      <c r="D850" s="10"/>
      <c r="E850" s="10"/>
      <c r="F850" s="10"/>
      <c r="G850" s="10"/>
      <c r="H850" s="1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4" x14ac:dyDescent="0.15">
      <c r="A851" s="6"/>
      <c r="B851" s="10"/>
      <c r="C851" s="10"/>
      <c r="D851" s="10"/>
      <c r="E851" s="10"/>
      <c r="F851" s="10"/>
      <c r="G851" s="10"/>
      <c r="H851" s="1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4" x14ac:dyDescent="0.15">
      <c r="A852" s="6"/>
      <c r="B852" s="10"/>
      <c r="C852" s="10"/>
      <c r="D852" s="10"/>
      <c r="E852" s="10"/>
      <c r="F852" s="10"/>
      <c r="G852" s="10"/>
      <c r="H852" s="1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4" x14ac:dyDescent="0.15">
      <c r="A853" s="6"/>
      <c r="B853" s="10"/>
      <c r="C853" s="10"/>
      <c r="D853" s="10"/>
      <c r="E853" s="10"/>
      <c r="F853" s="10"/>
      <c r="G853" s="10"/>
      <c r="H853" s="1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4" x14ac:dyDescent="0.15">
      <c r="A854" s="6"/>
      <c r="B854" s="10"/>
      <c r="C854" s="10"/>
      <c r="D854" s="10"/>
      <c r="E854" s="10"/>
      <c r="F854" s="10"/>
      <c r="G854" s="10"/>
      <c r="H854" s="1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4" x14ac:dyDescent="0.15">
      <c r="A855" s="6"/>
      <c r="B855" s="10"/>
      <c r="C855" s="10"/>
      <c r="D855" s="10"/>
      <c r="E855" s="10"/>
      <c r="F855" s="10"/>
      <c r="G855" s="10"/>
      <c r="H855" s="1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4" x14ac:dyDescent="0.15">
      <c r="A856" s="6"/>
      <c r="B856" s="10"/>
      <c r="C856" s="10"/>
      <c r="D856" s="10"/>
      <c r="E856" s="10"/>
      <c r="F856" s="10"/>
      <c r="G856" s="10"/>
      <c r="H856" s="1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4" x14ac:dyDescent="0.15">
      <c r="A857" s="6"/>
      <c r="B857" s="10"/>
      <c r="C857" s="10"/>
      <c r="D857" s="10"/>
      <c r="E857" s="10"/>
      <c r="F857" s="10"/>
      <c r="G857" s="10"/>
      <c r="H857" s="1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4" x14ac:dyDescent="0.15">
      <c r="A858" s="6"/>
      <c r="B858" s="10"/>
      <c r="C858" s="10"/>
      <c r="D858" s="10"/>
      <c r="E858" s="10"/>
      <c r="F858" s="10"/>
      <c r="G858" s="10"/>
      <c r="H858" s="1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4" x14ac:dyDescent="0.15">
      <c r="A859" s="6"/>
      <c r="B859" s="10"/>
      <c r="C859" s="10"/>
      <c r="D859" s="10"/>
      <c r="E859" s="10"/>
      <c r="F859" s="10"/>
      <c r="G859" s="10"/>
      <c r="H859" s="1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4" x14ac:dyDescent="0.15">
      <c r="A860" s="6"/>
      <c r="B860" s="10"/>
      <c r="C860" s="10"/>
      <c r="D860" s="10"/>
      <c r="E860" s="10"/>
      <c r="F860" s="10"/>
      <c r="G860" s="10"/>
      <c r="H860" s="1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4" x14ac:dyDescent="0.15">
      <c r="A861" s="6"/>
      <c r="B861" s="10"/>
      <c r="C861" s="10"/>
      <c r="D861" s="10"/>
      <c r="E861" s="10"/>
      <c r="F861" s="10"/>
      <c r="G861" s="10"/>
      <c r="H861" s="1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4" x14ac:dyDescent="0.15">
      <c r="A862" s="6"/>
      <c r="B862" s="10"/>
      <c r="C862" s="10"/>
      <c r="D862" s="10"/>
      <c r="E862" s="10"/>
      <c r="F862" s="10"/>
      <c r="G862" s="10"/>
      <c r="H862" s="1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4" x14ac:dyDescent="0.15">
      <c r="A863" s="6"/>
      <c r="B863" s="10"/>
      <c r="C863" s="10"/>
      <c r="D863" s="10"/>
      <c r="E863" s="10"/>
      <c r="F863" s="10"/>
      <c r="G863" s="10"/>
      <c r="H863" s="1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4" x14ac:dyDescent="0.15">
      <c r="A864" s="6"/>
      <c r="B864" s="10"/>
      <c r="C864" s="10"/>
      <c r="D864" s="10"/>
      <c r="E864" s="10"/>
      <c r="F864" s="10"/>
      <c r="G864" s="10"/>
      <c r="H864" s="1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4" x14ac:dyDescent="0.15">
      <c r="A865" s="6"/>
      <c r="B865" s="10"/>
      <c r="C865" s="10"/>
      <c r="D865" s="10"/>
      <c r="E865" s="10"/>
      <c r="F865" s="10"/>
      <c r="G865" s="10"/>
      <c r="H865" s="1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4" x14ac:dyDescent="0.15">
      <c r="A866" s="6"/>
      <c r="B866" s="10"/>
      <c r="C866" s="10"/>
      <c r="D866" s="10"/>
      <c r="E866" s="10"/>
      <c r="F866" s="10"/>
      <c r="G866" s="10"/>
      <c r="H866" s="1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4" x14ac:dyDescent="0.15">
      <c r="A867" s="6"/>
      <c r="B867" s="10"/>
      <c r="C867" s="10"/>
      <c r="D867" s="10"/>
      <c r="E867" s="10"/>
      <c r="F867" s="10"/>
      <c r="G867" s="10"/>
      <c r="H867" s="1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4" x14ac:dyDescent="0.15">
      <c r="A868" s="6"/>
      <c r="B868" s="10"/>
      <c r="C868" s="10"/>
      <c r="D868" s="10"/>
      <c r="E868" s="10"/>
      <c r="F868" s="10"/>
      <c r="G868" s="10"/>
      <c r="H868" s="1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4" x14ac:dyDescent="0.15">
      <c r="A869" s="6"/>
      <c r="B869" s="10"/>
      <c r="C869" s="10"/>
      <c r="D869" s="10"/>
      <c r="E869" s="10"/>
      <c r="F869" s="10"/>
      <c r="G869" s="10"/>
      <c r="H869" s="1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4" x14ac:dyDescent="0.15">
      <c r="A870" s="6"/>
      <c r="B870" s="10"/>
      <c r="C870" s="10"/>
      <c r="D870" s="10"/>
      <c r="E870" s="10"/>
      <c r="F870" s="10"/>
      <c r="G870" s="10"/>
      <c r="H870" s="1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4" x14ac:dyDescent="0.15">
      <c r="A871" s="6"/>
      <c r="B871" s="10"/>
      <c r="C871" s="10"/>
      <c r="D871" s="10"/>
      <c r="E871" s="10"/>
      <c r="F871" s="10"/>
      <c r="G871" s="10"/>
      <c r="H871" s="1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4" x14ac:dyDescent="0.15">
      <c r="A872" s="6"/>
      <c r="B872" s="10"/>
      <c r="C872" s="10"/>
      <c r="D872" s="10"/>
      <c r="E872" s="10"/>
      <c r="F872" s="10"/>
      <c r="G872" s="10"/>
      <c r="H872" s="1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4" x14ac:dyDescent="0.15">
      <c r="A873" s="6"/>
      <c r="B873" s="10"/>
      <c r="C873" s="10"/>
      <c r="D873" s="10"/>
      <c r="E873" s="10"/>
      <c r="F873" s="10"/>
      <c r="G873" s="10"/>
      <c r="H873" s="1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4" x14ac:dyDescent="0.15">
      <c r="A874" s="6"/>
      <c r="B874" s="10"/>
      <c r="C874" s="10"/>
      <c r="D874" s="10"/>
      <c r="E874" s="10"/>
      <c r="F874" s="10"/>
      <c r="G874" s="10"/>
      <c r="H874" s="1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4" x14ac:dyDescent="0.15">
      <c r="A875" s="6"/>
      <c r="B875" s="10"/>
      <c r="C875" s="10"/>
      <c r="D875" s="10"/>
      <c r="E875" s="10"/>
      <c r="F875" s="10"/>
      <c r="G875" s="10"/>
      <c r="H875" s="1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4" x14ac:dyDescent="0.15">
      <c r="A876" s="6"/>
      <c r="B876" s="10"/>
      <c r="C876" s="10"/>
      <c r="D876" s="10"/>
      <c r="E876" s="10"/>
      <c r="F876" s="10"/>
      <c r="G876" s="10"/>
      <c r="H876" s="1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4" x14ac:dyDescent="0.15">
      <c r="A877" s="6"/>
      <c r="B877" s="10"/>
      <c r="C877" s="10"/>
      <c r="D877" s="10"/>
      <c r="E877" s="10"/>
      <c r="F877" s="10"/>
      <c r="G877" s="10"/>
      <c r="H877" s="1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4" x14ac:dyDescent="0.15">
      <c r="A878" s="6"/>
      <c r="B878" s="10"/>
      <c r="C878" s="10"/>
      <c r="D878" s="10"/>
      <c r="E878" s="10"/>
      <c r="F878" s="10"/>
      <c r="G878" s="10"/>
      <c r="H878" s="1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4" x14ac:dyDescent="0.15">
      <c r="A879" s="6"/>
      <c r="B879" s="10"/>
      <c r="C879" s="10"/>
      <c r="D879" s="10"/>
      <c r="E879" s="10"/>
      <c r="F879" s="10"/>
      <c r="G879" s="10"/>
      <c r="H879" s="1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4" x14ac:dyDescent="0.15">
      <c r="A880" s="6"/>
      <c r="B880" s="10"/>
      <c r="C880" s="10"/>
      <c r="D880" s="10"/>
      <c r="E880" s="10"/>
      <c r="F880" s="10"/>
      <c r="G880" s="10"/>
      <c r="H880" s="1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4" x14ac:dyDescent="0.15">
      <c r="A881" s="6"/>
      <c r="B881" s="10"/>
      <c r="C881" s="10"/>
      <c r="D881" s="10"/>
      <c r="E881" s="10"/>
      <c r="F881" s="10"/>
      <c r="G881" s="10"/>
      <c r="H881" s="1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4" x14ac:dyDescent="0.15">
      <c r="A882" s="6"/>
      <c r="B882" s="10"/>
      <c r="C882" s="10"/>
      <c r="D882" s="10"/>
      <c r="E882" s="10"/>
      <c r="F882" s="10"/>
      <c r="G882" s="10"/>
      <c r="H882" s="1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4" x14ac:dyDescent="0.15">
      <c r="A883" s="6"/>
      <c r="B883" s="10"/>
      <c r="C883" s="10"/>
      <c r="D883" s="10"/>
      <c r="E883" s="10"/>
      <c r="F883" s="10"/>
      <c r="G883" s="10"/>
      <c r="H883" s="1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4" x14ac:dyDescent="0.15">
      <c r="A884" s="6"/>
      <c r="B884" s="10"/>
      <c r="C884" s="10"/>
      <c r="D884" s="10"/>
      <c r="E884" s="10"/>
      <c r="F884" s="10"/>
      <c r="G884" s="10"/>
      <c r="H884" s="1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4" x14ac:dyDescent="0.15">
      <c r="A885" s="6"/>
      <c r="B885" s="10"/>
      <c r="C885" s="10"/>
      <c r="D885" s="10"/>
      <c r="E885" s="10"/>
      <c r="F885" s="10"/>
      <c r="G885" s="10"/>
      <c r="H885" s="1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4" x14ac:dyDescent="0.15">
      <c r="A886" s="6"/>
      <c r="B886" s="10"/>
      <c r="C886" s="10"/>
      <c r="D886" s="10"/>
      <c r="E886" s="10"/>
      <c r="F886" s="10"/>
      <c r="G886" s="10"/>
      <c r="H886" s="1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4" x14ac:dyDescent="0.15">
      <c r="A887" s="6"/>
      <c r="B887" s="10"/>
      <c r="C887" s="10"/>
      <c r="D887" s="10"/>
      <c r="E887" s="10"/>
      <c r="F887" s="10"/>
      <c r="G887" s="10"/>
      <c r="H887" s="1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4" x14ac:dyDescent="0.15">
      <c r="A888" s="6"/>
      <c r="B888" s="10"/>
      <c r="C888" s="10"/>
      <c r="D888" s="10"/>
      <c r="E888" s="10"/>
      <c r="F888" s="10"/>
      <c r="G888" s="10"/>
      <c r="H888" s="1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4" x14ac:dyDescent="0.15">
      <c r="A889" s="6"/>
      <c r="B889" s="10"/>
      <c r="C889" s="10"/>
      <c r="D889" s="10"/>
      <c r="E889" s="10"/>
      <c r="F889" s="10"/>
      <c r="G889" s="10"/>
      <c r="H889" s="1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4" x14ac:dyDescent="0.15">
      <c r="A890" s="6"/>
      <c r="B890" s="10"/>
      <c r="C890" s="10"/>
      <c r="D890" s="10"/>
      <c r="E890" s="10"/>
      <c r="F890" s="10"/>
      <c r="G890" s="10"/>
      <c r="H890" s="1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4" x14ac:dyDescent="0.15">
      <c r="A891" s="6"/>
      <c r="B891" s="10"/>
      <c r="C891" s="10"/>
      <c r="D891" s="10"/>
      <c r="E891" s="10"/>
      <c r="F891" s="10"/>
      <c r="G891" s="10"/>
      <c r="H891" s="1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4" x14ac:dyDescent="0.15">
      <c r="A892" s="6"/>
      <c r="B892" s="10"/>
      <c r="C892" s="10"/>
      <c r="D892" s="10"/>
      <c r="E892" s="10"/>
      <c r="F892" s="10"/>
      <c r="G892" s="10"/>
      <c r="H892" s="1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4" x14ac:dyDescent="0.15">
      <c r="A893" s="6"/>
      <c r="B893" s="10"/>
      <c r="C893" s="10"/>
      <c r="D893" s="10"/>
      <c r="E893" s="10"/>
      <c r="F893" s="10"/>
      <c r="G893" s="10"/>
      <c r="H893" s="1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4" x14ac:dyDescent="0.15">
      <c r="A894" s="6"/>
      <c r="B894" s="10"/>
      <c r="C894" s="10"/>
      <c r="D894" s="10"/>
      <c r="E894" s="10"/>
      <c r="F894" s="10"/>
      <c r="G894" s="10"/>
      <c r="H894" s="1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4" x14ac:dyDescent="0.15">
      <c r="A895" s="6"/>
      <c r="B895" s="10"/>
      <c r="C895" s="10"/>
      <c r="D895" s="10"/>
      <c r="E895" s="10"/>
      <c r="F895" s="10"/>
      <c r="G895" s="10"/>
      <c r="H895" s="1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4" x14ac:dyDescent="0.15">
      <c r="A896" s="6"/>
      <c r="B896" s="10"/>
      <c r="C896" s="10"/>
      <c r="D896" s="10"/>
      <c r="E896" s="10"/>
      <c r="F896" s="10"/>
      <c r="G896" s="10"/>
      <c r="H896" s="1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4" x14ac:dyDescent="0.15">
      <c r="A897" s="6"/>
      <c r="B897" s="10"/>
      <c r="C897" s="10"/>
      <c r="D897" s="10"/>
      <c r="E897" s="10"/>
      <c r="F897" s="10"/>
      <c r="G897" s="10"/>
      <c r="H897" s="1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4" x14ac:dyDescent="0.15">
      <c r="A898" s="6"/>
      <c r="B898" s="10"/>
      <c r="C898" s="10"/>
      <c r="D898" s="10"/>
      <c r="E898" s="10"/>
      <c r="F898" s="10"/>
      <c r="G898" s="10"/>
      <c r="H898" s="1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4" x14ac:dyDescent="0.15">
      <c r="A899" s="6"/>
      <c r="B899" s="10"/>
      <c r="C899" s="10"/>
      <c r="D899" s="10"/>
      <c r="E899" s="10"/>
      <c r="F899" s="10"/>
      <c r="G899" s="10"/>
      <c r="H899" s="1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4" x14ac:dyDescent="0.15">
      <c r="A900" s="6"/>
      <c r="B900" s="10"/>
      <c r="C900" s="10"/>
      <c r="D900" s="10"/>
      <c r="E900" s="10"/>
      <c r="F900" s="10"/>
      <c r="G900" s="10"/>
      <c r="H900" s="1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4" x14ac:dyDescent="0.15">
      <c r="A901" s="6"/>
      <c r="B901" s="10"/>
      <c r="C901" s="10"/>
      <c r="D901" s="10"/>
      <c r="E901" s="10"/>
      <c r="F901" s="10"/>
      <c r="G901" s="10"/>
      <c r="H901" s="1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4" x14ac:dyDescent="0.15">
      <c r="A902" s="6"/>
      <c r="B902" s="10"/>
      <c r="C902" s="10"/>
      <c r="D902" s="10"/>
      <c r="E902" s="10"/>
      <c r="F902" s="10"/>
      <c r="G902" s="10"/>
      <c r="H902" s="1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4" x14ac:dyDescent="0.15">
      <c r="A903" s="6"/>
      <c r="B903" s="10"/>
      <c r="C903" s="10"/>
      <c r="D903" s="10"/>
      <c r="E903" s="10"/>
      <c r="F903" s="10"/>
      <c r="G903" s="10"/>
      <c r="H903" s="1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4" x14ac:dyDescent="0.15">
      <c r="A904" s="6"/>
      <c r="B904" s="10"/>
      <c r="C904" s="10"/>
      <c r="D904" s="10"/>
      <c r="E904" s="10"/>
      <c r="F904" s="10"/>
      <c r="G904" s="10"/>
      <c r="H904" s="1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4" x14ac:dyDescent="0.15">
      <c r="A905" s="6"/>
      <c r="B905" s="10"/>
      <c r="C905" s="10"/>
      <c r="D905" s="10"/>
      <c r="E905" s="10"/>
      <c r="F905" s="10"/>
      <c r="G905" s="10"/>
      <c r="H905" s="1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4" x14ac:dyDescent="0.15">
      <c r="A906" s="6"/>
      <c r="B906" s="10"/>
      <c r="C906" s="10"/>
      <c r="D906" s="10"/>
      <c r="E906" s="10"/>
      <c r="F906" s="10"/>
      <c r="G906" s="10"/>
      <c r="H906" s="1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4" x14ac:dyDescent="0.15">
      <c r="A907" s="6"/>
      <c r="B907" s="10"/>
      <c r="C907" s="10"/>
      <c r="D907" s="10"/>
      <c r="E907" s="10"/>
      <c r="F907" s="10"/>
      <c r="G907" s="10"/>
      <c r="H907" s="1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4" x14ac:dyDescent="0.15">
      <c r="A908" s="6"/>
      <c r="B908" s="10"/>
      <c r="C908" s="10"/>
      <c r="D908" s="10"/>
      <c r="E908" s="10"/>
      <c r="F908" s="10"/>
      <c r="G908" s="10"/>
      <c r="H908" s="1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4" x14ac:dyDescent="0.15">
      <c r="A909" s="6"/>
      <c r="B909" s="10"/>
      <c r="C909" s="10"/>
      <c r="D909" s="10"/>
      <c r="E909" s="10"/>
      <c r="F909" s="10"/>
      <c r="G909" s="10"/>
      <c r="H909" s="1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4" x14ac:dyDescent="0.15">
      <c r="A910" s="6"/>
      <c r="B910" s="10"/>
      <c r="C910" s="10"/>
      <c r="D910" s="10"/>
      <c r="E910" s="10"/>
      <c r="F910" s="10"/>
      <c r="G910" s="10"/>
      <c r="H910" s="1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4" x14ac:dyDescent="0.15">
      <c r="A911" s="6"/>
      <c r="B911" s="10"/>
      <c r="C911" s="10"/>
      <c r="D911" s="10"/>
      <c r="E911" s="10"/>
      <c r="F911" s="10"/>
      <c r="G911" s="10"/>
      <c r="H911" s="1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4" x14ac:dyDescent="0.15">
      <c r="A912" s="6"/>
      <c r="B912" s="10"/>
      <c r="C912" s="10"/>
      <c r="D912" s="10"/>
      <c r="E912" s="10"/>
      <c r="F912" s="10"/>
      <c r="G912" s="10"/>
      <c r="H912" s="1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4" x14ac:dyDescent="0.15">
      <c r="A913" s="6"/>
      <c r="B913" s="10"/>
      <c r="C913" s="10"/>
      <c r="D913" s="10"/>
      <c r="E913" s="10"/>
      <c r="F913" s="10"/>
      <c r="G913" s="10"/>
      <c r="H913" s="1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4" x14ac:dyDescent="0.15">
      <c r="A914" s="6"/>
      <c r="B914" s="10"/>
      <c r="C914" s="10"/>
      <c r="D914" s="10"/>
      <c r="E914" s="10"/>
      <c r="F914" s="10"/>
      <c r="G914" s="10"/>
      <c r="H914" s="1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4" x14ac:dyDescent="0.15">
      <c r="A915" s="6"/>
      <c r="B915" s="10"/>
      <c r="C915" s="10"/>
      <c r="D915" s="10"/>
      <c r="E915" s="10"/>
      <c r="F915" s="10"/>
      <c r="G915" s="10"/>
      <c r="H915" s="1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4" x14ac:dyDescent="0.15">
      <c r="A916" s="6"/>
      <c r="B916" s="10"/>
      <c r="C916" s="10"/>
      <c r="D916" s="10"/>
      <c r="E916" s="10"/>
      <c r="F916" s="10"/>
      <c r="G916" s="10"/>
      <c r="H916" s="1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4" x14ac:dyDescent="0.15">
      <c r="A917" s="6"/>
      <c r="B917" s="10"/>
      <c r="C917" s="10"/>
      <c r="D917" s="10"/>
      <c r="E917" s="10"/>
      <c r="F917" s="10"/>
      <c r="G917" s="10"/>
      <c r="H917" s="1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4" x14ac:dyDescent="0.15">
      <c r="A918" s="6"/>
      <c r="B918" s="10"/>
      <c r="C918" s="10"/>
      <c r="D918" s="10"/>
      <c r="E918" s="10"/>
      <c r="F918" s="10"/>
      <c r="G918" s="10"/>
      <c r="H918" s="1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4" x14ac:dyDescent="0.15">
      <c r="A919" s="6"/>
      <c r="B919" s="10"/>
      <c r="C919" s="10"/>
      <c r="D919" s="10"/>
      <c r="E919" s="10"/>
      <c r="F919" s="10"/>
      <c r="G919" s="10"/>
      <c r="H919" s="1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4" x14ac:dyDescent="0.15">
      <c r="A920" s="6"/>
      <c r="B920" s="10"/>
      <c r="C920" s="10"/>
      <c r="D920" s="10"/>
      <c r="E920" s="10"/>
      <c r="F920" s="10"/>
      <c r="G920" s="10"/>
      <c r="H920" s="1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4" x14ac:dyDescent="0.15">
      <c r="A921" s="6"/>
      <c r="B921" s="10"/>
      <c r="C921" s="10"/>
      <c r="D921" s="10"/>
      <c r="E921" s="10"/>
      <c r="F921" s="10"/>
      <c r="G921" s="10"/>
      <c r="H921" s="1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4" x14ac:dyDescent="0.15">
      <c r="A922" s="6"/>
      <c r="B922" s="10"/>
      <c r="C922" s="10"/>
      <c r="D922" s="10"/>
      <c r="E922" s="10"/>
      <c r="F922" s="10"/>
      <c r="G922" s="10"/>
      <c r="H922" s="1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4" x14ac:dyDescent="0.15">
      <c r="A923" s="6"/>
      <c r="B923" s="10"/>
      <c r="C923" s="10"/>
      <c r="D923" s="10"/>
      <c r="E923" s="10"/>
      <c r="F923" s="10"/>
      <c r="G923" s="10"/>
      <c r="H923" s="1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4" x14ac:dyDescent="0.15">
      <c r="A924" s="6"/>
      <c r="B924" s="10"/>
      <c r="C924" s="10"/>
      <c r="D924" s="10"/>
      <c r="E924" s="10"/>
      <c r="F924" s="10"/>
      <c r="G924" s="10"/>
      <c r="H924" s="1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4" x14ac:dyDescent="0.15">
      <c r="A925" s="6"/>
      <c r="B925" s="10"/>
      <c r="C925" s="10"/>
      <c r="D925" s="10"/>
      <c r="E925" s="10"/>
      <c r="F925" s="10"/>
      <c r="G925" s="10"/>
      <c r="H925" s="1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4" x14ac:dyDescent="0.15">
      <c r="A926" s="6"/>
      <c r="B926" s="10"/>
      <c r="C926" s="10"/>
      <c r="D926" s="10"/>
      <c r="E926" s="10"/>
      <c r="F926" s="10"/>
      <c r="G926" s="10"/>
      <c r="H926" s="1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4" x14ac:dyDescent="0.15">
      <c r="A927" s="6"/>
      <c r="B927" s="10"/>
      <c r="C927" s="10"/>
      <c r="D927" s="10"/>
      <c r="E927" s="10"/>
      <c r="F927" s="10"/>
      <c r="G927" s="10"/>
      <c r="H927" s="1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4" x14ac:dyDescent="0.15">
      <c r="A928" s="6"/>
      <c r="B928" s="10"/>
      <c r="C928" s="10"/>
      <c r="D928" s="10"/>
      <c r="E928" s="10"/>
      <c r="F928" s="10"/>
      <c r="G928" s="10"/>
      <c r="H928" s="1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4" x14ac:dyDescent="0.15">
      <c r="A929" s="6"/>
      <c r="B929" s="10"/>
      <c r="C929" s="10"/>
      <c r="D929" s="10"/>
      <c r="E929" s="10"/>
      <c r="F929" s="10"/>
      <c r="G929" s="10"/>
      <c r="H929" s="1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4" x14ac:dyDescent="0.15">
      <c r="A930" s="6"/>
      <c r="B930" s="10"/>
      <c r="C930" s="10"/>
      <c r="D930" s="10"/>
      <c r="E930" s="10"/>
      <c r="F930" s="10"/>
      <c r="G930" s="10"/>
      <c r="H930" s="1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4" x14ac:dyDescent="0.15">
      <c r="A931" s="6"/>
      <c r="B931" s="10"/>
      <c r="C931" s="10"/>
      <c r="D931" s="10"/>
      <c r="E931" s="10"/>
      <c r="F931" s="10"/>
      <c r="G931" s="10"/>
      <c r="H931" s="1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4" x14ac:dyDescent="0.15">
      <c r="A932" s="6"/>
      <c r="B932" s="10"/>
      <c r="C932" s="10"/>
      <c r="D932" s="10"/>
      <c r="E932" s="10"/>
      <c r="F932" s="10"/>
      <c r="G932" s="10"/>
      <c r="H932" s="1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4" x14ac:dyDescent="0.15">
      <c r="A933" s="6"/>
      <c r="B933" s="10"/>
      <c r="C933" s="10"/>
      <c r="D933" s="10"/>
      <c r="E933" s="10"/>
      <c r="F933" s="10"/>
      <c r="G933" s="10"/>
      <c r="H933" s="1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4" x14ac:dyDescent="0.15">
      <c r="A934" s="6"/>
      <c r="B934" s="10"/>
      <c r="C934" s="10"/>
      <c r="D934" s="10"/>
      <c r="E934" s="10"/>
      <c r="F934" s="10"/>
      <c r="G934" s="10"/>
      <c r="H934" s="1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4" x14ac:dyDescent="0.15">
      <c r="A935" s="6"/>
      <c r="B935" s="10"/>
      <c r="C935" s="10"/>
      <c r="D935" s="10"/>
      <c r="E935" s="10"/>
      <c r="F935" s="10"/>
      <c r="G935" s="10"/>
      <c r="H935" s="1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4" x14ac:dyDescent="0.15">
      <c r="A936" s="6"/>
      <c r="B936" s="10"/>
      <c r="C936" s="10"/>
      <c r="D936" s="10"/>
      <c r="E936" s="10"/>
      <c r="F936" s="10"/>
      <c r="G936" s="10"/>
      <c r="H936" s="1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4" x14ac:dyDescent="0.15">
      <c r="A937" s="6"/>
      <c r="B937" s="10"/>
      <c r="C937" s="10"/>
      <c r="D937" s="10"/>
      <c r="E937" s="10"/>
      <c r="F937" s="10"/>
      <c r="G937" s="10"/>
      <c r="H937" s="1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4" x14ac:dyDescent="0.15">
      <c r="A938" s="6"/>
      <c r="B938" s="10"/>
      <c r="C938" s="10"/>
      <c r="D938" s="10"/>
      <c r="E938" s="10"/>
      <c r="F938" s="10"/>
      <c r="G938" s="10"/>
      <c r="H938" s="1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4" x14ac:dyDescent="0.15">
      <c r="A939" s="6"/>
      <c r="B939" s="10"/>
      <c r="C939" s="10"/>
      <c r="D939" s="10"/>
      <c r="E939" s="10"/>
      <c r="F939" s="10"/>
      <c r="G939" s="10"/>
      <c r="H939" s="1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4" x14ac:dyDescent="0.15">
      <c r="A940" s="6"/>
      <c r="B940" s="10"/>
      <c r="C940" s="10"/>
      <c r="D940" s="10"/>
      <c r="E940" s="10"/>
      <c r="F940" s="10"/>
      <c r="G940" s="10"/>
      <c r="H940" s="1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4" x14ac:dyDescent="0.15">
      <c r="A941" s="6"/>
      <c r="B941" s="10"/>
      <c r="C941" s="10"/>
      <c r="D941" s="10"/>
      <c r="E941" s="10"/>
      <c r="F941" s="10"/>
      <c r="G941" s="10"/>
      <c r="H941" s="1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4" x14ac:dyDescent="0.15">
      <c r="A942" s="6"/>
      <c r="B942" s="10"/>
      <c r="C942" s="10"/>
      <c r="D942" s="10"/>
      <c r="E942" s="10"/>
      <c r="F942" s="10"/>
      <c r="G942" s="10"/>
      <c r="H942" s="1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4" x14ac:dyDescent="0.15">
      <c r="A943" s="6"/>
      <c r="B943" s="10"/>
      <c r="C943" s="10"/>
      <c r="D943" s="10"/>
      <c r="E943" s="10"/>
      <c r="F943" s="10"/>
      <c r="G943" s="10"/>
      <c r="H943" s="1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4" x14ac:dyDescent="0.15">
      <c r="A944" s="6"/>
      <c r="B944" s="10"/>
      <c r="C944" s="10"/>
      <c r="D944" s="10"/>
      <c r="E944" s="10"/>
      <c r="F944" s="10"/>
      <c r="G944" s="10"/>
      <c r="H944" s="1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4" x14ac:dyDescent="0.15">
      <c r="A945" s="6"/>
      <c r="B945" s="10"/>
      <c r="C945" s="10"/>
      <c r="D945" s="10"/>
      <c r="E945" s="10"/>
      <c r="F945" s="10"/>
      <c r="G945" s="10"/>
      <c r="H945" s="1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4" x14ac:dyDescent="0.15">
      <c r="A946" s="6"/>
      <c r="B946" s="10"/>
      <c r="C946" s="10"/>
      <c r="D946" s="10"/>
      <c r="E946" s="10"/>
      <c r="F946" s="10"/>
      <c r="G946" s="10"/>
      <c r="H946" s="1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4" x14ac:dyDescent="0.15">
      <c r="A947" s="6"/>
      <c r="B947" s="10"/>
      <c r="C947" s="10"/>
      <c r="D947" s="10"/>
      <c r="E947" s="10"/>
      <c r="F947" s="10"/>
      <c r="G947" s="10"/>
      <c r="H947" s="1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4" x14ac:dyDescent="0.15">
      <c r="A948" s="6"/>
      <c r="B948" s="10"/>
      <c r="C948" s="10"/>
      <c r="D948" s="10"/>
      <c r="E948" s="10"/>
      <c r="F948" s="10"/>
      <c r="G948" s="10"/>
      <c r="H948" s="1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4" x14ac:dyDescent="0.15">
      <c r="A949" s="6"/>
      <c r="B949" s="10"/>
      <c r="C949" s="10"/>
      <c r="D949" s="10"/>
      <c r="E949" s="10"/>
      <c r="F949" s="10"/>
      <c r="G949" s="10"/>
      <c r="H949" s="1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4" x14ac:dyDescent="0.15">
      <c r="A950" s="6"/>
      <c r="B950" s="10"/>
      <c r="C950" s="10"/>
      <c r="D950" s="10"/>
      <c r="E950" s="10"/>
      <c r="F950" s="10"/>
      <c r="G950" s="10"/>
      <c r="H950" s="1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4" x14ac:dyDescent="0.15">
      <c r="A951" s="6"/>
      <c r="B951" s="10"/>
      <c r="C951" s="10"/>
      <c r="D951" s="10"/>
      <c r="E951" s="10"/>
      <c r="F951" s="10"/>
      <c r="G951" s="10"/>
      <c r="H951" s="1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4" x14ac:dyDescent="0.15">
      <c r="A952" s="6"/>
      <c r="B952" s="10"/>
      <c r="C952" s="10"/>
      <c r="D952" s="10"/>
      <c r="E952" s="10"/>
      <c r="F952" s="10"/>
      <c r="G952" s="10"/>
      <c r="H952" s="1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4" x14ac:dyDescent="0.15">
      <c r="A953" s="6"/>
      <c r="B953" s="10"/>
      <c r="C953" s="10"/>
      <c r="D953" s="10"/>
      <c r="E953" s="10"/>
      <c r="F953" s="10"/>
      <c r="G953" s="10"/>
      <c r="H953" s="1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4" x14ac:dyDescent="0.15">
      <c r="A954" s="6"/>
      <c r="B954" s="10"/>
      <c r="C954" s="10"/>
      <c r="D954" s="10"/>
      <c r="E954" s="10"/>
      <c r="F954" s="10"/>
      <c r="G954" s="10"/>
      <c r="H954" s="1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4" x14ac:dyDescent="0.15">
      <c r="A955" s="6"/>
      <c r="B955" s="10"/>
      <c r="C955" s="10"/>
      <c r="D955" s="10"/>
      <c r="E955" s="10"/>
      <c r="F955" s="10"/>
      <c r="G955" s="10"/>
      <c r="H955" s="1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4" x14ac:dyDescent="0.15">
      <c r="A956" s="6"/>
      <c r="B956" s="10"/>
      <c r="C956" s="10"/>
      <c r="D956" s="10"/>
      <c r="E956" s="10"/>
      <c r="F956" s="10"/>
      <c r="G956" s="10"/>
      <c r="H956" s="1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4" x14ac:dyDescent="0.15">
      <c r="A957" s="6"/>
      <c r="B957" s="10"/>
      <c r="C957" s="10"/>
      <c r="D957" s="10"/>
      <c r="E957" s="10"/>
      <c r="F957" s="10"/>
      <c r="G957" s="10"/>
      <c r="H957" s="10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4" x14ac:dyDescent="0.15">
      <c r="A958" s="6"/>
      <c r="B958" s="10"/>
      <c r="C958" s="10"/>
      <c r="D958" s="10"/>
      <c r="E958" s="10"/>
      <c r="F958" s="10"/>
      <c r="G958" s="10"/>
      <c r="H958" s="10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4" x14ac:dyDescent="0.15">
      <c r="A959" s="6"/>
      <c r="B959" s="10"/>
      <c r="C959" s="10"/>
      <c r="D959" s="10"/>
      <c r="E959" s="10"/>
      <c r="F959" s="10"/>
      <c r="G959" s="10"/>
      <c r="H959" s="10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4" x14ac:dyDescent="0.15">
      <c r="A960" s="6"/>
      <c r="B960" s="10"/>
      <c r="C960" s="10"/>
      <c r="D960" s="10"/>
      <c r="E960" s="10"/>
      <c r="F960" s="10"/>
      <c r="G960" s="10"/>
      <c r="H960" s="10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4" x14ac:dyDescent="0.15">
      <c r="A961" s="6"/>
      <c r="B961" s="10"/>
      <c r="C961" s="10"/>
      <c r="D961" s="10"/>
      <c r="E961" s="10"/>
      <c r="F961" s="10"/>
      <c r="G961" s="10"/>
      <c r="H961" s="10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4" x14ac:dyDescent="0.15">
      <c r="A962" s="6"/>
      <c r="B962" s="10"/>
      <c r="C962" s="10"/>
      <c r="D962" s="10"/>
      <c r="E962" s="10"/>
      <c r="F962" s="10"/>
      <c r="G962" s="10"/>
      <c r="H962" s="10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4" x14ac:dyDescent="0.15">
      <c r="A963" s="6"/>
      <c r="B963" s="10"/>
      <c r="C963" s="10"/>
      <c r="D963" s="10"/>
      <c r="E963" s="10"/>
      <c r="F963" s="10"/>
      <c r="G963" s="10"/>
      <c r="H963" s="10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4" x14ac:dyDescent="0.15">
      <c r="A964" s="6"/>
      <c r="B964" s="10"/>
      <c r="C964" s="10"/>
      <c r="D964" s="10"/>
      <c r="E964" s="10"/>
      <c r="F964" s="10"/>
      <c r="G964" s="10"/>
      <c r="H964" s="10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4" x14ac:dyDescent="0.15">
      <c r="A965" s="6"/>
      <c r="B965" s="10"/>
      <c r="C965" s="10"/>
      <c r="D965" s="10"/>
      <c r="E965" s="10"/>
      <c r="F965" s="10"/>
      <c r="G965" s="10"/>
      <c r="H965" s="10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4" x14ac:dyDescent="0.15">
      <c r="A966" s="6"/>
      <c r="B966" s="10"/>
      <c r="C966" s="10"/>
      <c r="D966" s="10"/>
      <c r="E966" s="10"/>
      <c r="F966" s="10"/>
      <c r="G966" s="10"/>
      <c r="H966" s="10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4" x14ac:dyDescent="0.15">
      <c r="A967" s="6"/>
      <c r="B967" s="10"/>
      <c r="C967" s="10"/>
      <c r="D967" s="10"/>
      <c r="E967" s="10"/>
      <c r="F967" s="10"/>
      <c r="G967" s="10"/>
      <c r="H967" s="10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4" x14ac:dyDescent="0.15">
      <c r="A968" s="6"/>
      <c r="B968" s="10"/>
      <c r="C968" s="10"/>
      <c r="D968" s="10"/>
      <c r="E968" s="10"/>
      <c r="F968" s="10"/>
      <c r="G968" s="10"/>
      <c r="H968" s="10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4" x14ac:dyDescent="0.15">
      <c r="A969" s="6"/>
      <c r="B969" s="10"/>
      <c r="C969" s="10"/>
      <c r="D969" s="10"/>
      <c r="E969" s="10"/>
      <c r="F969" s="10"/>
      <c r="G969" s="10"/>
      <c r="H969" s="10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4" x14ac:dyDescent="0.15">
      <c r="A970" s="6"/>
      <c r="B970" s="10"/>
      <c r="C970" s="10"/>
      <c r="D970" s="10"/>
      <c r="E970" s="10"/>
      <c r="F970" s="10"/>
      <c r="G970" s="10"/>
      <c r="H970" s="10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4" x14ac:dyDescent="0.15">
      <c r="A971" s="6"/>
      <c r="B971" s="10"/>
      <c r="C971" s="10"/>
      <c r="D971" s="10"/>
      <c r="E971" s="10"/>
      <c r="F971" s="10"/>
      <c r="G971" s="10"/>
      <c r="H971" s="10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4" x14ac:dyDescent="0.15">
      <c r="A972" s="6"/>
      <c r="B972" s="10"/>
      <c r="C972" s="10"/>
      <c r="D972" s="10"/>
      <c r="E972" s="10"/>
      <c r="F972" s="10"/>
      <c r="G972" s="10"/>
      <c r="H972" s="10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4" x14ac:dyDescent="0.15">
      <c r="A973" s="6"/>
      <c r="B973" s="10"/>
      <c r="C973" s="10"/>
      <c r="D973" s="10"/>
      <c r="E973" s="10"/>
      <c r="F973" s="10"/>
      <c r="G973" s="10"/>
      <c r="H973" s="10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4" x14ac:dyDescent="0.15">
      <c r="A974" s="6"/>
      <c r="B974" s="10"/>
      <c r="C974" s="10"/>
      <c r="D974" s="10"/>
      <c r="E974" s="10"/>
      <c r="F974" s="10"/>
      <c r="G974" s="10"/>
      <c r="H974" s="10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4" x14ac:dyDescent="0.15">
      <c r="A975" s="6"/>
      <c r="B975" s="10"/>
      <c r="C975" s="10"/>
      <c r="D975" s="10"/>
      <c r="E975" s="10"/>
      <c r="F975" s="10"/>
      <c r="G975" s="10"/>
      <c r="H975" s="10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4" x14ac:dyDescent="0.15">
      <c r="A976" s="6"/>
      <c r="B976" s="10"/>
      <c r="C976" s="10"/>
      <c r="D976" s="10"/>
      <c r="E976" s="10"/>
      <c r="F976" s="10"/>
      <c r="G976" s="10"/>
      <c r="H976" s="10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4" x14ac:dyDescent="0.15">
      <c r="A977" s="6"/>
      <c r="B977" s="10"/>
      <c r="C977" s="10"/>
      <c r="D977" s="10"/>
      <c r="E977" s="10"/>
      <c r="F977" s="10"/>
      <c r="G977" s="10"/>
      <c r="H977" s="10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4" x14ac:dyDescent="0.15">
      <c r="A978" s="6"/>
      <c r="B978" s="10"/>
      <c r="C978" s="10"/>
      <c r="D978" s="10"/>
      <c r="E978" s="10"/>
      <c r="F978" s="10"/>
      <c r="G978" s="10"/>
      <c r="H978" s="10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4" x14ac:dyDescent="0.15">
      <c r="A979" s="6"/>
      <c r="B979" s="10"/>
      <c r="C979" s="10"/>
      <c r="D979" s="10"/>
      <c r="E979" s="10"/>
      <c r="F979" s="10"/>
      <c r="G979" s="10"/>
      <c r="H979" s="10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4" x14ac:dyDescent="0.15">
      <c r="A980" s="6"/>
      <c r="B980" s="10"/>
      <c r="C980" s="10"/>
      <c r="D980" s="10"/>
      <c r="E980" s="10"/>
      <c r="F980" s="10"/>
      <c r="G980" s="10"/>
      <c r="H980" s="10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4" x14ac:dyDescent="0.15">
      <c r="A981" s="6"/>
      <c r="B981" s="10"/>
      <c r="C981" s="10"/>
      <c r="D981" s="10"/>
      <c r="E981" s="10"/>
      <c r="F981" s="10"/>
      <c r="G981" s="10"/>
      <c r="H981" s="10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4" x14ac:dyDescent="0.15">
      <c r="A982" s="6"/>
      <c r="B982" s="10"/>
      <c r="C982" s="10"/>
      <c r="D982" s="10"/>
      <c r="E982" s="10"/>
      <c r="F982" s="10"/>
      <c r="G982" s="10"/>
      <c r="H982" s="10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4" x14ac:dyDescent="0.15">
      <c r="A983" s="6"/>
      <c r="B983" s="10"/>
      <c r="C983" s="10"/>
      <c r="D983" s="10"/>
      <c r="E983" s="10"/>
      <c r="F983" s="10"/>
      <c r="G983" s="10"/>
      <c r="H983" s="10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4" x14ac:dyDescent="0.15">
      <c r="A984" s="6"/>
      <c r="B984" s="10"/>
      <c r="C984" s="10"/>
      <c r="D984" s="10"/>
      <c r="E984" s="10"/>
      <c r="F984" s="10"/>
      <c r="G984" s="10"/>
      <c r="H984" s="10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4" x14ac:dyDescent="0.15">
      <c r="A985" s="6"/>
      <c r="B985" s="10"/>
      <c r="C985" s="10"/>
      <c r="D985" s="10"/>
      <c r="E985" s="10"/>
      <c r="F985" s="10"/>
      <c r="G985" s="10"/>
      <c r="H985" s="10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4" x14ac:dyDescent="0.15">
      <c r="A986" s="6"/>
      <c r="B986" s="10"/>
      <c r="C986" s="10"/>
      <c r="D986" s="10"/>
      <c r="E986" s="10"/>
      <c r="F986" s="10"/>
      <c r="G986" s="10"/>
      <c r="H986" s="10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4" x14ac:dyDescent="0.15">
      <c r="A987" s="6"/>
      <c r="B987" s="10"/>
      <c r="C987" s="10"/>
      <c r="D987" s="10"/>
      <c r="E987" s="10"/>
      <c r="F987" s="10"/>
      <c r="G987" s="10"/>
      <c r="H987" s="10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4" x14ac:dyDescent="0.15">
      <c r="A988" s="6"/>
      <c r="B988" s="10"/>
      <c r="C988" s="10"/>
      <c r="D988" s="10"/>
      <c r="E988" s="10"/>
      <c r="F988" s="10"/>
      <c r="G988" s="10"/>
      <c r="H988" s="10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4" x14ac:dyDescent="0.15">
      <c r="A989" s="6"/>
      <c r="B989" s="10"/>
      <c r="C989" s="10"/>
      <c r="D989" s="10"/>
      <c r="E989" s="10"/>
      <c r="F989" s="10"/>
      <c r="G989" s="10"/>
      <c r="H989" s="10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4" x14ac:dyDescent="0.15">
      <c r="A990" s="6"/>
      <c r="B990" s="10"/>
      <c r="C990" s="10"/>
      <c r="D990" s="10"/>
      <c r="E990" s="10"/>
      <c r="F990" s="10"/>
      <c r="G990" s="10"/>
      <c r="H990" s="10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4" x14ac:dyDescent="0.15">
      <c r="A991" s="6"/>
      <c r="B991" s="10"/>
      <c r="C991" s="10"/>
      <c r="D991" s="10"/>
      <c r="E991" s="10"/>
      <c r="F991" s="10"/>
      <c r="G991" s="10"/>
      <c r="H991" s="10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4" x14ac:dyDescent="0.15">
      <c r="A992" s="6"/>
      <c r="B992" s="10"/>
      <c r="C992" s="10"/>
      <c r="D992" s="10"/>
      <c r="E992" s="10"/>
      <c r="F992" s="10"/>
      <c r="G992" s="10"/>
      <c r="H992" s="10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4" x14ac:dyDescent="0.15">
      <c r="A993" s="6"/>
      <c r="B993" s="10"/>
      <c r="C993" s="10"/>
      <c r="D993" s="10"/>
      <c r="E993" s="10"/>
      <c r="F993" s="10"/>
      <c r="G993" s="10"/>
      <c r="H993" s="10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4" x14ac:dyDescent="0.15">
      <c r="A994" s="6"/>
      <c r="B994" s="10"/>
      <c r="C994" s="10"/>
      <c r="D994" s="10"/>
      <c r="E994" s="10"/>
      <c r="F994" s="10"/>
      <c r="G994" s="10"/>
      <c r="H994" s="10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4" x14ac:dyDescent="0.15">
      <c r="A995" s="6"/>
      <c r="B995" s="10"/>
      <c r="C995" s="10"/>
      <c r="D995" s="10"/>
      <c r="E995" s="10"/>
      <c r="F995" s="10"/>
      <c r="G995" s="10"/>
      <c r="H995" s="10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4" x14ac:dyDescent="0.15">
      <c r="A996" s="6"/>
      <c r="B996" s="10"/>
      <c r="C996" s="10"/>
      <c r="D996" s="10"/>
      <c r="E996" s="10"/>
      <c r="F996" s="10"/>
      <c r="G996" s="10"/>
      <c r="H996" s="10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4" x14ac:dyDescent="0.15">
      <c r="A997" s="6"/>
      <c r="B997" s="10"/>
      <c r="C997" s="10"/>
      <c r="D997" s="10"/>
      <c r="E997" s="10"/>
      <c r="F997" s="10"/>
      <c r="G997" s="10"/>
      <c r="H997" s="10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4" x14ac:dyDescent="0.15">
      <c r="A998" s="6"/>
      <c r="B998" s="10"/>
      <c r="C998" s="10"/>
      <c r="D998" s="10"/>
      <c r="E998" s="10"/>
      <c r="F998" s="10"/>
      <c r="G998" s="10"/>
      <c r="H998" s="10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4" x14ac:dyDescent="0.15">
      <c r="A999" s="6"/>
      <c r="B999" s="10"/>
      <c r="C999" s="10"/>
      <c r="D999" s="10"/>
      <c r="E999" s="10"/>
      <c r="F999" s="10"/>
      <c r="G999" s="10"/>
      <c r="H999" s="10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4" x14ac:dyDescent="0.15">
      <c r="A1000" s="6"/>
      <c r="B1000" s="10"/>
      <c r="C1000" s="10"/>
      <c r="D1000" s="10"/>
      <c r="E1000" s="10"/>
      <c r="F1000" s="10"/>
      <c r="G1000" s="10"/>
      <c r="H1000" s="10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spans="1:23" ht="14" x14ac:dyDescent="0.15">
      <c r="A1001" s="6"/>
      <c r="B1001" s="10"/>
      <c r="C1001" s="10"/>
      <c r="D1001" s="10"/>
      <c r="E1001" s="10"/>
      <c r="F1001" s="10"/>
      <c r="G1001" s="10"/>
      <c r="H1001" s="10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spans="1:23" ht="14" x14ac:dyDescent="0.15">
      <c r="A1002" s="6"/>
      <c r="B1002" s="10"/>
      <c r="C1002" s="10"/>
      <c r="D1002" s="10"/>
      <c r="E1002" s="10"/>
      <c r="F1002" s="10"/>
      <c r="G1002" s="10"/>
      <c r="H1002" s="10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spans="1:23" ht="14" x14ac:dyDescent="0.15">
      <c r="A1003" s="6"/>
      <c r="B1003" s="10"/>
      <c r="C1003" s="10"/>
      <c r="D1003" s="10"/>
      <c r="E1003" s="10"/>
      <c r="F1003" s="10"/>
      <c r="G1003" s="10"/>
      <c r="H1003" s="10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spans="1:23" ht="14" x14ac:dyDescent="0.15">
      <c r="A1004" s="6"/>
      <c r="B1004" s="10"/>
      <c r="C1004" s="10"/>
      <c r="D1004" s="10"/>
      <c r="E1004" s="10"/>
      <c r="F1004" s="10"/>
      <c r="G1004" s="10"/>
      <c r="H1004" s="10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 spans="1:23" ht="14" x14ac:dyDescent="0.15">
      <c r="A1005" s="6"/>
      <c r="B1005" s="10"/>
      <c r="C1005" s="10"/>
      <c r="D1005" s="10"/>
      <c r="E1005" s="10"/>
      <c r="F1005" s="10"/>
      <c r="G1005" s="10"/>
      <c r="H1005" s="10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 spans="1:23" ht="14" x14ac:dyDescent="0.15">
      <c r="A1006" s="6"/>
      <c r="B1006" s="10"/>
      <c r="C1006" s="10"/>
      <c r="D1006" s="10"/>
      <c r="E1006" s="10"/>
      <c r="F1006" s="10"/>
      <c r="G1006" s="10"/>
      <c r="H1006" s="10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 spans="1:23" ht="14" x14ac:dyDescent="0.15">
      <c r="A1007" s="6"/>
      <c r="B1007" s="10"/>
      <c r="C1007" s="10"/>
      <c r="D1007" s="10"/>
      <c r="E1007" s="10"/>
      <c r="F1007" s="10"/>
      <c r="G1007" s="10"/>
      <c r="H1007" s="10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 spans="1:23" ht="14" x14ac:dyDescent="0.15">
      <c r="A1008" s="6"/>
      <c r="B1008" s="10"/>
      <c r="C1008" s="10"/>
      <c r="D1008" s="10"/>
      <c r="E1008" s="10"/>
      <c r="F1008" s="10"/>
      <c r="G1008" s="10"/>
      <c r="H1008" s="10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 spans="1:23" ht="14" x14ac:dyDescent="0.15">
      <c r="A1009" s="6"/>
      <c r="B1009" s="10"/>
      <c r="C1009" s="10"/>
      <c r="D1009" s="10"/>
      <c r="E1009" s="10"/>
      <c r="F1009" s="10"/>
      <c r="G1009" s="10"/>
      <c r="H1009" s="10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 spans="1:23" ht="14" x14ac:dyDescent="0.15">
      <c r="A1010" s="6"/>
      <c r="B1010" s="10"/>
      <c r="C1010" s="10"/>
      <c r="D1010" s="10"/>
      <c r="E1010" s="10"/>
      <c r="F1010" s="10"/>
      <c r="G1010" s="10"/>
      <c r="H1010" s="10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 spans="1:23" ht="14" x14ac:dyDescent="0.15">
      <c r="A1011" s="6"/>
      <c r="B1011" s="10"/>
      <c r="C1011" s="10"/>
      <c r="D1011" s="10"/>
      <c r="E1011" s="10"/>
      <c r="F1011" s="10"/>
      <c r="G1011" s="10"/>
      <c r="H1011" s="10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 spans="1:23" ht="14" x14ac:dyDescent="0.15">
      <c r="A1012" s="6"/>
      <c r="B1012" s="10"/>
      <c r="C1012" s="10"/>
      <c r="D1012" s="10"/>
      <c r="E1012" s="10"/>
      <c r="F1012" s="10"/>
      <c r="G1012" s="10"/>
      <c r="H1012" s="10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 spans="1:23" ht="14" x14ac:dyDescent="0.15">
      <c r="A1013" s="6"/>
      <c r="B1013" s="10"/>
      <c r="C1013" s="10"/>
      <c r="D1013" s="10"/>
      <c r="E1013" s="10"/>
      <c r="F1013" s="10"/>
      <c r="G1013" s="10"/>
      <c r="H1013" s="10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</sheetData>
  <dataValidations count="1">
    <dataValidation type="list" allowBlank="1" sqref="G2:G320" xr:uid="{00000000-0002-0000-0300-000000000000}">
      <formula1>"Disponible,Dañado,En Reparacion"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2000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12.6640625" defaultRowHeight="15.75" customHeight="1" x14ac:dyDescent="0.15"/>
  <cols>
    <col min="1" max="1" width="19.33203125" customWidth="1"/>
    <col min="2" max="2" width="14.1640625" customWidth="1"/>
    <col min="3" max="3" width="18" customWidth="1"/>
    <col min="4" max="4" width="12.1640625" customWidth="1"/>
    <col min="5" max="5" width="19.5" customWidth="1"/>
    <col min="6" max="8" width="15.83203125" customWidth="1"/>
    <col min="9" max="9" width="21.33203125" customWidth="1"/>
    <col min="10" max="10" width="15.1640625" customWidth="1"/>
    <col min="11" max="11" width="13.5" customWidth="1"/>
    <col min="12" max="13" width="14.6640625" customWidth="1"/>
    <col min="14" max="14" width="16.1640625" customWidth="1"/>
  </cols>
  <sheetData>
    <row r="1" spans="1:28" ht="15.75" customHeight="1" x14ac:dyDescent="0.15">
      <c r="A1" s="16" t="s">
        <v>423</v>
      </c>
      <c r="B1" s="17" t="s">
        <v>424</v>
      </c>
      <c r="C1" s="18" t="s">
        <v>425</v>
      </c>
      <c r="D1" s="18" t="s">
        <v>3</v>
      </c>
      <c r="E1" s="19" t="s">
        <v>426</v>
      </c>
      <c r="F1" s="20" t="s">
        <v>6</v>
      </c>
      <c r="G1" s="20" t="s">
        <v>7</v>
      </c>
      <c r="H1" s="20" t="s">
        <v>427</v>
      </c>
      <c r="I1" s="20" t="s">
        <v>428</v>
      </c>
      <c r="J1" s="20" t="s">
        <v>429</v>
      </c>
      <c r="K1" s="19" t="s">
        <v>430</v>
      </c>
      <c r="L1" s="19" t="s">
        <v>431</v>
      </c>
      <c r="M1" s="21" t="s">
        <v>432</v>
      </c>
      <c r="N1" s="22" t="s">
        <v>433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15.75" customHeight="1" x14ac:dyDescent="0.15">
      <c r="A2" s="24">
        <f>'Scan to Sheets'!A2</f>
        <v>0</v>
      </c>
      <c r="B2" s="25">
        <f>'Scan to Sheets'!B2</f>
        <v>0</v>
      </c>
      <c r="C2" s="26">
        <f>'Scan to Sheets'!C2</f>
        <v>0</v>
      </c>
      <c r="D2" s="26">
        <f>'Scan to Sheets'!D2</f>
        <v>0</v>
      </c>
      <c r="E2" s="27" t="str">
        <f>IFERROR(VLOOKUP(C2,#REF!, 2, FALSE), "NO ENCONTRADO")</f>
        <v>NO ENCONTRADO</v>
      </c>
      <c r="F2" s="27" t="str">
        <f>IFERROR(VLOOKUP(C2,#REF!, 3, FALSE), "NO ENCONTRADO")</f>
        <v>NO ENCONTRADO</v>
      </c>
      <c r="G2" s="27" t="str">
        <f>IFERROR(VLOOKUP(C2,#REF!, 4, FALSE), "NO ENCONTRADO")</f>
        <v>NO ENCONTRADO</v>
      </c>
      <c r="H2" s="27" t="str">
        <f>IFERROR(VLOOKUP(C2,#REF!, 5, FALSE), "NO ENCONTRADO")</f>
        <v>NO ENCONTRADO</v>
      </c>
      <c r="I2" s="28"/>
      <c r="J2" s="27"/>
      <c r="K2" s="29"/>
      <c r="L2" s="28"/>
      <c r="M2" s="30">
        <f t="shared" ref="M2:M903" ca="1" si="0">TODAY()-A2</f>
        <v>46026</v>
      </c>
      <c r="N2" s="31" t="str">
        <f t="shared" ref="N2:N903" ca="1" si="1">IF(AND(L2="No",M2&gt;= 1),"⚠️ATRASADO","✅")</f>
        <v>✅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ht="15.75" customHeight="1" x14ac:dyDescent="0.15">
      <c r="A3" s="33">
        <f>'Scan to Sheets'!A3</f>
        <v>0</v>
      </c>
      <c r="B3" s="34">
        <f>'Scan to Sheets'!B3</f>
        <v>0</v>
      </c>
      <c r="C3" s="35">
        <f>'Scan to Sheets'!C3</f>
        <v>0</v>
      </c>
      <c r="D3" s="35">
        <f>'Scan to Sheets'!D3</f>
        <v>0</v>
      </c>
      <c r="E3" s="36" t="str">
        <f>IFERROR(VLOOKUP(C3,#REF!, 2, FALSE), "NO ENCONTRADO")</f>
        <v>NO ENCONTRADO</v>
      </c>
      <c r="F3" s="36" t="str">
        <f>IFERROR(VLOOKUP(C3,#REF!, 3, FALSE), "NO ENCONTRADO")</f>
        <v>NO ENCONTRADO</v>
      </c>
      <c r="G3" s="36" t="str">
        <f>IFERROR(VLOOKUP(C3,#REF!, 4, FALSE), "NO ENCONTRADO")</f>
        <v>NO ENCONTRADO</v>
      </c>
      <c r="H3" s="36" t="str">
        <f>IFERROR(VLOOKUP(C3,#REF!, 5, FALSE), "NO ENCONTRADO")</f>
        <v>NO ENCONTRADO</v>
      </c>
      <c r="I3" s="37"/>
      <c r="J3" s="36"/>
      <c r="K3" s="38"/>
      <c r="L3" s="37"/>
      <c r="M3" s="39">
        <f t="shared" ca="1" si="0"/>
        <v>46026</v>
      </c>
      <c r="N3" s="40" t="str">
        <f t="shared" ca="1" si="1"/>
        <v>✅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spans="1:28" ht="15.75" customHeight="1" x14ac:dyDescent="0.15">
      <c r="A4" s="24">
        <f>'Scan to Sheets'!A4</f>
        <v>0</v>
      </c>
      <c r="B4" s="26">
        <f>'Scan to Sheets'!B4</f>
        <v>0</v>
      </c>
      <c r="C4" s="26">
        <f>'Scan to Sheets'!C4</f>
        <v>0</v>
      </c>
      <c r="D4" s="26">
        <f>'Scan to Sheets'!D4</f>
        <v>0</v>
      </c>
      <c r="E4" s="27" t="str">
        <f>IFERROR(VLOOKUP(C4,#REF!, 2, FALSE), "NO ENCONTRADO")</f>
        <v>NO ENCONTRADO</v>
      </c>
      <c r="F4" s="27" t="str">
        <f>IFERROR(VLOOKUP(C4,#REF!, 3, FALSE), "NO ENCONTRADO")</f>
        <v>NO ENCONTRADO</v>
      </c>
      <c r="G4" s="27" t="str">
        <f>IFERROR(VLOOKUP(C4,#REF!, 4, FALSE), "NO ENCONTRADO")</f>
        <v>NO ENCONTRADO</v>
      </c>
      <c r="H4" s="27" t="str">
        <f>IFERROR(VLOOKUP(C4,#REF!, 5, FALSE), "NO ENCONTRADO")</f>
        <v>NO ENCONTRADO</v>
      </c>
      <c r="I4" s="28"/>
      <c r="J4" s="27"/>
      <c r="K4" s="41"/>
      <c r="L4" s="28"/>
      <c r="M4" s="30">
        <f t="shared" ca="1" si="0"/>
        <v>46026</v>
      </c>
      <c r="N4" s="31" t="str">
        <f t="shared" ca="1" si="1"/>
        <v>✅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 ht="15.75" customHeight="1" x14ac:dyDescent="0.15">
      <c r="A5" s="33">
        <f>'Scan to Sheets'!A5</f>
        <v>0</v>
      </c>
      <c r="B5" s="35">
        <f>'Scan to Sheets'!B5</f>
        <v>0</v>
      </c>
      <c r="C5" s="35">
        <f>'Scan to Sheets'!C5</f>
        <v>0</v>
      </c>
      <c r="D5" s="35">
        <f>'Scan to Sheets'!D5</f>
        <v>0</v>
      </c>
      <c r="E5" s="36" t="str">
        <f>IFERROR(VLOOKUP(C5,#REF!, 2, FALSE), "NO ENCONTRADO")</f>
        <v>NO ENCONTRADO</v>
      </c>
      <c r="F5" s="36" t="str">
        <f>IFERROR(VLOOKUP(C5,#REF!, 3, FALSE), "NO ENCONTRADO")</f>
        <v>NO ENCONTRADO</v>
      </c>
      <c r="G5" s="36" t="str">
        <f>IFERROR(VLOOKUP(C5,#REF!, 4, FALSE), "NO ENCONTRADO")</f>
        <v>NO ENCONTRADO</v>
      </c>
      <c r="H5" s="36" t="str">
        <f>IFERROR(VLOOKUP(C5,#REF!, 5, FALSE), "NO ENCONTRADO")</f>
        <v>NO ENCONTRADO</v>
      </c>
      <c r="I5" s="37"/>
      <c r="J5" s="36"/>
      <c r="K5" s="42"/>
      <c r="L5" s="15"/>
      <c r="M5" s="39">
        <f t="shared" ca="1" si="0"/>
        <v>46026</v>
      </c>
      <c r="N5" s="40" t="str">
        <f t="shared" ca="1" si="1"/>
        <v>✅</v>
      </c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1:28" ht="15.75" customHeight="1" x14ac:dyDescent="0.15">
      <c r="A6" s="24">
        <f>'Scan to Sheets'!A6</f>
        <v>0</v>
      </c>
      <c r="B6" s="26">
        <f>'Scan to Sheets'!B6</f>
        <v>0</v>
      </c>
      <c r="C6" s="26">
        <f>'Scan to Sheets'!C6</f>
        <v>0</v>
      </c>
      <c r="D6" s="26">
        <f>'Scan to Sheets'!D6</f>
        <v>0</v>
      </c>
      <c r="E6" s="27" t="str">
        <f>IFERROR(VLOOKUP(C6,#REF!, 2, FALSE), "NO ENCONTRADO")</f>
        <v>NO ENCONTRADO</v>
      </c>
      <c r="F6" s="27" t="str">
        <f>IFERROR(VLOOKUP(C6,#REF!, 3, FALSE), "NO ENCONTRADO")</f>
        <v>NO ENCONTRADO</v>
      </c>
      <c r="G6" s="27" t="str">
        <f>IFERROR(VLOOKUP(C6,#REF!, 4, FALSE), "NO ENCONTRADO")</f>
        <v>NO ENCONTRADO</v>
      </c>
      <c r="H6" s="27" t="str">
        <f>IFERROR(VLOOKUP(C6,#REF!, 5, FALSE), "NO ENCONTRADO")</f>
        <v>NO ENCONTRADO</v>
      </c>
      <c r="I6" s="28"/>
      <c r="J6" s="27"/>
      <c r="K6" s="41"/>
      <c r="L6" s="14"/>
      <c r="M6" s="30">
        <f t="shared" ca="1" si="0"/>
        <v>46026</v>
      </c>
      <c r="N6" s="31" t="str">
        <f t="shared" ca="1" si="1"/>
        <v>✅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 spans="1:28" ht="15.75" customHeight="1" x14ac:dyDescent="0.15">
      <c r="A7" s="33">
        <f>'Scan to Sheets'!A7</f>
        <v>0</v>
      </c>
      <c r="B7" s="35">
        <f>'Scan to Sheets'!B7</f>
        <v>0</v>
      </c>
      <c r="C7" s="35">
        <f>'Scan to Sheets'!C7</f>
        <v>0</v>
      </c>
      <c r="D7" s="35">
        <f>'Scan to Sheets'!D7</f>
        <v>0</v>
      </c>
      <c r="E7" s="36" t="str">
        <f>IFERROR(VLOOKUP(C7,#REF!, 2, FALSE), "NO ENCONTRADO")</f>
        <v>NO ENCONTRADO</v>
      </c>
      <c r="F7" s="36" t="str">
        <f>IFERROR(VLOOKUP(C7,#REF!, 3, FALSE), "NO ENCONTRADO")</f>
        <v>NO ENCONTRADO</v>
      </c>
      <c r="G7" s="36" t="str">
        <f>IFERROR(VLOOKUP(C7,#REF!, 4, FALSE), "NO ENCONTRADO")</f>
        <v>NO ENCONTRADO</v>
      </c>
      <c r="H7" s="36" t="str">
        <f>IFERROR(VLOOKUP(C7,#REF!, 5, FALSE), "NO ENCONTRADO")</f>
        <v>NO ENCONTRADO</v>
      </c>
      <c r="I7" s="37"/>
      <c r="J7" s="36"/>
      <c r="K7" s="42"/>
      <c r="L7" s="15"/>
      <c r="M7" s="39">
        <f t="shared" ca="1" si="0"/>
        <v>46026</v>
      </c>
      <c r="N7" s="40" t="str">
        <f t="shared" ca="1" si="1"/>
        <v>✅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 ht="15.75" customHeight="1" x14ac:dyDescent="0.15">
      <c r="A8" s="24">
        <f>'Scan to Sheets'!A8</f>
        <v>0</v>
      </c>
      <c r="B8" s="26">
        <f>'Scan to Sheets'!B8</f>
        <v>0</v>
      </c>
      <c r="C8" s="26">
        <f>'Scan to Sheets'!C8</f>
        <v>0</v>
      </c>
      <c r="D8" s="26">
        <f>'Scan to Sheets'!D8</f>
        <v>0</v>
      </c>
      <c r="E8" s="27" t="str">
        <f>IFERROR(VLOOKUP(C8,#REF!, 2, FALSE), "NO ENCONTRADO")</f>
        <v>NO ENCONTRADO</v>
      </c>
      <c r="F8" s="27" t="str">
        <f>IFERROR(VLOOKUP(C8,#REF!, 3, FALSE), "NO ENCONTRADO")</f>
        <v>NO ENCONTRADO</v>
      </c>
      <c r="G8" s="27" t="str">
        <f>IFERROR(VLOOKUP(C8,#REF!, 4, FALSE), "NO ENCONTRADO")</f>
        <v>NO ENCONTRADO</v>
      </c>
      <c r="H8" s="27" t="str">
        <f>IFERROR(VLOOKUP(C8,#REF!, 5, FALSE), "NO ENCONTRADO")</f>
        <v>NO ENCONTRADO</v>
      </c>
      <c r="I8" s="28"/>
      <c r="J8" s="27"/>
      <c r="K8" s="41"/>
      <c r="L8" s="14"/>
      <c r="M8" s="30">
        <f t="shared" ca="1" si="0"/>
        <v>46026</v>
      </c>
      <c r="N8" s="31" t="str">
        <f t="shared" ca="1" si="1"/>
        <v>✅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 ht="15.75" customHeight="1" x14ac:dyDescent="0.15">
      <c r="A9" s="33">
        <f>'Scan to Sheets'!A9</f>
        <v>0</v>
      </c>
      <c r="B9" s="35">
        <f>'Scan to Sheets'!B9</f>
        <v>0</v>
      </c>
      <c r="C9" s="35">
        <f>'Scan to Sheets'!C9</f>
        <v>0</v>
      </c>
      <c r="D9" s="35">
        <f>'Scan to Sheets'!D9</f>
        <v>0</v>
      </c>
      <c r="E9" s="36" t="str">
        <f>IFERROR(VLOOKUP(C9,#REF!, 2, FALSE), "NO ENCONTRADO")</f>
        <v>NO ENCONTRADO</v>
      </c>
      <c r="F9" s="36" t="str">
        <f>IFERROR(VLOOKUP(C9,#REF!, 3, FALSE), "NO ENCONTRADO")</f>
        <v>NO ENCONTRADO</v>
      </c>
      <c r="G9" s="36" t="str">
        <f>IFERROR(VLOOKUP(C9,#REF!, 4, FALSE), "NO ENCONTRADO")</f>
        <v>NO ENCONTRADO</v>
      </c>
      <c r="H9" s="36" t="str">
        <f>IFERROR(VLOOKUP(C9,#REF!, 5, FALSE), "NO ENCONTRADO")</f>
        <v>NO ENCONTRADO</v>
      </c>
      <c r="I9" s="15"/>
      <c r="J9" s="36"/>
      <c r="K9" s="42"/>
      <c r="L9" s="15"/>
      <c r="M9" s="39">
        <f t="shared" ca="1" si="0"/>
        <v>46026</v>
      </c>
      <c r="N9" s="40" t="str">
        <f t="shared" ca="1" si="1"/>
        <v>✅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spans="1:28" ht="15.75" customHeight="1" x14ac:dyDescent="0.15">
      <c r="A10" s="24">
        <f>'Scan to Sheets'!A10</f>
        <v>0</v>
      </c>
      <c r="B10" s="26">
        <f>'Scan to Sheets'!B10</f>
        <v>0</v>
      </c>
      <c r="C10" s="26">
        <f>'Scan to Sheets'!C10</f>
        <v>0</v>
      </c>
      <c r="D10" s="26">
        <f>'Scan to Sheets'!D10</f>
        <v>0</v>
      </c>
      <c r="E10" s="27" t="str">
        <f>IFERROR(VLOOKUP(C10,#REF!, 2, FALSE), "NO ENCONTRADO")</f>
        <v>NO ENCONTRADO</v>
      </c>
      <c r="F10" s="27" t="str">
        <f>IFERROR(VLOOKUP(C10,#REF!, 3, FALSE), "NO ENCONTRADO")</f>
        <v>NO ENCONTRADO</v>
      </c>
      <c r="G10" s="27" t="str">
        <f>IFERROR(VLOOKUP(C10,#REF!, 4, FALSE), "NO ENCONTRADO")</f>
        <v>NO ENCONTRADO</v>
      </c>
      <c r="H10" s="27" t="str">
        <f>IFERROR(VLOOKUP(C10,#REF!, 5, FALSE), "NO ENCONTRADO")</f>
        <v>NO ENCONTRADO</v>
      </c>
      <c r="I10" s="14"/>
      <c r="J10" s="27"/>
      <c r="K10" s="41"/>
      <c r="L10" s="14"/>
      <c r="M10" s="30">
        <f t="shared" ca="1" si="0"/>
        <v>46026</v>
      </c>
      <c r="N10" s="31" t="str">
        <f t="shared" ca="1" si="1"/>
        <v>✅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 ht="15.75" customHeight="1" x14ac:dyDescent="0.15">
      <c r="A11" s="33">
        <f>'Scan to Sheets'!A11</f>
        <v>0</v>
      </c>
      <c r="B11" s="35">
        <f>'Scan to Sheets'!B11</f>
        <v>0</v>
      </c>
      <c r="C11" s="35">
        <f>'Scan to Sheets'!C11</f>
        <v>0</v>
      </c>
      <c r="D11" s="35">
        <f>'Scan to Sheets'!D11</f>
        <v>0</v>
      </c>
      <c r="E11" s="36" t="str">
        <f>IFERROR(VLOOKUP(C11,#REF!, 2, FALSE), "NO ENCONTRADO")</f>
        <v>NO ENCONTRADO</v>
      </c>
      <c r="F11" s="36" t="str">
        <f>IFERROR(VLOOKUP(C11,#REF!, 3, FALSE), "NO ENCONTRADO")</f>
        <v>NO ENCONTRADO</v>
      </c>
      <c r="G11" s="36" t="str">
        <f>IFERROR(VLOOKUP(C11,#REF!, 4, FALSE), "NO ENCONTRADO")</f>
        <v>NO ENCONTRADO</v>
      </c>
      <c r="H11" s="36" t="str">
        <f>IFERROR(VLOOKUP(C11,#REF!, 5, FALSE), "NO ENCONTRADO")</f>
        <v>NO ENCONTRADO</v>
      </c>
      <c r="I11" s="15"/>
      <c r="J11" s="36"/>
      <c r="K11" s="42"/>
      <c r="L11" s="15"/>
      <c r="M11" s="39">
        <f t="shared" ca="1" si="0"/>
        <v>46026</v>
      </c>
      <c r="N11" s="40" t="str">
        <f t="shared" ca="1" si="1"/>
        <v>✅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ht="15.75" customHeight="1" x14ac:dyDescent="0.15">
      <c r="A12" s="24">
        <f>'Scan to Sheets'!A12</f>
        <v>0</v>
      </c>
      <c r="B12" s="26">
        <f>'Scan to Sheets'!B12</f>
        <v>0</v>
      </c>
      <c r="C12" s="26">
        <f>'Scan to Sheets'!C12</f>
        <v>0</v>
      </c>
      <c r="D12" s="26">
        <f>'Scan to Sheets'!D12</f>
        <v>0</v>
      </c>
      <c r="E12" s="27" t="str">
        <f>IFERROR(VLOOKUP(C12,#REF!, 2, FALSE), "NO ENCONTRADO")</f>
        <v>NO ENCONTRADO</v>
      </c>
      <c r="F12" s="27" t="str">
        <f>IFERROR(VLOOKUP(C12,#REF!, 3, FALSE), "NO ENCONTRADO")</f>
        <v>NO ENCONTRADO</v>
      </c>
      <c r="G12" s="27" t="str">
        <f>IFERROR(VLOOKUP(C12,#REF!, 4, FALSE), "NO ENCONTRADO")</f>
        <v>NO ENCONTRADO</v>
      </c>
      <c r="H12" s="27" t="str">
        <f>IFERROR(VLOOKUP(C12,#REF!, 5, FALSE), "NO ENCONTRADO")</f>
        <v>NO ENCONTRADO</v>
      </c>
      <c r="I12" s="14"/>
      <c r="J12" s="27"/>
      <c r="K12" s="41"/>
      <c r="L12" s="14"/>
      <c r="M12" s="30">
        <f t="shared" ca="1" si="0"/>
        <v>46026</v>
      </c>
      <c r="N12" s="31" t="str">
        <f t="shared" ca="1" si="1"/>
        <v>✅</v>
      </c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 ht="15.75" customHeight="1" x14ac:dyDescent="0.15">
      <c r="A13" s="33">
        <f>'Scan to Sheets'!A13</f>
        <v>0</v>
      </c>
      <c r="B13" s="35">
        <f>'Scan to Sheets'!B13</f>
        <v>0</v>
      </c>
      <c r="C13" s="35">
        <f>'Scan to Sheets'!C13</f>
        <v>0</v>
      </c>
      <c r="D13" s="35">
        <f>'Scan to Sheets'!D13</f>
        <v>0</v>
      </c>
      <c r="E13" s="36" t="str">
        <f>IFERROR(VLOOKUP(C13,#REF!, 2, FALSE), "NO ENCONTRADO")</f>
        <v>NO ENCONTRADO</v>
      </c>
      <c r="F13" s="36" t="str">
        <f>IFERROR(VLOOKUP(C13,#REF!, 3, FALSE), "NO ENCONTRADO")</f>
        <v>NO ENCONTRADO</v>
      </c>
      <c r="G13" s="36" t="str">
        <f>IFERROR(VLOOKUP(C13,#REF!, 4, FALSE), "NO ENCONTRADO")</f>
        <v>NO ENCONTRADO</v>
      </c>
      <c r="H13" s="36" t="str">
        <f>IFERROR(VLOOKUP(C13,#REF!, 5, FALSE), "NO ENCONTRADO")</f>
        <v>NO ENCONTRADO</v>
      </c>
      <c r="I13" s="15"/>
      <c r="J13" s="36"/>
      <c r="K13" s="42"/>
      <c r="L13" s="15"/>
      <c r="M13" s="39">
        <f t="shared" ca="1" si="0"/>
        <v>46026</v>
      </c>
      <c r="N13" s="40" t="str">
        <f t="shared" ca="1" si="1"/>
        <v>✅</v>
      </c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ht="15.75" customHeight="1" x14ac:dyDescent="0.15">
      <c r="A14" s="24">
        <f>'Scan to Sheets'!A14</f>
        <v>0</v>
      </c>
      <c r="B14" s="26">
        <f>'Scan to Sheets'!B14</f>
        <v>0</v>
      </c>
      <c r="C14" s="26">
        <f>'Scan to Sheets'!C14</f>
        <v>0</v>
      </c>
      <c r="D14" s="26">
        <f>'Scan to Sheets'!D14</f>
        <v>0</v>
      </c>
      <c r="E14" s="27" t="str">
        <f>IFERROR(VLOOKUP(C14,#REF!, 2, FALSE), "NO ENCONTRADO")</f>
        <v>NO ENCONTRADO</v>
      </c>
      <c r="F14" s="27" t="str">
        <f>IFERROR(VLOOKUP(C14,#REF!, 3, FALSE), "NO ENCONTRADO")</f>
        <v>NO ENCONTRADO</v>
      </c>
      <c r="G14" s="27" t="str">
        <f>IFERROR(VLOOKUP(C14,#REF!, 4, FALSE), "NO ENCONTRADO")</f>
        <v>NO ENCONTRADO</v>
      </c>
      <c r="H14" s="27" t="str">
        <f>IFERROR(VLOOKUP(C14,#REF!, 5, FALSE), "NO ENCONTRADO")</f>
        <v>NO ENCONTRADO</v>
      </c>
      <c r="I14" s="14"/>
      <c r="J14" s="27"/>
      <c r="K14" s="41"/>
      <c r="L14" s="14"/>
      <c r="M14" s="30">
        <f t="shared" ca="1" si="0"/>
        <v>46026</v>
      </c>
      <c r="N14" s="31" t="str">
        <f t="shared" ca="1" si="1"/>
        <v>✅</v>
      </c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spans="1:28" ht="15.75" customHeight="1" x14ac:dyDescent="0.15">
      <c r="A15" s="33">
        <f>'Scan to Sheets'!A15</f>
        <v>0</v>
      </c>
      <c r="B15" s="35">
        <f>'Scan to Sheets'!B15</f>
        <v>0</v>
      </c>
      <c r="C15" s="35">
        <f>'Scan to Sheets'!C15</f>
        <v>0</v>
      </c>
      <c r="D15" s="35">
        <f>'Scan to Sheets'!D15</f>
        <v>0</v>
      </c>
      <c r="E15" s="36" t="str">
        <f>IFERROR(VLOOKUP(C15,#REF!, 2, FALSE), "NO ENCONTRADO")</f>
        <v>NO ENCONTRADO</v>
      </c>
      <c r="F15" s="36" t="str">
        <f>IFERROR(VLOOKUP(C15,#REF!, 3, FALSE), "NO ENCONTRADO")</f>
        <v>NO ENCONTRADO</v>
      </c>
      <c r="G15" s="36" t="str">
        <f>IFERROR(VLOOKUP(C15,#REF!, 4, FALSE), "NO ENCONTRADO")</f>
        <v>NO ENCONTRADO</v>
      </c>
      <c r="H15" s="36" t="str">
        <f>IFERROR(VLOOKUP(C15,#REF!, 5, FALSE), "NO ENCONTRADO")</f>
        <v>NO ENCONTRADO</v>
      </c>
      <c r="I15" s="15"/>
      <c r="J15" s="36"/>
      <c r="K15" s="42"/>
      <c r="L15" s="15"/>
      <c r="M15" s="39">
        <f t="shared" ca="1" si="0"/>
        <v>46026</v>
      </c>
      <c r="N15" s="40" t="str">
        <f t="shared" ca="1" si="1"/>
        <v>✅</v>
      </c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spans="1:28" ht="15.75" customHeight="1" x14ac:dyDescent="0.15">
      <c r="A16" s="24">
        <f>'Scan to Sheets'!A16</f>
        <v>0</v>
      </c>
      <c r="B16" s="26">
        <f>'Scan to Sheets'!B16</f>
        <v>0</v>
      </c>
      <c r="C16" s="26">
        <f>'Scan to Sheets'!C16</f>
        <v>0</v>
      </c>
      <c r="D16" s="26">
        <f>'Scan to Sheets'!D16</f>
        <v>0</v>
      </c>
      <c r="E16" s="27" t="str">
        <f>IFERROR(VLOOKUP(C16,#REF!, 2, FALSE), "NO ENCONTRADO")</f>
        <v>NO ENCONTRADO</v>
      </c>
      <c r="F16" s="27" t="str">
        <f>IFERROR(VLOOKUP(C16,#REF!, 3, FALSE), "NO ENCONTRADO")</f>
        <v>NO ENCONTRADO</v>
      </c>
      <c r="G16" s="27" t="str">
        <f>IFERROR(VLOOKUP(C16,#REF!, 4, FALSE), "NO ENCONTRADO")</f>
        <v>NO ENCONTRADO</v>
      </c>
      <c r="H16" s="27" t="str">
        <f>IFERROR(VLOOKUP(C16,#REF!, 5, FALSE), "NO ENCONTRADO")</f>
        <v>NO ENCONTRADO</v>
      </c>
      <c r="I16" s="14"/>
      <c r="J16" s="27"/>
      <c r="K16" s="41"/>
      <c r="L16" s="14"/>
      <c r="M16" s="30">
        <f t="shared" ca="1" si="0"/>
        <v>46026</v>
      </c>
      <c r="N16" s="31" t="str">
        <f t="shared" ca="1" si="1"/>
        <v>✅</v>
      </c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spans="1:28" ht="15.75" customHeight="1" x14ac:dyDescent="0.15">
      <c r="A17" s="33">
        <f>'Scan to Sheets'!A17</f>
        <v>0</v>
      </c>
      <c r="B17" s="35">
        <f>'Scan to Sheets'!B17</f>
        <v>0</v>
      </c>
      <c r="C17" s="35">
        <f>'Scan to Sheets'!C17</f>
        <v>0</v>
      </c>
      <c r="D17" s="35">
        <f>'Scan to Sheets'!D17</f>
        <v>0</v>
      </c>
      <c r="E17" s="36" t="str">
        <f>IFERROR(VLOOKUP(C17,#REF!, 2, FALSE), "NO ENCONTRADO")</f>
        <v>NO ENCONTRADO</v>
      </c>
      <c r="F17" s="36" t="str">
        <f>IFERROR(VLOOKUP(C17,#REF!, 3, FALSE), "NO ENCONTRADO")</f>
        <v>NO ENCONTRADO</v>
      </c>
      <c r="G17" s="36" t="str">
        <f>IFERROR(VLOOKUP(C17,#REF!, 4, FALSE), "NO ENCONTRADO")</f>
        <v>NO ENCONTRADO</v>
      </c>
      <c r="H17" s="36" t="str">
        <f>IFERROR(VLOOKUP(C17,#REF!, 5, FALSE), "NO ENCONTRADO")</f>
        <v>NO ENCONTRADO</v>
      </c>
      <c r="I17" s="15"/>
      <c r="J17" s="36"/>
      <c r="K17" s="42"/>
      <c r="L17" s="15"/>
      <c r="M17" s="39">
        <f t="shared" ca="1" si="0"/>
        <v>46026</v>
      </c>
      <c r="N17" s="40" t="str">
        <f t="shared" ca="1" si="1"/>
        <v>✅</v>
      </c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spans="1:28" ht="15.75" customHeight="1" x14ac:dyDescent="0.15">
      <c r="A18" s="24">
        <f>'Scan to Sheets'!A18</f>
        <v>0</v>
      </c>
      <c r="B18" s="26">
        <f>'Scan to Sheets'!B18</f>
        <v>0</v>
      </c>
      <c r="C18" s="26">
        <f>'Scan to Sheets'!C18</f>
        <v>0</v>
      </c>
      <c r="D18" s="26">
        <f>'Scan to Sheets'!D18</f>
        <v>0</v>
      </c>
      <c r="E18" s="27" t="str">
        <f>IFERROR(VLOOKUP(C18,#REF!, 2, FALSE), "NO ENCONTRADO")</f>
        <v>NO ENCONTRADO</v>
      </c>
      <c r="F18" s="27" t="str">
        <f>IFERROR(VLOOKUP(C18,#REF!, 3, FALSE), "NO ENCONTRADO")</f>
        <v>NO ENCONTRADO</v>
      </c>
      <c r="G18" s="27" t="str">
        <f>IFERROR(VLOOKUP(C18,#REF!, 4, FALSE), "NO ENCONTRADO")</f>
        <v>NO ENCONTRADO</v>
      </c>
      <c r="H18" s="27" t="str">
        <f>IFERROR(VLOOKUP(C18,#REF!, 5, FALSE), "NO ENCONTRADO")</f>
        <v>NO ENCONTRADO</v>
      </c>
      <c r="I18" s="14"/>
      <c r="J18" s="27"/>
      <c r="K18" s="41"/>
      <c r="L18" s="14"/>
      <c r="M18" s="30">
        <f t="shared" ca="1" si="0"/>
        <v>46026</v>
      </c>
      <c r="N18" s="31" t="str">
        <f t="shared" ca="1" si="1"/>
        <v>✅</v>
      </c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spans="1:28" ht="15.75" customHeight="1" x14ac:dyDescent="0.15">
      <c r="A19" s="33">
        <f>'Scan to Sheets'!A19</f>
        <v>0</v>
      </c>
      <c r="B19" s="35">
        <f>'Scan to Sheets'!B19</f>
        <v>0</v>
      </c>
      <c r="C19" s="35">
        <f>'Scan to Sheets'!C19</f>
        <v>0</v>
      </c>
      <c r="D19" s="35">
        <f>'Scan to Sheets'!D19</f>
        <v>0</v>
      </c>
      <c r="E19" s="36" t="str">
        <f>IFERROR(VLOOKUP(C19,#REF!, 2, FALSE), "NO ENCONTRADO")</f>
        <v>NO ENCONTRADO</v>
      </c>
      <c r="F19" s="36" t="str">
        <f>IFERROR(VLOOKUP(C19,#REF!, 3, FALSE), "NO ENCONTRADO")</f>
        <v>NO ENCONTRADO</v>
      </c>
      <c r="G19" s="36" t="str">
        <f>IFERROR(VLOOKUP(C19,#REF!, 4, FALSE), "NO ENCONTRADO")</f>
        <v>NO ENCONTRADO</v>
      </c>
      <c r="H19" s="36" t="str">
        <f>IFERROR(VLOOKUP(C19,#REF!, 5, FALSE), "NO ENCONTRADO")</f>
        <v>NO ENCONTRADO</v>
      </c>
      <c r="I19" s="15"/>
      <c r="J19" s="36"/>
      <c r="K19" s="42"/>
      <c r="L19" s="15"/>
      <c r="M19" s="39">
        <f t="shared" ca="1" si="0"/>
        <v>46026</v>
      </c>
      <c r="N19" s="40" t="str">
        <f t="shared" ca="1" si="1"/>
        <v>✅</v>
      </c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spans="1:28" ht="15.75" customHeight="1" x14ac:dyDescent="0.15">
      <c r="A20" s="24">
        <f>'Scan to Sheets'!A20</f>
        <v>0</v>
      </c>
      <c r="B20" s="26">
        <f>'Scan to Sheets'!B20</f>
        <v>0</v>
      </c>
      <c r="C20" s="26">
        <f>'Scan to Sheets'!C20</f>
        <v>0</v>
      </c>
      <c r="D20" s="26">
        <f>'Scan to Sheets'!D20</f>
        <v>0</v>
      </c>
      <c r="E20" s="27" t="str">
        <f>IFERROR(VLOOKUP(C20,#REF!, 2, FALSE), "NO ENCONTRADO")</f>
        <v>NO ENCONTRADO</v>
      </c>
      <c r="F20" s="27" t="str">
        <f>IFERROR(VLOOKUP(C20,#REF!, 3, FALSE), "NO ENCONTRADO")</f>
        <v>NO ENCONTRADO</v>
      </c>
      <c r="G20" s="27" t="str">
        <f>IFERROR(VLOOKUP(C20,#REF!, 4, FALSE), "NO ENCONTRADO")</f>
        <v>NO ENCONTRADO</v>
      </c>
      <c r="H20" s="27" t="str">
        <f>IFERROR(VLOOKUP(C20,#REF!, 5, FALSE), "NO ENCONTRADO")</f>
        <v>NO ENCONTRADO</v>
      </c>
      <c r="I20" s="14"/>
      <c r="J20" s="27"/>
      <c r="K20" s="41"/>
      <c r="L20" s="14"/>
      <c r="M20" s="30">
        <f t="shared" ca="1" si="0"/>
        <v>46026</v>
      </c>
      <c r="N20" s="31" t="str">
        <f t="shared" ca="1" si="1"/>
        <v>✅</v>
      </c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spans="1:28" ht="15.75" customHeight="1" x14ac:dyDescent="0.15">
      <c r="A21" s="33">
        <f>'Scan to Sheets'!A21</f>
        <v>0</v>
      </c>
      <c r="B21" s="35">
        <f>'Scan to Sheets'!B21</f>
        <v>0</v>
      </c>
      <c r="C21" s="35">
        <f>'Scan to Sheets'!C21</f>
        <v>0</v>
      </c>
      <c r="D21" s="35">
        <f>'Scan to Sheets'!D21</f>
        <v>0</v>
      </c>
      <c r="E21" s="36" t="str">
        <f>IFERROR(VLOOKUP(C21,#REF!, 2, FALSE), "NO ENCONTRADO")</f>
        <v>NO ENCONTRADO</v>
      </c>
      <c r="F21" s="36" t="str">
        <f>IFERROR(VLOOKUP(C21,#REF!, 3, FALSE), "NO ENCONTRADO")</f>
        <v>NO ENCONTRADO</v>
      </c>
      <c r="G21" s="36" t="str">
        <f>IFERROR(VLOOKUP(C21,#REF!, 4, FALSE), "NO ENCONTRADO")</f>
        <v>NO ENCONTRADO</v>
      </c>
      <c r="H21" s="36" t="str">
        <f>IFERROR(VLOOKUP(C21,#REF!, 5, FALSE), "NO ENCONTRADO")</f>
        <v>NO ENCONTRADO</v>
      </c>
      <c r="I21" s="15"/>
      <c r="J21" s="36"/>
      <c r="K21" s="42"/>
      <c r="L21" s="15"/>
      <c r="M21" s="39">
        <f t="shared" ca="1" si="0"/>
        <v>46026</v>
      </c>
      <c r="N21" s="40" t="str">
        <f t="shared" ca="1" si="1"/>
        <v>✅</v>
      </c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spans="1:28" ht="15.75" customHeight="1" x14ac:dyDescent="0.15">
      <c r="A22" s="24">
        <f>'Scan to Sheets'!A22</f>
        <v>0</v>
      </c>
      <c r="B22" s="26">
        <f>'Scan to Sheets'!B22</f>
        <v>0</v>
      </c>
      <c r="C22" s="26">
        <f>'Scan to Sheets'!C22</f>
        <v>0</v>
      </c>
      <c r="D22" s="26">
        <f>'Scan to Sheets'!D22</f>
        <v>0</v>
      </c>
      <c r="E22" s="27" t="str">
        <f>IFERROR(VLOOKUP(C22,#REF!, 2, FALSE), "NO ENCONTRADO")</f>
        <v>NO ENCONTRADO</v>
      </c>
      <c r="F22" s="27" t="str">
        <f>IFERROR(VLOOKUP(C22,#REF!, 3, FALSE), "NO ENCONTRADO")</f>
        <v>NO ENCONTRADO</v>
      </c>
      <c r="G22" s="27" t="str">
        <f>IFERROR(VLOOKUP(C22,#REF!, 4, FALSE), "NO ENCONTRADO")</f>
        <v>NO ENCONTRADO</v>
      </c>
      <c r="H22" s="27" t="str">
        <f>IFERROR(VLOOKUP(C22,#REF!, 5, FALSE), "NO ENCONTRADO")</f>
        <v>NO ENCONTRADO</v>
      </c>
      <c r="I22" s="14"/>
      <c r="J22" s="27"/>
      <c r="K22" s="41"/>
      <c r="L22" s="14"/>
      <c r="M22" s="30">
        <f t="shared" ca="1" si="0"/>
        <v>46026</v>
      </c>
      <c r="N22" s="31" t="str">
        <f t="shared" ca="1" si="1"/>
        <v>✅</v>
      </c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spans="1:28" ht="15.75" customHeight="1" x14ac:dyDescent="0.15">
      <c r="A23" s="33">
        <f>'Scan to Sheets'!A23</f>
        <v>0</v>
      </c>
      <c r="B23" s="35">
        <f>'Scan to Sheets'!B23</f>
        <v>0</v>
      </c>
      <c r="C23" s="35">
        <f>'Scan to Sheets'!C23</f>
        <v>0</v>
      </c>
      <c r="D23" s="35">
        <f>'Scan to Sheets'!D23</f>
        <v>0</v>
      </c>
      <c r="E23" s="36" t="str">
        <f>IFERROR(VLOOKUP(C23,#REF!, 2, FALSE), "NO ENCONTRADO")</f>
        <v>NO ENCONTRADO</v>
      </c>
      <c r="F23" s="36" t="str">
        <f>IFERROR(VLOOKUP(C23,#REF!, 3, FALSE), "NO ENCONTRADO")</f>
        <v>NO ENCONTRADO</v>
      </c>
      <c r="G23" s="36" t="str">
        <f>IFERROR(VLOOKUP(C23,#REF!, 4, FALSE), "NO ENCONTRADO")</f>
        <v>NO ENCONTRADO</v>
      </c>
      <c r="H23" s="36" t="str">
        <f>IFERROR(VLOOKUP(C23,#REF!, 5, FALSE), "NO ENCONTRADO")</f>
        <v>NO ENCONTRADO</v>
      </c>
      <c r="I23" s="15"/>
      <c r="J23" s="36"/>
      <c r="K23" s="42"/>
      <c r="L23" s="15"/>
      <c r="M23" s="39">
        <f t="shared" ca="1" si="0"/>
        <v>46026</v>
      </c>
      <c r="N23" s="40" t="str">
        <f t="shared" ca="1" si="1"/>
        <v>✅</v>
      </c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spans="1:28" ht="15.75" customHeight="1" x14ac:dyDescent="0.15">
      <c r="A24" s="24">
        <f>'Scan to Sheets'!A24</f>
        <v>0</v>
      </c>
      <c r="B24" s="26">
        <f>'Scan to Sheets'!B24</f>
        <v>0</v>
      </c>
      <c r="C24" s="26">
        <f>'Scan to Sheets'!C24</f>
        <v>0</v>
      </c>
      <c r="D24" s="26">
        <f>'Scan to Sheets'!D24</f>
        <v>0</v>
      </c>
      <c r="E24" s="27" t="str">
        <f>IFERROR(VLOOKUP(C24,#REF!, 2, FALSE), "NO ENCONTRADO")</f>
        <v>NO ENCONTRADO</v>
      </c>
      <c r="F24" s="27" t="str">
        <f>IFERROR(VLOOKUP(C24,#REF!, 3, FALSE), "NO ENCONTRADO")</f>
        <v>NO ENCONTRADO</v>
      </c>
      <c r="G24" s="27" t="str">
        <f>IFERROR(VLOOKUP(C24,#REF!, 4, FALSE), "NO ENCONTRADO")</f>
        <v>NO ENCONTRADO</v>
      </c>
      <c r="H24" s="27" t="str">
        <f>IFERROR(VLOOKUP(C24,#REF!, 5, FALSE), "NO ENCONTRADO")</f>
        <v>NO ENCONTRADO</v>
      </c>
      <c r="I24" s="14"/>
      <c r="J24" s="27"/>
      <c r="K24" s="41"/>
      <c r="L24" s="14"/>
      <c r="M24" s="30">
        <f t="shared" ca="1" si="0"/>
        <v>46026</v>
      </c>
      <c r="N24" s="31" t="str">
        <f t="shared" ca="1" si="1"/>
        <v>✅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spans="1:28" ht="15.75" customHeight="1" x14ac:dyDescent="0.15">
      <c r="A25" s="33">
        <f>'Scan to Sheets'!A25</f>
        <v>0</v>
      </c>
      <c r="B25" s="35">
        <f>'Scan to Sheets'!B25</f>
        <v>0</v>
      </c>
      <c r="C25" s="35">
        <f>'Scan to Sheets'!C25</f>
        <v>0</v>
      </c>
      <c r="D25" s="35">
        <f>'Scan to Sheets'!D25</f>
        <v>0</v>
      </c>
      <c r="E25" s="36" t="str">
        <f>IFERROR(VLOOKUP(C25,#REF!, 2, FALSE), "NO ENCONTRADO")</f>
        <v>NO ENCONTRADO</v>
      </c>
      <c r="F25" s="36" t="str">
        <f>IFERROR(VLOOKUP(C25,#REF!, 3, FALSE), "NO ENCONTRADO")</f>
        <v>NO ENCONTRADO</v>
      </c>
      <c r="G25" s="36" t="str">
        <f>IFERROR(VLOOKUP(C25,#REF!, 4, FALSE), "NO ENCONTRADO")</f>
        <v>NO ENCONTRADO</v>
      </c>
      <c r="H25" s="36" t="str">
        <f>IFERROR(VLOOKUP(C25,#REF!, 5, FALSE), "NO ENCONTRADO")</f>
        <v>NO ENCONTRADO</v>
      </c>
      <c r="I25" s="15"/>
      <c r="J25" s="36"/>
      <c r="K25" s="42"/>
      <c r="L25" s="15"/>
      <c r="M25" s="39">
        <f t="shared" ca="1" si="0"/>
        <v>46026</v>
      </c>
      <c r="N25" s="40" t="str">
        <f t="shared" ca="1" si="1"/>
        <v>✅</v>
      </c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spans="1:28" ht="15.75" customHeight="1" x14ac:dyDescent="0.15">
      <c r="A26" s="24">
        <f>'Scan to Sheets'!A26</f>
        <v>0</v>
      </c>
      <c r="B26" s="26">
        <f>'Scan to Sheets'!B26</f>
        <v>0</v>
      </c>
      <c r="C26" s="26">
        <f>'Scan to Sheets'!C26</f>
        <v>0</v>
      </c>
      <c r="D26" s="26">
        <f>'Scan to Sheets'!D26</f>
        <v>0</v>
      </c>
      <c r="E26" s="27" t="str">
        <f>IFERROR(VLOOKUP(C26,#REF!, 2, FALSE), "NO ENCONTRADO")</f>
        <v>NO ENCONTRADO</v>
      </c>
      <c r="F26" s="27" t="str">
        <f>IFERROR(VLOOKUP(C26,#REF!, 3, FALSE), "NO ENCONTRADO")</f>
        <v>NO ENCONTRADO</v>
      </c>
      <c r="G26" s="27" t="str">
        <f>IFERROR(VLOOKUP(C26,#REF!, 4, FALSE), "NO ENCONTRADO")</f>
        <v>NO ENCONTRADO</v>
      </c>
      <c r="H26" s="27" t="str">
        <f>IFERROR(VLOOKUP(C26,#REF!, 5, FALSE), "NO ENCONTRADO")</f>
        <v>NO ENCONTRADO</v>
      </c>
      <c r="I26" s="14"/>
      <c r="J26" s="27"/>
      <c r="K26" s="41"/>
      <c r="L26" s="14"/>
      <c r="M26" s="30">
        <f t="shared" ca="1" si="0"/>
        <v>46026</v>
      </c>
      <c r="N26" s="31" t="str">
        <f t="shared" ca="1" si="1"/>
        <v>✅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spans="1:28" ht="15.75" customHeight="1" x14ac:dyDescent="0.15">
      <c r="A27" s="33">
        <f>'Scan to Sheets'!A27</f>
        <v>0</v>
      </c>
      <c r="B27" s="35">
        <f>'Scan to Sheets'!B27</f>
        <v>0</v>
      </c>
      <c r="C27" s="35">
        <f>'Scan to Sheets'!C27</f>
        <v>0</v>
      </c>
      <c r="D27" s="35">
        <f>'Scan to Sheets'!D27</f>
        <v>0</v>
      </c>
      <c r="E27" s="36" t="str">
        <f>IFERROR(VLOOKUP(C27,#REF!, 2, FALSE), "NO ENCONTRADO")</f>
        <v>NO ENCONTRADO</v>
      </c>
      <c r="F27" s="36" t="str">
        <f>IFERROR(VLOOKUP(C27,#REF!, 3, FALSE), "NO ENCONTRADO")</f>
        <v>NO ENCONTRADO</v>
      </c>
      <c r="G27" s="36" t="str">
        <f>IFERROR(VLOOKUP(C27,#REF!, 4, FALSE), "NO ENCONTRADO")</f>
        <v>NO ENCONTRADO</v>
      </c>
      <c r="H27" s="36" t="str">
        <f>IFERROR(VLOOKUP(C27,#REF!, 5, FALSE), "NO ENCONTRADO")</f>
        <v>NO ENCONTRADO</v>
      </c>
      <c r="I27" s="15"/>
      <c r="J27" s="36"/>
      <c r="K27" s="42"/>
      <c r="L27" s="15"/>
      <c r="M27" s="39">
        <f t="shared" ca="1" si="0"/>
        <v>46026</v>
      </c>
      <c r="N27" s="40" t="str">
        <f t="shared" ca="1" si="1"/>
        <v>✅</v>
      </c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spans="1:28" ht="15.75" customHeight="1" x14ac:dyDescent="0.15">
      <c r="A28" s="24">
        <f>'Scan to Sheets'!A28</f>
        <v>0</v>
      </c>
      <c r="B28" s="26">
        <f>'Scan to Sheets'!B28</f>
        <v>0</v>
      </c>
      <c r="C28" s="26">
        <f>'Scan to Sheets'!C28</f>
        <v>0</v>
      </c>
      <c r="D28" s="26">
        <f>'Scan to Sheets'!D28</f>
        <v>0</v>
      </c>
      <c r="E28" s="27" t="str">
        <f>IFERROR(VLOOKUP(C28,#REF!, 2, FALSE), "NO ENCONTRADO")</f>
        <v>NO ENCONTRADO</v>
      </c>
      <c r="F28" s="27" t="str">
        <f>IFERROR(VLOOKUP(C28,#REF!, 3, FALSE), "NO ENCONTRADO")</f>
        <v>NO ENCONTRADO</v>
      </c>
      <c r="G28" s="27" t="str">
        <f>IFERROR(VLOOKUP(C28,#REF!, 4, FALSE), "NO ENCONTRADO")</f>
        <v>NO ENCONTRADO</v>
      </c>
      <c r="H28" s="27" t="str">
        <f>IFERROR(VLOOKUP(C28,#REF!, 5, FALSE), "NO ENCONTRADO")</f>
        <v>NO ENCONTRADO</v>
      </c>
      <c r="I28" s="14"/>
      <c r="J28" s="27"/>
      <c r="K28" s="41"/>
      <c r="L28" s="14"/>
      <c r="M28" s="30">
        <f t="shared" ca="1" si="0"/>
        <v>46026</v>
      </c>
      <c r="N28" s="31" t="str">
        <f t="shared" ca="1" si="1"/>
        <v>✅</v>
      </c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28" ht="15.75" customHeight="1" x14ac:dyDescent="0.15">
      <c r="A29" s="33">
        <f>'Scan to Sheets'!A29</f>
        <v>0</v>
      </c>
      <c r="B29" s="35">
        <f>'Scan to Sheets'!B29</f>
        <v>0</v>
      </c>
      <c r="C29" s="35">
        <f>'Scan to Sheets'!C29</f>
        <v>0</v>
      </c>
      <c r="D29" s="35">
        <f>'Scan to Sheets'!D29</f>
        <v>0</v>
      </c>
      <c r="E29" s="36" t="str">
        <f>IFERROR(VLOOKUP(C29,#REF!, 2, FALSE), "NO ENCONTRADO")</f>
        <v>NO ENCONTRADO</v>
      </c>
      <c r="F29" s="36" t="str">
        <f>IFERROR(VLOOKUP(C29,#REF!, 3, FALSE), "NO ENCONTRADO")</f>
        <v>NO ENCONTRADO</v>
      </c>
      <c r="G29" s="36" t="str">
        <f>IFERROR(VLOOKUP(C29,#REF!, 4, FALSE), "NO ENCONTRADO")</f>
        <v>NO ENCONTRADO</v>
      </c>
      <c r="H29" s="36" t="str">
        <f>IFERROR(VLOOKUP(C29,#REF!, 5, FALSE), "NO ENCONTRADO")</f>
        <v>NO ENCONTRADO</v>
      </c>
      <c r="I29" s="15"/>
      <c r="J29" s="36"/>
      <c r="K29" s="42"/>
      <c r="L29" s="15"/>
      <c r="M29" s="39">
        <f t="shared" ca="1" si="0"/>
        <v>46026</v>
      </c>
      <c r="N29" s="40" t="str">
        <f t="shared" ca="1" si="1"/>
        <v>✅</v>
      </c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spans="1:28" ht="15.75" customHeight="1" x14ac:dyDescent="0.15">
      <c r="A30" s="24">
        <f>'Scan to Sheets'!A30</f>
        <v>0</v>
      </c>
      <c r="B30" s="26">
        <f>'Scan to Sheets'!B30</f>
        <v>0</v>
      </c>
      <c r="C30" s="26">
        <f>'Scan to Sheets'!C30</f>
        <v>0</v>
      </c>
      <c r="D30" s="26">
        <f>'Scan to Sheets'!D30</f>
        <v>0</v>
      </c>
      <c r="E30" s="27" t="str">
        <f>IFERROR(VLOOKUP(C30,#REF!, 2, FALSE), "NO ENCONTRADO")</f>
        <v>NO ENCONTRADO</v>
      </c>
      <c r="F30" s="27" t="str">
        <f>IFERROR(VLOOKUP(C30,#REF!, 3, FALSE), "NO ENCONTRADO")</f>
        <v>NO ENCONTRADO</v>
      </c>
      <c r="G30" s="27" t="str">
        <f>IFERROR(VLOOKUP(C30,#REF!, 4, FALSE), "NO ENCONTRADO")</f>
        <v>NO ENCONTRADO</v>
      </c>
      <c r="H30" s="27" t="str">
        <f>IFERROR(VLOOKUP(C30,#REF!, 5, FALSE), "NO ENCONTRADO")</f>
        <v>NO ENCONTRADO</v>
      </c>
      <c r="I30" s="14"/>
      <c r="J30" s="27"/>
      <c r="K30" s="41"/>
      <c r="L30" s="14"/>
      <c r="M30" s="30">
        <f t="shared" ca="1" si="0"/>
        <v>46026</v>
      </c>
      <c r="N30" s="31" t="str">
        <f t="shared" ca="1" si="1"/>
        <v>✅</v>
      </c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spans="1:28" ht="15.75" customHeight="1" x14ac:dyDescent="0.15">
      <c r="A31" s="33">
        <f>'Scan to Sheets'!A31</f>
        <v>0</v>
      </c>
      <c r="B31" s="35">
        <f>'Scan to Sheets'!B31</f>
        <v>0</v>
      </c>
      <c r="C31" s="35">
        <f>'Scan to Sheets'!C31</f>
        <v>0</v>
      </c>
      <c r="D31" s="35">
        <f>'Scan to Sheets'!D31</f>
        <v>0</v>
      </c>
      <c r="E31" s="36" t="str">
        <f>IFERROR(VLOOKUP(C31,#REF!, 2, FALSE), "NO ENCONTRADO")</f>
        <v>NO ENCONTRADO</v>
      </c>
      <c r="F31" s="36" t="str">
        <f>IFERROR(VLOOKUP(C31,#REF!, 3, FALSE), "NO ENCONTRADO")</f>
        <v>NO ENCONTRADO</v>
      </c>
      <c r="G31" s="36" t="str">
        <f>IFERROR(VLOOKUP(C31,#REF!, 4, FALSE), "NO ENCONTRADO")</f>
        <v>NO ENCONTRADO</v>
      </c>
      <c r="H31" s="36" t="str">
        <f>IFERROR(VLOOKUP(C31,#REF!, 5, FALSE), "NO ENCONTRADO")</f>
        <v>NO ENCONTRADO</v>
      </c>
      <c r="I31" s="15"/>
      <c r="J31" s="36"/>
      <c r="K31" s="42"/>
      <c r="L31" s="15"/>
      <c r="M31" s="39">
        <f t="shared" ca="1" si="0"/>
        <v>46026</v>
      </c>
      <c r="N31" s="40" t="str">
        <f t="shared" ca="1" si="1"/>
        <v>✅</v>
      </c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spans="1:28" ht="15.75" customHeight="1" x14ac:dyDescent="0.15">
      <c r="A32" s="24">
        <f>'Scan to Sheets'!A32</f>
        <v>0</v>
      </c>
      <c r="B32" s="26">
        <f>'Scan to Sheets'!B32</f>
        <v>0</v>
      </c>
      <c r="C32" s="26">
        <f>'Scan to Sheets'!C32</f>
        <v>0</v>
      </c>
      <c r="D32" s="26">
        <f>'Scan to Sheets'!D32</f>
        <v>0</v>
      </c>
      <c r="E32" s="27" t="str">
        <f>IFERROR(VLOOKUP(C32,#REF!, 2, FALSE), "NO ENCONTRADO")</f>
        <v>NO ENCONTRADO</v>
      </c>
      <c r="F32" s="27" t="str">
        <f>IFERROR(VLOOKUP(C32,#REF!, 3, FALSE), "NO ENCONTRADO")</f>
        <v>NO ENCONTRADO</v>
      </c>
      <c r="G32" s="27" t="str">
        <f>IFERROR(VLOOKUP(C32,#REF!, 4, FALSE), "NO ENCONTRADO")</f>
        <v>NO ENCONTRADO</v>
      </c>
      <c r="H32" s="27" t="str">
        <f>IFERROR(VLOOKUP(C32,#REF!, 5, FALSE), "NO ENCONTRADO")</f>
        <v>NO ENCONTRADO</v>
      </c>
      <c r="I32" s="14"/>
      <c r="J32" s="27"/>
      <c r="K32" s="41"/>
      <c r="L32" s="14"/>
      <c r="M32" s="30">
        <f t="shared" ca="1" si="0"/>
        <v>46026</v>
      </c>
      <c r="N32" s="31" t="str">
        <f t="shared" ca="1" si="1"/>
        <v>✅</v>
      </c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1:28" ht="15.75" customHeight="1" x14ac:dyDescent="0.15">
      <c r="A33" s="33">
        <f>'Scan to Sheets'!A33</f>
        <v>0</v>
      </c>
      <c r="B33" s="35">
        <f>'Scan to Sheets'!B33</f>
        <v>0</v>
      </c>
      <c r="C33" s="35">
        <f>'Scan to Sheets'!C33</f>
        <v>0</v>
      </c>
      <c r="D33" s="35">
        <f>'Scan to Sheets'!D33</f>
        <v>0</v>
      </c>
      <c r="E33" s="36" t="str">
        <f>IFERROR(VLOOKUP(C33,#REF!, 2, FALSE), "NO ENCONTRADO")</f>
        <v>NO ENCONTRADO</v>
      </c>
      <c r="F33" s="36" t="str">
        <f>IFERROR(VLOOKUP(C33,#REF!, 3, FALSE), "NO ENCONTRADO")</f>
        <v>NO ENCONTRADO</v>
      </c>
      <c r="G33" s="36" t="str">
        <f>IFERROR(VLOOKUP(C33,#REF!, 4, FALSE), "NO ENCONTRADO")</f>
        <v>NO ENCONTRADO</v>
      </c>
      <c r="H33" s="36" t="str">
        <f>IFERROR(VLOOKUP(C33,#REF!, 5, FALSE), "NO ENCONTRADO")</f>
        <v>NO ENCONTRADO</v>
      </c>
      <c r="I33" s="15"/>
      <c r="J33" s="36"/>
      <c r="K33" s="42"/>
      <c r="L33" s="15"/>
      <c r="M33" s="39">
        <f t="shared" ca="1" si="0"/>
        <v>46026</v>
      </c>
      <c r="N33" s="40" t="str">
        <f t="shared" ca="1" si="1"/>
        <v>✅</v>
      </c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28" ht="15.75" customHeight="1" x14ac:dyDescent="0.15">
      <c r="A34" s="24">
        <f>'Scan to Sheets'!A34</f>
        <v>0</v>
      </c>
      <c r="B34" s="26">
        <f>'Scan to Sheets'!B34</f>
        <v>0</v>
      </c>
      <c r="C34" s="26">
        <f>'Scan to Sheets'!C34</f>
        <v>0</v>
      </c>
      <c r="D34" s="26">
        <f>'Scan to Sheets'!D34</f>
        <v>0</v>
      </c>
      <c r="E34" s="27" t="str">
        <f>IFERROR(VLOOKUP(C34,#REF!, 2, FALSE), "NO ENCONTRADO")</f>
        <v>NO ENCONTRADO</v>
      </c>
      <c r="F34" s="27" t="str">
        <f>IFERROR(VLOOKUP(C34,#REF!, 3, FALSE), "NO ENCONTRADO")</f>
        <v>NO ENCONTRADO</v>
      </c>
      <c r="G34" s="27" t="str">
        <f>IFERROR(VLOOKUP(C34,#REF!, 4, FALSE), "NO ENCONTRADO")</f>
        <v>NO ENCONTRADO</v>
      </c>
      <c r="H34" s="27" t="str">
        <f>IFERROR(VLOOKUP(C34,#REF!, 5, FALSE), "NO ENCONTRADO")</f>
        <v>NO ENCONTRADO</v>
      </c>
      <c r="I34" s="14"/>
      <c r="J34" s="27"/>
      <c r="K34" s="41"/>
      <c r="L34" s="14"/>
      <c r="M34" s="30">
        <f t="shared" ca="1" si="0"/>
        <v>46026</v>
      </c>
      <c r="N34" s="31" t="str">
        <f t="shared" ca="1" si="1"/>
        <v>✅</v>
      </c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28" ht="15.75" customHeight="1" x14ac:dyDescent="0.15">
      <c r="A35" s="33">
        <f>'Scan to Sheets'!A35</f>
        <v>0</v>
      </c>
      <c r="B35" s="35">
        <f>'Scan to Sheets'!B35</f>
        <v>0</v>
      </c>
      <c r="C35" s="35">
        <f>'Scan to Sheets'!C35</f>
        <v>0</v>
      </c>
      <c r="D35" s="35">
        <f>'Scan to Sheets'!D35</f>
        <v>0</v>
      </c>
      <c r="E35" s="36" t="str">
        <f>IFERROR(VLOOKUP(C35,#REF!, 2, FALSE), "NO ENCONTRADO")</f>
        <v>NO ENCONTRADO</v>
      </c>
      <c r="F35" s="36" t="str">
        <f>IFERROR(VLOOKUP(C35,#REF!, 3, FALSE), "NO ENCONTRADO")</f>
        <v>NO ENCONTRADO</v>
      </c>
      <c r="G35" s="36" t="str">
        <f>IFERROR(VLOOKUP(C35,#REF!, 4, FALSE), "NO ENCONTRADO")</f>
        <v>NO ENCONTRADO</v>
      </c>
      <c r="H35" s="36" t="str">
        <f>IFERROR(VLOOKUP(C35,#REF!, 5, FALSE), "NO ENCONTRADO")</f>
        <v>NO ENCONTRADO</v>
      </c>
      <c r="I35" s="15"/>
      <c r="J35" s="36"/>
      <c r="K35" s="42"/>
      <c r="L35" s="15"/>
      <c r="M35" s="39">
        <f t="shared" ca="1" si="0"/>
        <v>46026</v>
      </c>
      <c r="N35" s="40" t="str">
        <f t="shared" ca="1" si="1"/>
        <v>✅</v>
      </c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spans="1:28" ht="15.75" customHeight="1" x14ac:dyDescent="0.15">
      <c r="A36" s="24">
        <f>'Scan to Sheets'!A36</f>
        <v>0</v>
      </c>
      <c r="B36" s="26">
        <f>'Scan to Sheets'!B36</f>
        <v>0</v>
      </c>
      <c r="C36" s="26">
        <f>'Scan to Sheets'!C36</f>
        <v>0</v>
      </c>
      <c r="D36" s="26">
        <f>'Scan to Sheets'!D36</f>
        <v>0</v>
      </c>
      <c r="E36" s="27" t="str">
        <f>IFERROR(VLOOKUP(C36,#REF!, 2, FALSE), "NO ENCONTRADO")</f>
        <v>NO ENCONTRADO</v>
      </c>
      <c r="F36" s="27" t="str">
        <f>IFERROR(VLOOKUP(C36,#REF!, 3, FALSE), "NO ENCONTRADO")</f>
        <v>NO ENCONTRADO</v>
      </c>
      <c r="G36" s="27" t="str">
        <f>IFERROR(VLOOKUP(C36,#REF!, 4, FALSE), "NO ENCONTRADO")</f>
        <v>NO ENCONTRADO</v>
      </c>
      <c r="H36" s="27" t="str">
        <f>IFERROR(VLOOKUP(C36,#REF!, 5, FALSE), "NO ENCONTRADO")</f>
        <v>NO ENCONTRADO</v>
      </c>
      <c r="I36" s="14"/>
      <c r="J36" s="27"/>
      <c r="K36" s="41"/>
      <c r="L36" s="14"/>
      <c r="M36" s="30">
        <f t="shared" ca="1" si="0"/>
        <v>46026</v>
      </c>
      <c r="N36" s="31" t="str">
        <f t="shared" ca="1" si="1"/>
        <v>✅</v>
      </c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 ht="15.75" customHeight="1" x14ac:dyDescent="0.15">
      <c r="A37" s="33">
        <f>'Scan to Sheets'!A37</f>
        <v>0</v>
      </c>
      <c r="B37" s="35">
        <f>'Scan to Sheets'!B37</f>
        <v>0</v>
      </c>
      <c r="C37" s="35">
        <f>'Scan to Sheets'!C37</f>
        <v>0</v>
      </c>
      <c r="D37" s="35">
        <f>'Scan to Sheets'!D37</f>
        <v>0</v>
      </c>
      <c r="E37" s="36" t="str">
        <f>IFERROR(VLOOKUP(C37,#REF!, 2, FALSE), "NO ENCONTRADO")</f>
        <v>NO ENCONTRADO</v>
      </c>
      <c r="F37" s="36" t="str">
        <f>IFERROR(VLOOKUP(C37,#REF!, 3, FALSE), "NO ENCONTRADO")</f>
        <v>NO ENCONTRADO</v>
      </c>
      <c r="G37" s="36" t="str">
        <f>IFERROR(VLOOKUP(C37,#REF!, 4, FALSE), "NO ENCONTRADO")</f>
        <v>NO ENCONTRADO</v>
      </c>
      <c r="H37" s="36" t="str">
        <f>IFERROR(VLOOKUP(C37,#REF!, 5, FALSE), "NO ENCONTRADO")</f>
        <v>NO ENCONTRADO</v>
      </c>
      <c r="I37" s="15"/>
      <c r="J37" s="36"/>
      <c r="K37" s="42"/>
      <c r="L37" s="15"/>
      <c r="M37" s="39">
        <f t="shared" ca="1" si="0"/>
        <v>46026</v>
      </c>
      <c r="N37" s="40" t="str">
        <f t="shared" ca="1" si="1"/>
        <v>✅</v>
      </c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spans="1:28" ht="15.75" customHeight="1" x14ac:dyDescent="0.15">
      <c r="A38" s="24">
        <f>'Scan to Sheets'!A38</f>
        <v>0</v>
      </c>
      <c r="B38" s="26">
        <f>'Scan to Sheets'!B38</f>
        <v>0</v>
      </c>
      <c r="C38" s="26">
        <f>'Scan to Sheets'!C38</f>
        <v>0</v>
      </c>
      <c r="D38" s="26">
        <f>'Scan to Sheets'!D38</f>
        <v>0</v>
      </c>
      <c r="E38" s="27" t="str">
        <f>IFERROR(VLOOKUP(C38,#REF!, 2, FALSE), "NO ENCONTRADO")</f>
        <v>NO ENCONTRADO</v>
      </c>
      <c r="F38" s="27" t="str">
        <f>IFERROR(VLOOKUP(C38,#REF!, 3, FALSE), "NO ENCONTRADO")</f>
        <v>NO ENCONTRADO</v>
      </c>
      <c r="G38" s="27" t="str">
        <f>IFERROR(VLOOKUP(C38,#REF!, 4, FALSE), "NO ENCONTRADO")</f>
        <v>NO ENCONTRADO</v>
      </c>
      <c r="H38" s="27" t="str">
        <f>IFERROR(VLOOKUP(C38,#REF!, 5, FALSE), "NO ENCONTRADO")</f>
        <v>NO ENCONTRADO</v>
      </c>
      <c r="I38" s="14"/>
      <c r="J38" s="27"/>
      <c r="K38" s="41"/>
      <c r="L38" s="14"/>
      <c r="M38" s="30">
        <f t="shared" ca="1" si="0"/>
        <v>46026</v>
      </c>
      <c r="N38" s="31" t="str">
        <f t="shared" ca="1" si="1"/>
        <v>✅</v>
      </c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1:28" ht="15.75" customHeight="1" x14ac:dyDescent="0.15">
      <c r="A39" s="33">
        <f>'Scan to Sheets'!A39</f>
        <v>0</v>
      </c>
      <c r="B39" s="35">
        <f>'Scan to Sheets'!B39</f>
        <v>0</v>
      </c>
      <c r="C39" s="35">
        <f>'Scan to Sheets'!C39</f>
        <v>0</v>
      </c>
      <c r="D39" s="35">
        <f>'Scan to Sheets'!D39</f>
        <v>0</v>
      </c>
      <c r="E39" s="36" t="str">
        <f>IFERROR(VLOOKUP(C39,#REF!, 2, FALSE), "NO ENCONTRADO")</f>
        <v>NO ENCONTRADO</v>
      </c>
      <c r="F39" s="36" t="str">
        <f>IFERROR(VLOOKUP(C39,#REF!, 3, FALSE), "NO ENCONTRADO")</f>
        <v>NO ENCONTRADO</v>
      </c>
      <c r="G39" s="36" t="str">
        <f>IFERROR(VLOOKUP(C39,#REF!, 4, FALSE), "NO ENCONTRADO")</f>
        <v>NO ENCONTRADO</v>
      </c>
      <c r="H39" s="36" t="str">
        <f>IFERROR(VLOOKUP(C39,#REF!, 5, FALSE), "NO ENCONTRADO")</f>
        <v>NO ENCONTRADO</v>
      </c>
      <c r="I39" s="15"/>
      <c r="J39" s="36"/>
      <c r="K39" s="42"/>
      <c r="L39" s="15"/>
      <c r="M39" s="39">
        <f t="shared" ca="1" si="0"/>
        <v>46026</v>
      </c>
      <c r="N39" s="40" t="str">
        <f t="shared" ca="1" si="1"/>
        <v>✅</v>
      </c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1:28" ht="15.75" customHeight="1" x14ac:dyDescent="0.15">
      <c r="A40" s="24">
        <f>'Scan to Sheets'!A40</f>
        <v>0</v>
      </c>
      <c r="B40" s="26">
        <f>'Scan to Sheets'!B40</f>
        <v>0</v>
      </c>
      <c r="C40" s="26">
        <f>'Scan to Sheets'!C40</f>
        <v>0</v>
      </c>
      <c r="D40" s="26">
        <f>'Scan to Sheets'!D40</f>
        <v>0</v>
      </c>
      <c r="E40" s="27" t="str">
        <f>IFERROR(VLOOKUP(C40,#REF!, 2, FALSE), "NO ENCONTRADO")</f>
        <v>NO ENCONTRADO</v>
      </c>
      <c r="F40" s="27" t="str">
        <f>IFERROR(VLOOKUP(C40,#REF!, 3, FALSE), "NO ENCONTRADO")</f>
        <v>NO ENCONTRADO</v>
      </c>
      <c r="G40" s="27" t="str">
        <f>IFERROR(VLOOKUP(C40,#REF!, 4, FALSE), "NO ENCONTRADO")</f>
        <v>NO ENCONTRADO</v>
      </c>
      <c r="H40" s="27" t="str">
        <f>IFERROR(VLOOKUP(C40,#REF!, 5, FALSE), "NO ENCONTRADO")</f>
        <v>NO ENCONTRADO</v>
      </c>
      <c r="I40" s="14"/>
      <c r="J40" s="27"/>
      <c r="K40" s="41"/>
      <c r="L40" s="14"/>
      <c r="M40" s="30">
        <f t="shared" ca="1" si="0"/>
        <v>46026</v>
      </c>
      <c r="N40" s="31" t="str">
        <f t="shared" ca="1" si="1"/>
        <v>✅</v>
      </c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spans="1:28" ht="15.75" customHeight="1" x14ac:dyDescent="0.15">
      <c r="A41" s="33">
        <f>'Scan to Sheets'!A41</f>
        <v>0</v>
      </c>
      <c r="B41" s="35">
        <f>'Scan to Sheets'!B41</f>
        <v>0</v>
      </c>
      <c r="C41" s="35">
        <f>'Scan to Sheets'!C41</f>
        <v>0</v>
      </c>
      <c r="D41" s="35">
        <f>'Scan to Sheets'!D41</f>
        <v>0</v>
      </c>
      <c r="E41" s="36" t="str">
        <f>IFERROR(VLOOKUP(C41,#REF!, 2, FALSE), "NO ENCONTRADO")</f>
        <v>NO ENCONTRADO</v>
      </c>
      <c r="F41" s="36" t="str">
        <f>IFERROR(VLOOKUP(C41,#REF!, 3, FALSE), "NO ENCONTRADO")</f>
        <v>NO ENCONTRADO</v>
      </c>
      <c r="G41" s="36" t="str">
        <f>IFERROR(VLOOKUP(C41,#REF!, 4, FALSE), "NO ENCONTRADO")</f>
        <v>NO ENCONTRADO</v>
      </c>
      <c r="H41" s="36" t="str">
        <f>IFERROR(VLOOKUP(C41,#REF!, 5, FALSE), "NO ENCONTRADO")</f>
        <v>NO ENCONTRADO</v>
      </c>
      <c r="I41" s="15"/>
      <c r="J41" s="36"/>
      <c r="K41" s="42"/>
      <c r="L41" s="15"/>
      <c r="M41" s="39">
        <f t="shared" ca="1" si="0"/>
        <v>46026</v>
      </c>
      <c r="N41" s="40" t="str">
        <f t="shared" ca="1" si="1"/>
        <v>✅</v>
      </c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spans="1:28" ht="15.75" customHeight="1" x14ac:dyDescent="0.15">
      <c r="A42" s="24">
        <f>'Scan to Sheets'!A42</f>
        <v>0</v>
      </c>
      <c r="B42" s="26">
        <f>'Scan to Sheets'!B42</f>
        <v>0</v>
      </c>
      <c r="C42" s="26">
        <f>'Scan to Sheets'!C42</f>
        <v>0</v>
      </c>
      <c r="D42" s="26">
        <f>'Scan to Sheets'!D42</f>
        <v>0</v>
      </c>
      <c r="E42" s="27" t="str">
        <f>IFERROR(VLOOKUP(C42,#REF!, 2, FALSE), "NO ENCONTRADO")</f>
        <v>NO ENCONTRADO</v>
      </c>
      <c r="F42" s="27" t="str">
        <f>IFERROR(VLOOKUP(C42,#REF!, 3, FALSE), "NO ENCONTRADO")</f>
        <v>NO ENCONTRADO</v>
      </c>
      <c r="G42" s="27" t="str">
        <f>IFERROR(VLOOKUP(C42,#REF!, 4, FALSE), "NO ENCONTRADO")</f>
        <v>NO ENCONTRADO</v>
      </c>
      <c r="H42" s="27" t="str">
        <f>IFERROR(VLOOKUP(C42,#REF!, 5, FALSE), "NO ENCONTRADO")</f>
        <v>NO ENCONTRADO</v>
      </c>
      <c r="I42" s="14"/>
      <c r="J42" s="27"/>
      <c r="K42" s="41"/>
      <c r="L42" s="14"/>
      <c r="M42" s="30">
        <f t="shared" ca="1" si="0"/>
        <v>46026</v>
      </c>
      <c r="N42" s="31" t="str">
        <f t="shared" ca="1" si="1"/>
        <v>✅</v>
      </c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1:28" ht="15.75" customHeight="1" x14ac:dyDescent="0.15">
      <c r="A43" s="33">
        <f>'Scan to Sheets'!A43</f>
        <v>0</v>
      </c>
      <c r="B43" s="35">
        <f>'Scan to Sheets'!B43</f>
        <v>0</v>
      </c>
      <c r="C43" s="35">
        <f>'Scan to Sheets'!C43</f>
        <v>0</v>
      </c>
      <c r="D43" s="35">
        <f>'Scan to Sheets'!D43</f>
        <v>0</v>
      </c>
      <c r="E43" s="36" t="str">
        <f>IFERROR(VLOOKUP(C43,#REF!, 2, FALSE), "NO ENCONTRADO")</f>
        <v>NO ENCONTRADO</v>
      </c>
      <c r="F43" s="36" t="str">
        <f>IFERROR(VLOOKUP(C43,#REF!, 3, FALSE), "NO ENCONTRADO")</f>
        <v>NO ENCONTRADO</v>
      </c>
      <c r="G43" s="36" t="str">
        <f>IFERROR(VLOOKUP(C43,#REF!, 4, FALSE), "NO ENCONTRADO")</f>
        <v>NO ENCONTRADO</v>
      </c>
      <c r="H43" s="36" t="str">
        <f>IFERROR(VLOOKUP(C43,#REF!, 5, FALSE), "NO ENCONTRADO")</f>
        <v>NO ENCONTRADO</v>
      </c>
      <c r="I43" s="15"/>
      <c r="J43" s="36"/>
      <c r="K43" s="42"/>
      <c r="L43" s="15"/>
      <c r="M43" s="39">
        <f t="shared" ca="1" si="0"/>
        <v>46026</v>
      </c>
      <c r="N43" s="40" t="str">
        <f t="shared" ca="1" si="1"/>
        <v>✅</v>
      </c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1:28" ht="15.75" customHeight="1" x14ac:dyDescent="0.15">
      <c r="A44" s="24">
        <f>'Scan to Sheets'!A44</f>
        <v>0</v>
      </c>
      <c r="B44" s="26">
        <f>'Scan to Sheets'!B44</f>
        <v>0</v>
      </c>
      <c r="C44" s="26">
        <f>'Scan to Sheets'!C44</f>
        <v>0</v>
      </c>
      <c r="D44" s="26">
        <f>'Scan to Sheets'!D44</f>
        <v>0</v>
      </c>
      <c r="E44" s="27" t="str">
        <f>IFERROR(VLOOKUP(C44,#REF!, 2, FALSE), "NO ENCONTRADO")</f>
        <v>NO ENCONTRADO</v>
      </c>
      <c r="F44" s="27" t="str">
        <f>IFERROR(VLOOKUP(C44,#REF!, 3, FALSE), "NO ENCONTRADO")</f>
        <v>NO ENCONTRADO</v>
      </c>
      <c r="G44" s="27" t="str">
        <f>IFERROR(VLOOKUP(C44,#REF!, 4, FALSE), "NO ENCONTRADO")</f>
        <v>NO ENCONTRADO</v>
      </c>
      <c r="H44" s="27" t="str">
        <f>IFERROR(VLOOKUP(C44,#REF!, 5, FALSE), "NO ENCONTRADO")</f>
        <v>NO ENCONTRADO</v>
      </c>
      <c r="I44" s="14"/>
      <c r="J44" s="27"/>
      <c r="K44" s="41"/>
      <c r="L44" s="14"/>
      <c r="M44" s="30">
        <f t="shared" ca="1" si="0"/>
        <v>46026</v>
      </c>
      <c r="N44" s="31" t="str">
        <f t="shared" ca="1" si="1"/>
        <v>✅</v>
      </c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spans="1:28" ht="15.75" customHeight="1" x14ac:dyDescent="0.15">
      <c r="A45" s="33">
        <f>'Scan to Sheets'!A45</f>
        <v>0</v>
      </c>
      <c r="B45" s="35">
        <f>'Scan to Sheets'!B45</f>
        <v>0</v>
      </c>
      <c r="C45" s="35">
        <f>'Scan to Sheets'!C45</f>
        <v>0</v>
      </c>
      <c r="D45" s="35">
        <f>'Scan to Sheets'!D45</f>
        <v>0</v>
      </c>
      <c r="E45" s="36" t="str">
        <f>IFERROR(VLOOKUP(C45,#REF!, 2, FALSE), "NO ENCONTRADO")</f>
        <v>NO ENCONTRADO</v>
      </c>
      <c r="F45" s="36" t="str">
        <f>IFERROR(VLOOKUP(C45,#REF!, 3, FALSE), "NO ENCONTRADO")</f>
        <v>NO ENCONTRADO</v>
      </c>
      <c r="G45" s="36" t="str">
        <f>IFERROR(VLOOKUP(C45,#REF!, 4, FALSE), "NO ENCONTRADO")</f>
        <v>NO ENCONTRADO</v>
      </c>
      <c r="H45" s="36" t="str">
        <f>IFERROR(VLOOKUP(C45,#REF!, 5, FALSE), "NO ENCONTRADO")</f>
        <v>NO ENCONTRADO</v>
      </c>
      <c r="I45" s="15"/>
      <c r="J45" s="36"/>
      <c r="K45" s="42"/>
      <c r="L45" s="15"/>
      <c r="M45" s="39">
        <f t="shared" ca="1" si="0"/>
        <v>46026</v>
      </c>
      <c r="N45" s="40" t="str">
        <f t="shared" ca="1" si="1"/>
        <v>✅</v>
      </c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spans="1:28" ht="15.75" customHeight="1" x14ac:dyDescent="0.15">
      <c r="A46" s="24">
        <f>'Scan to Sheets'!A46</f>
        <v>0</v>
      </c>
      <c r="B46" s="26">
        <f>'Scan to Sheets'!B46</f>
        <v>0</v>
      </c>
      <c r="C46" s="26">
        <f>'Scan to Sheets'!C46</f>
        <v>0</v>
      </c>
      <c r="D46" s="26">
        <f>'Scan to Sheets'!D46</f>
        <v>0</v>
      </c>
      <c r="E46" s="27" t="str">
        <f>IFERROR(VLOOKUP(C46,#REF!, 2, FALSE), "NO ENCONTRADO")</f>
        <v>NO ENCONTRADO</v>
      </c>
      <c r="F46" s="27" t="str">
        <f>IFERROR(VLOOKUP(C46,#REF!, 3, FALSE), "NO ENCONTRADO")</f>
        <v>NO ENCONTRADO</v>
      </c>
      <c r="G46" s="27" t="str">
        <f>IFERROR(VLOOKUP(C46,#REF!, 4, FALSE), "NO ENCONTRADO")</f>
        <v>NO ENCONTRADO</v>
      </c>
      <c r="H46" s="27" t="str">
        <f>IFERROR(VLOOKUP(C46,#REF!, 5, FALSE), "NO ENCONTRADO")</f>
        <v>NO ENCONTRADO</v>
      </c>
      <c r="I46" s="14"/>
      <c r="J46" s="27"/>
      <c r="K46" s="41"/>
      <c r="L46" s="14"/>
      <c r="M46" s="30">
        <f t="shared" ca="1" si="0"/>
        <v>46026</v>
      </c>
      <c r="N46" s="31" t="str">
        <f t="shared" ca="1" si="1"/>
        <v>✅</v>
      </c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spans="1:28" ht="15.75" customHeight="1" x14ac:dyDescent="0.15">
      <c r="A47" s="33">
        <f>'Scan to Sheets'!A47</f>
        <v>0</v>
      </c>
      <c r="B47" s="35">
        <f>'Scan to Sheets'!B47</f>
        <v>0</v>
      </c>
      <c r="C47" s="35">
        <f>'Scan to Sheets'!C47</f>
        <v>0</v>
      </c>
      <c r="D47" s="35">
        <f>'Scan to Sheets'!D47</f>
        <v>0</v>
      </c>
      <c r="E47" s="36" t="str">
        <f>IFERROR(VLOOKUP(C47,#REF!, 2, FALSE), "NO ENCONTRADO")</f>
        <v>NO ENCONTRADO</v>
      </c>
      <c r="F47" s="36" t="str">
        <f>IFERROR(VLOOKUP(C47,#REF!, 3, FALSE), "NO ENCONTRADO")</f>
        <v>NO ENCONTRADO</v>
      </c>
      <c r="G47" s="36" t="str">
        <f>IFERROR(VLOOKUP(C47,#REF!, 4, FALSE), "NO ENCONTRADO")</f>
        <v>NO ENCONTRADO</v>
      </c>
      <c r="H47" s="36" t="str">
        <f>IFERROR(VLOOKUP(C47,#REF!, 5, FALSE), "NO ENCONTRADO")</f>
        <v>NO ENCONTRADO</v>
      </c>
      <c r="I47" s="15"/>
      <c r="J47" s="36"/>
      <c r="K47" s="42"/>
      <c r="L47" s="15"/>
      <c r="M47" s="39">
        <f t="shared" ca="1" si="0"/>
        <v>46026</v>
      </c>
      <c r="N47" s="40" t="str">
        <f t="shared" ca="1" si="1"/>
        <v>✅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spans="1:28" ht="15.75" customHeight="1" x14ac:dyDescent="0.15">
      <c r="A48" s="24">
        <f>'Scan to Sheets'!A48</f>
        <v>0</v>
      </c>
      <c r="B48" s="26">
        <f>'Scan to Sheets'!B48</f>
        <v>0</v>
      </c>
      <c r="C48" s="26">
        <f>'Scan to Sheets'!C48</f>
        <v>0</v>
      </c>
      <c r="D48" s="26">
        <f>'Scan to Sheets'!D48</f>
        <v>0</v>
      </c>
      <c r="E48" s="27" t="str">
        <f>IFERROR(VLOOKUP(C48,#REF!, 2, FALSE), "NO ENCONTRADO")</f>
        <v>NO ENCONTRADO</v>
      </c>
      <c r="F48" s="27" t="str">
        <f>IFERROR(VLOOKUP(C48,#REF!, 3, FALSE), "NO ENCONTRADO")</f>
        <v>NO ENCONTRADO</v>
      </c>
      <c r="G48" s="27" t="str">
        <f>IFERROR(VLOOKUP(C48,#REF!, 4, FALSE), "NO ENCONTRADO")</f>
        <v>NO ENCONTRADO</v>
      </c>
      <c r="H48" s="27" t="str">
        <f>IFERROR(VLOOKUP(C48,#REF!, 5, FALSE), "NO ENCONTRADO")</f>
        <v>NO ENCONTRADO</v>
      </c>
      <c r="I48" s="14"/>
      <c r="J48" s="27"/>
      <c r="K48" s="41"/>
      <c r="L48" s="14"/>
      <c r="M48" s="30">
        <f t="shared" ca="1" si="0"/>
        <v>46026</v>
      </c>
      <c r="N48" s="31" t="str">
        <f t="shared" ca="1" si="1"/>
        <v>✅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spans="1:28" ht="15.75" customHeight="1" x14ac:dyDescent="0.15">
      <c r="A49" s="33">
        <f>'Scan to Sheets'!A49</f>
        <v>0</v>
      </c>
      <c r="B49" s="35">
        <f>'Scan to Sheets'!B49</f>
        <v>0</v>
      </c>
      <c r="C49" s="35">
        <f>'Scan to Sheets'!C49</f>
        <v>0</v>
      </c>
      <c r="D49" s="35">
        <f>'Scan to Sheets'!D49</f>
        <v>0</v>
      </c>
      <c r="E49" s="36" t="str">
        <f>IFERROR(VLOOKUP(C49,#REF!, 2, FALSE), "NO ENCONTRADO")</f>
        <v>NO ENCONTRADO</v>
      </c>
      <c r="F49" s="36" t="str">
        <f>IFERROR(VLOOKUP(C49,#REF!, 3, FALSE), "NO ENCONTRADO")</f>
        <v>NO ENCONTRADO</v>
      </c>
      <c r="G49" s="36" t="str">
        <f>IFERROR(VLOOKUP(C49,#REF!, 4, FALSE), "NO ENCONTRADO")</f>
        <v>NO ENCONTRADO</v>
      </c>
      <c r="H49" s="36" t="str">
        <f>IFERROR(VLOOKUP(C49,#REF!, 5, FALSE), "NO ENCONTRADO")</f>
        <v>NO ENCONTRADO</v>
      </c>
      <c r="I49" s="15"/>
      <c r="J49" s="36"/>
      <c r="K49" s="42"/>
      <c r="L49" s="15"/>
      <c r="M49" s="39">
        <f t="shared" ca="1" si="0"/>
        <v>46026</v>
      </c>
      <c r="N49" s="40" t="str">
        <f t="shared" ca="1" si="1"/>
        <v>✅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28" ht="15.75" customHeight="1" x14ac:dyDescent="0.15">
      <c r="A50" s="24">
        <f>'Scan to Sheets'!A50</f>
        <v>0</v>
      </c>
      <c r="B50" s="26">
        <f>'Scan to Sheets'!B50</f>
        <v>0</v>
      </c>
      <c r="C50" s="26">
        <f>'Scan to Sheets'!C50</f>
        <v>0</v>
      </c>
      <c r="D50" s="26">
        <f>'Scan to Sheets'!D50</f>
        <v>0</v>
      </c>
      <c r="E50" s="27" t="str">
        <f>IFERROR(VLOOKUP(C50,#REF!, 2, FALSE), "NO ENCONTRADO")</f>
        <v>NO ENCONTRADO</v>
      </c>
      <c r="F50" s="27" t="str">
        <f>IFERROR(VLOOKUP(C50,#REF!, 3, FALSE), "NO ENCONTRADO")</f>
        <v>NO ENCONTRADO</v>
      </c>
      <c r="G50" s="27" t="str">
        <f>IFERROR(VLOOKUP(C50,#REF!, 4, FALSE), "NO ENCONTRADO")</f>
        <v>NO ENCONTRADO</v>
      </c>
      <c r="H50" s="27" t="str">
        <f>IFERROR(VLOOKUP(C50,#REF!, 5, FALSE), "NO ENCONTRADO")</f>
        <v>NO ENCONTRADO</v>
      </c>
      <c r="I50" s="14"/>
      <c r="J50" s="27"/>
      <c r="K50" s="41"/>
      <c r="L50" s="14"/>
      <c r="M50" s="30">
        <f t="shared" ca="1" si="0"/>
        <v>46026</v>
      </c>
      <c r="N50" s="31" t="str">
        <f t="shared" ca="1" si="1"/>
        <v>✅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spans="1:28" ht="15.75" customHeight="1" x14ac:dyDescent="0.15">
      <c r="A51" s="33">
        <f>'Scan to Sheets'!A51</f>
        <v>0</v>
      </c>
      <c r="B51" s="35">
        <f>'Scan to Sheets'!B51</f>
        <v>0</v>
      </c>
      <c r="C51" s="35">
        <f>'Scan to Sheets'!C51</f>
        <v>0</v>
      </c>
      <c r="D51" s="35">
        <f>'Scan to Sheets'!D51</f>
        <v>0</v>
      </c>
      <c r="E51" s="36" t="str">
        <f>IFERROR(VLOOKUP(C51,#REF!, 2, FALSE), "NO ENCONTRADO")</f>
        <v>NO ENCONTRADO</v>
      </c>
      <c r="F51" s="36" t="str">
        <f>IFERROR(VLOOKUP(C51,#REF!, 3, FALSE), "NO ENCONTRADO")</f>
        <v>NO ENCONTRADO</v>
      </c>
      <c r="G51" s="36" t="str">
        <f>IFERROR(VLOOKUP(C51,#REF!, 4, FALSE), "NO ENCONTRADO")</f>
        <v>NO ENCONTRADO</v>
      </c>
      <c r="H51" s="36" t="str">
        <f>IFERROR(VLOOKUP(C51,#REF!, 5, FALSE), "NO ENCONTRADO")</f>
        <v>NO ENCONTRADO</v>
      </c>
      <c r="I51" s="15"/>
      <c r="J51" s="36"/>
      <c r="K51" s="42"/>
      <c r="L51" s="15"/>
      <c r="M51" s="39">
        <f t="shared" ca="1" si="0"/>
        <v>46026</v>
      </c>
      <c r="N51" s="40" t="str">
        <f t="shared" ca="1" si="1"/>
        <v>✅</v>
      </c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spans="1:28" ht="15.75" customHeight="1" x14ac:dyDescent="0.15">
      <c r="A52" s="24">
        <f>'Scan to Sheets'!A52</f>
        <v>0</v>
      </c>
      <c r="B52" s="26">
        <f>'Scan to Sheets'!B52</f>
        <v>0</v>
      </c>
      <c r="C52" s="26">
        <f>'Scan to Sheets'!C52</f>
        <v>0</v>
      </c>
      <c r="D52" s="26">
        <f>'Scan to Sheets'!D52</f>
        <v>0</v>
      </c>
      <c r="E52" s="27" t="str">
        <f>IFERROR(VLOOKUP(C52,#REF!, 2, FALSE), "NO ENCONTRADO")</f>
        <v>NO ENCONTRADO</v>
      </c>
      <c r="F52" s="27" t="str">
        <f>IFERROR(VLOOKUP(C52,#REF!, 3, FALSE), "NO ENCONTRADO")</f>
        <v>NO ENCONTRADO</v>
      </c>
      <c r="G52" s="27" t="str">
        <f>IFERROR(VLOOKUP(C52,#REF!, 4, FALSE), "NO ENCONTRADO")</f>
        <v>NO ENCONTRADO</v>
      </c>
      <c r="H52" s="27" t="str">
        <f>IFERROR(VLOOKUP(C52,#REF!, 5, FALSE), "NO ENCONTRADO")</f>
        <v>NO ENCONTRADO</v>
      </c>
      <c r="I52" s="14"/>
      <c r="J52" s="27"/>
      <c r="K52" s="41"/>
      <c r="L52" s="14"/>
      <c r="M52" s="30">
        <f t="shared" ca="1" si="0"/>
        <v>46026</v>
      </c>
      <c r="N52" s="31" t="str">
        <f t="shared" ca="1" si="1"/>
        <v>✅</v>
      </c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spans="1:28" ht="15.75" customHeight="1" x14ac:dyDescent="0.15">
      <c r="A53" s="33">
        <f>'Scan to Sheets'!A53</f>
        <v>0</v>
      </c>
      <c r="B53" s="35">
        <f>'Scan to Sheets'!B53</f>
        <v>0</v>
      </c>
      <c r="C53" s="35">
        <f>'Scan to Sheets'!C53</f>
        <v>0</v>
      </c>
      <c r="D53" s="35">
        <f>'Scan to Sheets'!D53</f>
        <v>0</v>
      </c>
      <c r="E53" s="36" t="str">
        <f>IFERROR(VLOOKUP(C53,#REF!, 2, FALSE), "NO ENCONTRADO")</f>
        <v>NO ENCONTRADO</v>
      </c>
      <c r="F53" s="36" t="str">
        <f>IFERROR(VLOOKUP(C53,#REF!, 3, FALSE), "NO ENCONTRADO")</f>
        <v>NO ENCONTRADO</v>
      </c>
      <c r="G53" s="36" t="str">
        <f>IFERROR(VLOOKUP(C53,#REF!, 4, FALSE), "NO ENCONTRADO")</f>
        <v>NO ENCONTRADO</v>
      </c>
      <c r="H53" s="36" t="str">
        <f>IFERROR(VLOOKUP(C53,#REF!, 5, FALSE), "NO ENCONTRADO")</f>
        <v>NO ENCONTRADO</v>
      </c>
      <c r="I53" s="15"/>
      <c r="J53" s="36"/>
      <c r="K53" s="42"/>
      <c r="L53" s="15"/>
      <c r="M53" s="39">
        <f t="shared" ca="1" si="0"/>
        <v>46026</v>
      </c>
      <c r="N53" s="40" t="str">
        <f t="shared" ca="1" si="1"/>
        <v>✅</v>
      </c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spans="1:28" ht="13" x14ac:dyDescent="0.15">
      <c r="A54" s="24">
        <f>'Scan to Sheets'!A54</f>
        <v>0</v>
      </c>
      <c r="B54" s="26">
        <f>'Scan to Sheets'!B54</f>
        <v>0</v>
      </c>
      <c r="C54" s="26">
        <f>'Scan to Sheets'!C54</f>
        <v>0</v>
      </c>
      <c r="D54" s="26">
        <f>'Scan to Sheets'!D54</f>
        <v>0</v>
      </c>
      <c r="E54" s="27" t="str">
        <f>IFERROR(VLOOKUP(C54,#REF!, 2, FALSE), "NO ENCONTRADO")</f>
        <v>NO ENCONTRADO</v>
      </c>
      <c r="F54" s="27" t="str">
        <f>IFERROR(VLOOKUP(C54,#REF!, 3, FALSE), "NO ENCONTRADO")</f>
        <v>NO ENCONTRADO</v>
      </c>
      <c r="G54" s="27" t="str">
        <f>IFERROR(VLOOKUP(C54,#REF!, 4, FALSE), "NO ENCONTRADO")</f>
        <v>NO ENCONTRADO</v>
      </c>
      <c r="H54" s="27" t="str">
        <f>IFERROR(VLOOKUP(C54,#REF!, 5, FALSE), "NO ENCONTRADO")</f>
        <v>NO ENCONTRADO</v>
      </c>
      <c r="I54" s="14"/>
      <c r="J54" s="27"/>
      <c r="K54" s="41"/>
      <c r="L54" s="14"/>
      <c r="M54" s="30">
        <f t="shared" ca="1" si="0"/>
        <v>46026</v>
      </c>
      <c r="N54" s="31" t="str">
        <f t="shared" ca="1" si="1"/>
        <v>✅</v>
      </c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spans="1:28" ht="13" x14ac:dyDescent="0.15">
      <c r="A55" s="33">
        <f>'Scan to Sheets'!A55</f>
        <v>0</v>
      </c>
      <c r="B55" s="35">
        <f>'Scan to Sheets'!B55</f>
        <v>0</v>
      </c>
      <c r="C55" s="35">
        <f>'Scan to Sheets'!C55</f>
        <v>0</v>
      </c>
      <c r="D55" s="35">
        <f>'Scan to Sheets'!D55</f>
        <v>0</v>
      </c>
      <c r="E55" s="36" t="str">
        <f>IFERROR(VLOOKUP(C55,#REF!, 2, FALSE), "NO ENCONTRADO")</f>
        <v>NO ENCONTRADO</v>
      </c>
      <c r="F55" s="36" t="str">
        <f>IFERROR(VLOOKUP(C55,#REF!, 3, FALSE), "NO ENCONTRADO")</f>
        <v>NO ENCONTRADO</v>
      </c>
      <c r="G55" s="36" t="str">
        <f>IFERROR(VLOOKUP(C55,#REF!, 4, FALSE), "NO ENCONTRADO")</f>
        <v>NO ENCONTRADO</v>
      </c>
      <c r="H55" s="36" t="str">
        <f>IFERROR(VLOOKUP(C55,#REF!, 5, FALSE), "NO ENCONTRADO")</f>
        <v>NO ENCONTRADO</v>
      </c>
      <c r="I55" s="15"/>
      <c r="J55" s="36"/>
      <c r="K55" s="42"/>
      <c r="L55" s="15"/>
      <c r="M55" s="39">
        <f t="shared" ca="1" si="0"/>
        <v>46026</v>
      </c>
      <c r="N55" s="40" t="str">
        <f t="shared" ca="1" si="1"/>
        <v>✅</v>
      </c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spans="1:28" ht="13" x14ac:dyDescent="0.15">
      <c r="A56" s="24">
        <f>'Scan to Sheets'!A56</f>
        <v>0</v>
      </c>
      <c r="B56" s="26">
        <f>'Scan to Sheets'!B56</f>
        <v>0</v>
      </c>
      <c r="C56" s="26">
        <f>'Scan to Sheets'!C56</f>
        <v>0</v>
      </c>
      <c r="D56" s="26">
        <f>'Scan to Sheets'!D56</f>
        <v>0</v>
      </c>
      <c r="E56" s="27" t="str">
        <f>IFERROR(VLOOKUP(C56,#REF!, 2, FALSE), "NO ENCONTRADO")</f>
        <v>NO ENCONTRADO</v>
      </c>
      <c r="F56" s="27" t="str">
        <f>IFERROR(VLOOKUP(C56,#REF!, 3, FALSE), "NO ENCONTRADO")</f>
        <v>NO ENCONTRADO</v>
      </c>
      <c r="G56" s="27" t="str">
        <f>IFERROR(VLOOKUP(C56,#REF!, 4, FALSE), "NO ENCONTRADO")</f>
        <v>NO ENCONTRADO</v>
      </c>
      <c r="H56" s="27" t="str">
        <f>IFERROR(VLOOKUP(C56,#REF!, 5, FALSE), "NO ENCONTRADO")</f>
        <v>NO ENCONTRADO</v>
      </c>
      <c r="I56" s="14"/>
      <c r="J56" s="27"/>
      <c r="K56" s="41"/>
      <c r="L56" s="14"/>
      <c r="M56" s="30">
        <f t="shared" ca="1" si="0"/>
        <v>46026</v>
      </c>
      <c r="N56" s="31" t="str">
        <f t="shared" ca="1" si="1"/>
        <v>✅</v>
      </c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spans="1:28" ht="13" x14ac:dyDescent="0.15">
      <c r="A57" s="33">
        <f>'Scan to Sheets'!A57</f>
        <v>0</v>
      </c>
      <c r="B57" s="35">
        <f>'Scan to Sheets'!B57</f>
        <v>0</v>
      </c>
      <c r="C57" s="35">
        <f>'Scan to Sheets'!C57</f>
        <v>0</v>
      </c>
      <c r="D57" s="35">
        <f>'Scan to Sheets'!D57</f>
        <v>0</v>
      </c>
      <c r="E57" s="36" t="str">
        <f>IFERROR(VLOOKUP(C57,#REF!, 2, FALSE), "NO ENCONTRADO")</f>
        <v>NO ENCONTRADO</v>
      </c>
      <c r="F57" s="36" t="str">
        <f>IFERROR(VLOOKUP(C57,#REF!, 3, FALSE), "NO ENCONTRADO")</f>
        <v>NO ENCONTRADO</v>
      </c>
      <c r="G57" s="36" t="str">
        <f>IFERROR(VLOOKUP(C57,#REF!, 4, FALSE), "NO ENCONTRADO")</f>
        <v>NO ENCONTRADO</v>
      </c>
      <c r="H57" s="36" t="str">
        <f>IFERROR(VLOOKUP(C57,#REF!, 5, FALSE), "NO ENCONTRADO")</f>
        <v>NO ENCONTRADO</v>
      </c>
      <c r="I57" s="15"/>
      <c r="J57" s="36"/>
      <c r="K57" s="42"/>
      <c r="L57" s="15"/>
      <c r="M57" s="39">
        <f t="shared" ca="1" si="0"/>
        <v>46026</v>
      </c>
      <c r="N57" s="40" t="str">
        <f t="shared" ca="1" si="1"/>
        <v>✅</v>
      </c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spans="1:28" ht="13" x14ac:dyDescent="0.15">
      <c r="A58" s="24">
        <f>'Scan to Sheets'!A58</f>
        <v>0</v>
      </c>
      <c r="B58" s="26">
        <f>'Scan to Sheets'!B58</f>
        <v>0</v>
      </c>
      <c r="C58" s="26">
        <f>'Scan to Sheets'!C58</f>
        <v>0</v>
      </c>
      <c r="D58" s="26">
        <f>'Scan to Sheets'!D58</f>
        <v>0</v>
      </c>
      <c r="E58" s="27" t="str">
        <f>IFERROR(VLOOKUP(C58,#REF!, 2, FALSE), "NO ENCONTRADO")</f>
        <v>NO ENCONTRADO</v>
      </c>
      <c r="F58" s="27" t="str">
        <f>IFERROR(VLOOKUP(C58,#REF!, 3, FALSE), "NO ENCONTRADO")</f>
        <v>NO ENCONTRADO</v>
      </c>
      <c r="G58" s="27" t="str">
        <f>IFERROR(VLOOKUP(C58,#REF!, 4, FALSE), "NO ENCONTRADO")</f>
        <v>NO ENCONTRADO</v>
      </c>
      <c r="H58" s="27" t="str">
        <f>IFERROR(VLOOKUP(C58,#REF!, 5, FALSE), "NO ENCONTRADO")</f>
        <v>NO ENCONTRADO</v>
      </c>
      <c r="I58" s="14"/>
      <c r="J58" s="27"/>
      <c r="K58" s="41"/>
      <c r="L58" s="14"/>
      <c r="M58" s="30">
        <f t="shared" ca="1" si="0"/>
        <v>46026</v>
      </c>
      <c r="N58" s="31" t="str">
        <f t="shared" ca="1" si="1"/>
        <v>✅</v>
      </c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spans="1:28" ht="13" x14ac:dyDescent="0.15">
      <c r="A59" s="33">
        <f>'Scan to Sheets'!A59</f>
        <v>0</v>
      </c>
      <c r="B59" s="35">
        <f>'Scan to Sheets'!B59</f>
        <v>0</v>
      </c>
      <c r="C59" s="35">
        <f>'Scan to Sheets'!C59</f>
        <v>0</v>
      </c>
      <c r="D59" s="35">
        <f>'Scan to Sheets'!D59</f>
        <v>0</v>
      </c>
      <c r="E59" s="36" t="str">
        <f>IFERROR(VLOOKUP(C59,#REF!, 2, FALSE), "NO ENCONTRADO")</f>
        <v>NO ENCONTRADO</v>
      </c>
      <c r="F59" s="36" t="str">
        <f>IFERROR(VLOOKUP(C59,#REF!, 3, FALSE), "NO ENCONTRADO")</f>
        <v>NO ENCONTRADO</v>
      </c>
      <c r="G59" s="36" t="str">
        <f>IFERROR(VLOOKUP(C59,#REF!, 4, FALSE), "NO ENCONTRADO")</f>
        <v>NO ENCONTRADO</v>
      </c>
      <c r="H59" s="36" t="str">
        <f>IFERROR(VLOOKUP(C59,#REF!, 5, FALSE), "NO ENCONTRADO")</f>
        <v>NO ENCONTRADO</v>
      </c>
      <c r="I59" s="15"/>
      <c r="J59" s="36"/>
      <c r="K59" s="42"/>
      <c r="L59" s="15"/>
      <c r="M59" s="39">
        <f t="shared" ca="1" si="0"/>
        <v>46026</v>
      </c>
      <c r="N59" s="40" t="str">
        <f t="shared" ca="1" si="1"/>
        <v>✅</v>
      </c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spans="1:28" ht="13" x14ac:dyDescent="0.15">
      <c r="A60" s="24">
        <f>'Scan to Sheets'!A60</f>
        <v>0</v>
      </c>
      <c r="B60" s="26">
        <f>'Scan to Sheets'!B60</f>
        <v>0</v>
      </c>
      <c r="C60" s="26">
        <f>'Scan to Sheets'!C60</f>
        <v>0</v>
      </c>
      <c r="D60" s="26">
        <f>'Scan to Sheets'!D60</f>
        <v>0</v>
      </c>
      <c r="E60" s="27" t="str">
        <f>IFERROR(VLOOKUP(C60,#REF!, 2, FALSE), "NO ENCONTRADO")</f>
        <v>NO ENCONTRADO</v>
      </c>
      <c r="F60" s="27" t="str">
        <f>IFERROR(VLOOKUP(C60,#REF!, 3, FALSE), "NO ENCONTRADO")</f>
        <v>NO ENCONTRADO</v>
      </c>
      <c r="G60" s="27" t="str">
        <f>IFERROR(VLOOKUP(C60,#REF!, 4, FALSE), "NO ENCONTRADO")</f>
        <v>NO ENCONTRADO</v>
      </c>
      <c r="H60" s="27" t="str">
        <f>IFERROR(VLOOKUP(C60,#REF!, 5, FALSE), "NO ENCONTRADO")</f>
        <v>NO ENCONTRADO</v>
      </c>
      <c r="I60" s="14"/>
      <c r="J60" s="27"/>
      <c r="K60" s="41"/>
      <c r="L60" s="14"/>
      <c r="M60" s="30">
        <f t="shared" ca="1" si="0"/>
        <v>46026</v>
      </c>
      <c r="N60" s="31" t="str">
        <f t="shared" ca="1" si="1"/>
        <v>✅</v>
      </c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spans="1:28" ht="13" x14ac:dyDescent="0.15">
      <c r="A61" s="33">
        <f>'Scan to Sheets'!A61</f>
        <v>0</v>
      </c>
      <c r="B61" s="35">
        <f>'Scan to Sheets'!B61</f>
        <v>0</v>
      </c>
      <c r="C61" s="35">
        <f>'Scan to Sheets'!C61</f>
        <v>0</v>
      </c>
      <c r="D61" s="35">
        <f>'Scan to Sheets'!D61</f>
        <v>0</v>
      </c>
      <c r="E61" s="36" t="str">
        <f>IFERROR(VLOOKUP(C61,#REF!, 2, FALSE), "NO ENCONTRADO")</f>
        <v>NO ENCONTRADO</v>
      </c>
      <c r="F61" s="36" t="str">
        <f>IFERROR(VLOOKUP(C61,#REF!, 3, FALSE), "NO ENCONTRADO")</f>
        <v>NO ENCONTRADO</v>
      </c>
      <c r="G61" s="36" t="str">
        <f>IFERROR(VLOOKUP(C61,#REF!, 4, FALSE), "NO ENCONTRADO")</f>
        <v>NO ENCONTRADO</v>
      </c>
      <c r="H61" s="36" t="str">
        <f>IFERROR(VLOOKUP(C61,#REF!, 5, FALSE), "NO ENCONTRADO")</f>
        <v>NO ENCONTRADO</v>
      </c>
      <c r="I61" s="15"/>
      <c r="J61" s="36"/>
      <c r="K61" s="42"/>
      <c r="L61" s="15"/>
      <c r="M61" s="39">
        <f t="shared" ca="1" si="0"/>
        <v>46026</v>
      </c>
      <c r="N61" s="40" t="str">
        <f t="shared" ca="1" si="1"/>
        <v>✅</v>
      </c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spans="1:28" ht="13" x14ac:dyDescent="0.15">
      <c r="A62" s="24">
        <f>'Scan to Sheets'!A62</f>
        <v>0</v>
      </c>
      <c r="B62" s="26">
        <f>'Scan to Sheets'!B62</f>
        <v>0</v>
      </c>
      <c r="C62" s="26">
        <f>'Scan to Sheets'!C62</f>
        <v>0</v>
      </c>
      <c r="D62" s="26">
        <f>'Scan to Sheets'!D62</f>
        <v>0</v>
      </c>
      <c r="E62" s="27" t="str">
        <f>IFERROR(VLOOKUP(C62,#REF!, 2, FALSE), "NO ENCONTRADO")</f>
        <v>NO ENCONTRADO</v>
      </c>
      <c r="F62" s="27" t="str">
        <f>IFERROR(VLOOKUP(C62,#REF!, 3, FALSE), "NO ENCONTRADO")</f>
        <v>NO ENCONTRADO</v>
      </c>
      <c r="G62" s="27" t="str">
        <f>IFERROR(VLOOKUP(C62,#REF!, 4, FALSE), "NO ENCONTRADO")</f>
        <v>NO ENCONTRADO</v>
      </c>
      <c r="H62" s="27" t="str">
        <f>IFERROR(VLOOKUP(C62,#REF!, 5, FALSE), "NO ENCONTRADO")</f>
        <v>NO ENCONTRADO</v>
      </c>
      <c r="I62" s="14"/>
      <c r="J62" s="27"/>
      <c r="K62" s="41"/>
      <c r="L62" s="14"/>
      <c r="M62" s="30">
        <f t="shared" ca="1" si="0"/>
        <v>46026</v>
      </c>
      <c r="N62" s="31" t="str">
        <f t="shared" ca="1" si="1"/>
        <v>✅</v>
      </c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spans="1:28" ht="13" x14ac:dyDescent="0.15">
      <c r="A63" s="33">
        <f>'Scan to Sheets'!A63</f>
        <v>0</v>
      </c>
      <c r="B63" s="35">
        <f>'Scan to Sheets'!B63</f>
        <v>0</v>
      </c>
      <c r="C63" s="35">
        <f>'Scan to Sheets'!C63</f>
        <v>0</v>
      </c>
      <c r="D63" s="35">
        <f>'Scan to Sheets'!D63</f>
        <v>0</v>
      </c>
      <c r="E63" s="36" t="str">
        <f>IFERROR(VLOOKUP(C63,#REF!, 2, FALSE), "NO ENCONTRADO")</f>
        <v>NO ENCONTRADO</v>
      </c>
      <c r="F63" s="36" t="str">
        <f>IFERROR(VLOOKUP(C63,#REF!, 3, FALSE), "NO ENCONTRADO")</f>
        <v>NO ENCONTRADO</v>
      </c>
      <c r="G63" s="36" t="str">
        <f>IFERROR(VLOOKUP(C63,#REF!, 4, FALSE), "NO ENCONTRADO")</f>
        <v>NO ENCONTRADO</v>
      </c>
      <c r="H63" s="36" t="str">
        <f>IFERROR(VLOOKUP(C63,#REF!, 5, FALSE), "NO ENCONTRADO")</f>
        <v>NO ENCONTRADO</v>
      </c>
      <c r="I63" s="15"/>
      <c r="J63" s="36"/>
      <c r="K63" s="42"/>
      <c r="L63" s="15"/>
      <c r="M63" s="39">
        <f t="shared" ca="1" si="0"/>
        <v>46026</v>
      </c>
      <c r="N63" s="40" t="str">
        <f t="shared" ca="1" si="1"/>
        <v>✅</v>
      </c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spans="1:28" ht="13" x14ac:dyDescent="0.15">
      <c r="A64" s="24">
        <f>'Scan to Sheets'!A64</f>
        <v>0</v>
      </c>
      <c r="B64" s="26">
        <f>'Scan to Sheets'!B64</f>
        <v>0</v>
      </c>
      <c r="C64" s="26">
        <f>'Scan to Sheets'!C64</f>
        <v>0</v>
      </c>
      <c r="D64" s="26">
        <f>'Scan to Sheets'!D64</f>
        <v>0</v>
      </c>
      <c r="E64" s="27" t="str">
        <f>IFERROR(VLOOKUP(C64,#REF!, 2, FALSE), "NO ENCONTRADO")</f>
        <v>NO ENCONTRADO</v>
      </c>
      <c r="F64" s="27" t="str">
        <f>IFERROR(VLOOKUP(C64,#REF!, 3, FALSE), "NO ENCONTRADO")</f>
        <v>NO ENCONTRADO</v>
      </c>
      <c r="G64" s="27" t="str">
        <f>IFERROR(VLOOKUP(C64,#REF!, 4, FALSE), "NO ENCONTRADO")</f>
        <v>NO ENCONTRADO</v>
      </c>
      <c r="H64" s="27" t="str">
        <f>IFERROR(VLOOKUP(C64,#REF!, 5, FALSE), "NO ENCONTRADO")</f>
        <v>NO ENCONTRADO</v>
      </c>
      <c r="I64" s="14"/>
      <c r="J64" s="27"/>
      <c r="K64" s="41"/>
      <c r="L64" s="14"/>
      <c r="M64" s="30">
        <f t="shared" ca="1" si="0"/>
        <v>46026</v>
      </c>
      <c r="N64" s="31" t="str">
        <f t="shared" ca="1" si="1"/>
        <v>✅</v>
      </c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spans="1:28" ht="13" x14ac:dyDescent="0.15">
      <c r="A65" s="33">
        <f>'Scan to Sheets'!A65</f>
        <v>0</v>
      </c>
      <c r="B65" s="35">
        <f>'Scan to Sheets'!B65</f>
        <v>0</v>
      </c>
      <c r="C65" s="35">
        <f>'Scan to Sheets'!C65</f>
        <v>0</v>
      </c>
      <c r="D65" s="35">
        <f>'Scan to Sheets'!D65</f>
        <v>0</v>
      </c>
      <c r="E65" s="36" t="str">
        <f>IFERROR(VLOOKUP(C65,#REF!, 2, FALSE), "NO ENCONTRADO")</f>
        <v>NO ENCONTRADO</v>
      </c>
      <c r="F65" s="36" t="str">
        <f>IFERROR(VLOOKUP(C65,#REF!, 3, FALSE), "NO ENCONTRADO")</f>
        <v>NO ENCONTRADO</v>
      </c>
      <c r="G65" s="36" t="str">
        <f>IFERROR(VLOOKUP(C65,#REF!, 4, FALSE), "NO ENCONTRADO")</f>
        <v>NO ENCONTRADO</v>
      </c>
      <c r="H65" s="36" t="str">
        <f>IFERROR(VLOOKUP(C65,#REF!, 5, FALSE), "NO ENCONTRADO")</f>
        <v>NO ENCONTRADO</v>
      </c>
      <c r="I65" s="15"/>
      <c r="J65" s="36"/>
      <c r="K65" s="42"/>
      <c r="L65" s="15"/>
      <c r="M65" s="39">
        <f t="shared" ca="1" si="0"/>
        <v>46026</v>
      </c>
      <c r="N65" s="40" t="str">
        <f t="shared" ca="1" si="1"/>
        <v>✅</v>
      </c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spans="1:28" ht="13" x14ac:dyDescent="0.15">
      <c r="A66" s="24">
        <f>'Scan to Sheets'!A66</f>
        <v>0</v>
      </c>
      <c r="B66" s="26">
        <f>'Scan to Sheets'!B66</f>
        <v>0</v>
      </c>
      <c r="C66" s="26">
        <f>'Scan to Sheets'!C66</f>
        <v>0</v>
      </c>
      <c r="D66" s="26">
        <f>'Scan to Sheets'!D66</f>
        <v>0</v>
      </c>
      <c r="E66" s="27" t="str">
        <f>IFERROR(VLOOKUP(C66,#REF!, 2, FALSE), "NO ENCONTRADO")</f>
        <v>NO ENCONTRADO</v>
      </c>
      <c r="F66" s="27" t="str">
        <f>IFERROR(VLOOKUP(C66,#REF!, 3, FALSE), "NO ENCONTRADO")</f>
        <v>NO ENCONTRADO</v>
      </c>
      <c r="G66" s="27" t="str">
        <f>IFERROR(VLOOKUP(C66,#REF!, 4, FALSE), "NO ENCONTRADO")</f>
        <v>NO ENCONTRADO</v>
      </c>
      <c r="H66" s="27" t="str">
        <f>IFERROR(VLOOKUP(C66,#REF!, 5, FALSE), "NO ENCONTRADO")</f>
        <v>NO ENCONTRADO</v>
      </c>
      <c r="I66" s="14"/>
      <c r="J66" s="27"/>
      <c r="K66" s="41"/>
      <c r="L66" s="14"/>
      <c r="M66" s="30">
        <f t="shared" ca="1" si="0"/>
        <v>46026</v>
      </c>
      <c r="N66" s="31" t="str">
        <f t="shared" ca="1" si="1"/>
        <v>✅</v>
      </c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spans="1:28" ht="13" x14ac:dyDescent="0.15">
      <c r="A67" s="33">
        <f>'Scan to Sheets'!A67</f>
        <v>0</v>
      </c>
      <c r="B67" s="35">
        <f>'Scan to Sheets'!B67</f>
        <v>0</v>
      </c>
      <c r="C67" s="35">
        <f>'Scan to Sheets'!C67</f>
        <v>0</v>
      </c>
      <c r="D67" s="35">
        <f>'Scan to Sheets'!D67</f>
        <v>0</v>
      </c>
      <c r="E67" s="36" t="str">
        <f>IFERROR(VLOOKUP(C67,#REF!, 2, FALSE), "NO ENCONTRADO")</f>
        <v>NO ENCONTRADO</v>
      </c>
      <c r="F67" s="36" t="str">
        <f>IFERROR(VLOOKUP(C67,#REF!, 3, FALSE), "NO ENCONTRADO")</f>
        <v>NO ENCONTRADO</v>
      </c>
      <c r="G67" s="36" t="str">
        <f>IFERROR(VLOOKUP(C67,#REF!, 4, FALSE), "NO ENCONTRADO")</f>
        <v>NO ENCONTRADO</v>
      </c>
      <c r="H67" s="36" t="str">
        <f>IFERROR(VLOOKUP(C67,#REF!, 5, FALSE), "NO ENCONTRADO")</f>
        <v>NO ENCONTRADO</v>
      </c>
      <c r="I67" s="15"/>
      <c r="J67" s="36"/>
      <c r="K67" s="42"/>
      <c r="L67" s="15"/>
      <c r="M67" s="39">
        <f t="shared" ca="1" si="0"/>
        <v>46026</v>
      </c>
      <c r="N67" s="40" t="str">
        <f t="shared" ca="1" si="1"/>
        <v>✅</v>
      </c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spans="1:28" ht="13" x14ac:dyDescent="0.15">
      <c r="A68" s="24">
        <f>'Scan to Sheets'!A68</f>
        <v>0</v>
      </c>
      <c r="B68" s="26">
        <f>'Scan to Sheets'!B68</f>
        <v>0</v>
      </c>
      <c r="C68" s="26">
        <f>'Scan to Sheets'!C68</f>
        <v>0</v>
      </c>
      <c r="D68" s="26">
        <f>'Scan to Sheets'!D68</f>
        <v>0</v>
      </c>
      <c r="E68" s="27" t="str">
        <f>IFERROR(VLOOKUP(C68,#REF!, 2, FALSE), "NO ENCONTRADO")</f>
        <v>NO ENCONTRADO</v>
      </c>
      <c r="F68" s="27" t="str">
        <f>IFERROR(VLOOKUP(C68,#REF!, 3, FALSE), "NO ENCONTRADO")</f>
        <v>NO ENCONTRADO</v>
      </c>
      <c r="G68" s="27" t="str">
        <f>IFERROR(VLOOKUP(C68,#REF!, 4, FALSE), "NO ENCONTRADO")</f>
        <v>NO ENCONTRADO</v>
      </c>
      <c r="H68" s="27" t="str">
        <f>IFERROR(VLOOKUP(C68,#REF!, 5, FALSE), "NO ENCONTRADO")</f>
        <v>NO ENCONTRADO</v>
      </c>
      <c r="I68" s="14"/>
      <c r="J68" s="27"/>
      <c r="K68" s="41"/>
      <c r="L68" s="14"/>
      <c r="M68" s="30">
        <f t="shared" ca="1" si="0"/>
        <v>46026</v>
      </c>
      <c r="N68" s="31" t="str">
        <f t="shared" ca="1" si="1"/>
        <v>✅</v>
      </c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13" x14ac:dyDescent="0.15">
      <c r="A69" s="33">
        <f>'Scan to Sheets'!A69</f>
        <v>0</v>
      </c>
      <c r="B69" s="35">
        <f>'Scan to Sheets'!B69</f>
        <v>0</v>
      </c>
      <c r="C69" s="35">
        <f>'Scan to Sheets'!C69</f>
        <v>0</v>
      </c>
      <c r="D69" s="35">
        <f>'Scan to Sheets'!D69</f>
        <v>0</v>
      </c>
      <c r="E69" s="36" t="str">
        <f>IFERROR(VLOOKUP(C69,#REF!, 2, FALSE), "NO ENCONTRADO")</f>
        <v>NO ENCONTRADO</v>
      </c>
      <c r="F69" s="36" t="str">
        <f>IFERROR(VLOOKUP(C69,#REF!, 3, FALSE), "NO ENCONTRADO")</f>
        <v>NO ENCONTRADO</v>
      </c>
      <c r="G69" s="36" t="str">
        <f>IFERROR(VLOOKUP(C69,#REF!, 4, FALSE), "NO ENCONTRADO")</f>
        <v>NO ENCONTRADO</v>
      </c>
      <c r="H69" s="36" t="str">
        <f>IFERROR(VLOOKUP(C69,#REF!, 5, FALSE), "NO ENCONTRADO")</f>
        <v>NO ENCONTRADO</v>
      </c>
      <c r="I69" s="15"/>
      <c r="J69" s="36"/>
      <c r="K69" s="42"/>
      <c r="L69" s="15"/>
      <c r="M69" s="39">
        <f t="shared" ca="1" si="0"/>
        <v>46026</v>
      </c>
      <c r="N69" s="40" t="str">
        <f t="shared" ca="1" si="1"/>
        <v>✅</v>
      </c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spans="1:28" ht="13" x14ac:dyDescent="0.15">
      <c r="A70" s="24">
        <f>'Scan to Sheets'!A70</f>
        <v>0</v>
      </c>
      <c r="B70" s="26">
        <f>'Scan to Sheets'!B70</f>
        <v>0</v>
      </c>
      <c r="C70" s="26">
        <f>'Scan to Sheets'!C70</f>
        <v>0</v>
      </c>
      <c r="D70" s="26">
        <f>'Scan to Sheets'!D70</f>
        <v>0</v>
      </c>
      <c r="E70" s="27" t="str">
        <f>IFERROR(VLOOKUP(C70,#REF!, 2, FALSE), "NO ENCONTRADO")</f>
        <v>NO ENCONTRADO</v>
      </c>
      <c r="F70" s="27" t="str">
        <f>IFERROR(VLOOKUP(C70,#REF!, 3, FALSE), "NO ENCONTRADO")</f>
        <v>NO ENCONTRADO</v>
      </c>
      <c r="G70" s="27" t="str">
        <f>IFERROR(VLOOKUP(C70,#REF!, 4, FALSE), "NO ENCONTRADO")</f>
        <v>NO ENCONTRADO</v>
      </c>
      <c r="H70" s="27" t="str">
        <f>IFERROR(VLOOKUP(C70,#REF!, 5, FALSE), "NO ENCONTRADO")</f>
        <v>NO ENCONTRADO</v>
      </c>
      <c r="I70" s="14"/>
      <c r="J70" s="27"/>
      <c r="K70" s="41"/>
      <c r="L70" s="14"/>
      <c r="M70" s="30">
        <f t="shared" ca="1" si="0"/>
        <v>46026</v>
      </c>
      <c r="N70" s="31" t="str">
        <f t="shared" ca="1" si="1"/>
        <v>✅</v>
      </c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spans="1:28" ht="13" x14ac:dyDescent="0.15">
      <c r="A71" s="33">
        <f>'Scan to Sheets'!A71</f>
        <v>0</v>
      </c>
      <c r="B71" s="35">
        <f>'Scan to Sheets'!B71</f>
        <v>0</v>
      </c>
      <c r="C71" s="35">
        <f>'Scan to Sheets'!C71</f>
        <v>0</v>
      </c>
      <c r="D71" s="35">
        <f>'Scan to Sheets'!D71</f>
        <v>0</v>
      </c>
      <c r="E71" s="36" t="str">
        <f>IFERROR(VLOOKUP(C71,#REF!, 2, FALSE), "NO ENCONTRADO")</f>
        <v>NO ENCONTRADO</v>
      </c>
      <c r="F71" s="36" t="str">
        <f>IFERROR(VLOOKUP(C71,#REF!, 3, FALSE), "NO ENCONTRADO")</f>
        <v>NO ENCONTRADO</v>
      </c>
      <c r="G71" s="36" t="str">
        <f>IFERROR(VLOOKUP(C71,#REF!, 4, FALSE), "NO ENCONTRADO")</f>
        <v>NO ENCONTRADO</v>
      </c>
      <c r="H71" s="36" t="str">
        <f>IFERROR(VLOOKUP(C71,#REF!, 5, FALSE), "NO ENCONTRADO")</f>
        <v>NO ENCONTRADO</v>
      </c>
      <c r="I71" s="15"/>
      <c r="J71" s="36"/>
      <c r="K71" s="42"/>
      <c r="L71" s="15"/>
      <c r="M71" s="39">
        <f t="shared" ca="1" si="0"/>
        <v>46026</v>
      </c>
      <c r="N71" s="40" t="str">
        <f t="shared" ca="1" si="1"/>
        <v>✅</v>
      </c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spans="1:28" ht="13" x14ac:dyDescent="0.15">
      <c r="A72" s="24">
        <f>'Scan to Sheets'!A72</f>
        <v>0</v>
      </c>
      <c r="B72" s="26">
        <f>'Scan to Sheets'!B72</f>
        <v>0</v>
      </c>
      <c r="C72" s="26">
        <f>'Scan to Sheets'!C72</f>
        <v>0</v>
      </c>
      <c r="D72" s="26">
        <f>'Scan to Sheets'!D72</f>
        <v>0</v>
      </c>
      <c r="E72" s="27" t="str">
        <f>IFERROR(VLOOKUP(C72,#REF!, 2, FALSE), "NO ENCONTRADO")</f>
        <v>NO ENCONTRADO</v>
      </c>
      <c r="F72" s="27" t="str">
        <f>IFERROR(VLOOKUP(C72,#REF!, 3, FALSE), "NO ENCONTRADO")</f>
        <v>NO ENCONTRADO</v>
      </c>
      <c r="G72" s="27" t="str">
        <f>IFERROR(VLOOKUP(C72,#REF!, 4, FALSE), "NO ENCONTRADO")</f>
        <v>NO ENCONTRADO</v>
      </c>
      <c r="H72" s="27" t="str">
        <f>IFERROR(VLOOKUP(C72,#REF!, 5, FALSE), "NO ENCONTRADO")</f>
        <v>NO ENCONTRADO</v>
      </c>
      <c r="I72" s="14"/>
      <c r="J72" s="27"/>
      <c r="K72" s="41"/>
      <c r="L72" s="14"/>
      <c r="M72" s="30">
        <f t="shared" ca="1" si="0"/>
        <v>46026</v>
      </c>
      <c r="N72" s="31" t="str">
        <f t="shared" ca="1" si="1"/>
        <v>✅</v>
      </c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spans="1:28" ht="13" x14ac:dyDescent="0.15">
      <c r="A73" s="33">
        <f>'Scan to Sheets'!A73</f>
        <v>0</v>
      </c>
      <c r="B73" s="35">
        <f>'Scan to Sheets'!B73</f>
        <v>0</v>
      </c>
      <c r="C73" s="35">
        <f>'Scan to Sheets'!C73</f>
        <v>0</v>
      </c>
      <c r="D73" s="35">
        <f>'Scan to Sheets'!D73</f>
        <v>0</v>
      </c>
      <c r="E73" s="36" t="str">
        <f>IFERROR(VLOOKUP(C73,#REF!, 2, FALSE), "NO ENCONTRADO")</f>
        <v>NO ENCONTRADO</v>
      </c>
      <c r="F73" s="36" t="str">
        <f>IFERROR(VLOOKUP(C73,#REF!, 3, FALSE), "NO ENCONTRADO")</f>
        <v>NO ENCONTRADO</v>
      </c>
      <c r="G73" s="36" t="str">
        <f>IFERROR(VLOOKUP(C73,#REF!, 4, FALSE), "NO ENCONTRADO")</f>
        <v>NO ENCONTRADO</v>
      </c>
      <c r="H73" s="36" t="str">
        <f>IFERROR(VLOOKUP(C73,#REF!, 5, FALSE), "NO ENCONTRADO")</f>
        <v>NO ENCONTRADO</v>
      </c>
      <c r="I73" s="15"/>
      <c r="J73" s="36"/>
      <c r="K73" s="42"/>
      <c r="L73" s="15"/>
      <c r="M73" s="39">
        <f t="shared" ca="1" si="0"/>
        <v>46026</v>
      </c>
      <c r="N73" s="40" t="str">
        <f t="shared" ca="1" si="1"/>
        <v>✅</v>
      </c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spans="1:28" ht="13" x14ac:dyDescent="0.15">
      <c r="A74" s="24">
        <f>'Scan to Sheets'!A74</f>
        <v>0</v>
      </c>
      <c r="B74" s="26">
        <f>'Scan to Sheets'!B74</f>
        <v>0</v>
      </c>
      <c r="C74" s="26">
        <f>'Scan to Sheets'!C74</f>
        <v>0</v>
      </c>
      <c r="D74" s="26">
        <f>'Scan to Sheets'!D74</f>
        <v>0</v>
      </c>
      <c r="E74" s="27" t="str">
        <f>IFERROR(VLOOKUP(C74,#REF!, 2, FALSE), "NO ENCONTRADO")</f>
        <v>NO ENCONTRADO</v>
      </c>
      <c r="F74" s="27" t="str">
        <f>IFERROR(VLOOKUP(C74,#REF!, 3, FALSE), "NO ENCONTRADO")</f>
        <v>NO ENCONTRADO</v>
      </c>
      <c r="G74" s="27" t="str">
        <f>IFERROR(VLOOKUP(C74,#REF!, 4, FALSE), "NO ENCONTRADO")</f>
        <v>NO ENCONTRADO</v>
      </c>
      <c r="H74" s="27" t="str">
        <f>IFERROR(VLOOKUP(C74,#REF!, 5, FALSE), "NO ENCONTRADO")</f>
        <v>NO ENCONTRADO</v>
      </c>
      <c r="I74" s="14"/>
      <c r="J74" s="27"/>
      <c r="K74" s="41"/>
      <c r="L74" s="14"/>
      <c r="M74" s="30">
        <f t="shared" ca="1" si="0"/>
        <v>46026</v>
      </c>
      <c r="N74" s="31" t="str">
        <f t="shared" ca="1" si="1"/>
        <v>✅</v>
      </c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spans="1:28" ht="13" x14ac:dyDescent="0.15">
      <c r="A75" s="33">
        <f>'Scan to Sheets'!A75</f>
        <v>0</v>
      </c>
      <c r="B75" s="35">
        <f>'Scan to Sheets'!B75</f>
        <v>0</v>
      </c>
      <c r="C75" s="35">
        <f>'Scan to Sheets'!C75</f>
        <v>0</v>
      </c>
      <c r="D75" s="35">
        <f>'Scan to Sheets'!D75</f>
        <v>0</v>
      </c>
      <c r="E75" s="36" t="str">
        <f>IFERROR(VLOOKUP(C75,#REF!, 2, FALSE), "NO ENCONTRADO")</f>
        <v>NO ENCONTRADO</v>
      </c>
      <c r="F75" s="36" t="str">
        <f>IFERROR(VLOOKUP(C75,#REF!, 3, FALSE), "NO ENCONTRADO")</f>
        <v>NO ENCONTRADO</v>
      </c>
      <c r="G75" s="36" t="str">
        <f>IFERROR(VLOOKUP(C75,#REF!, 4, FALSE), "NO ENCONTRADO")</f>
        <v>NO ENCONTRADO</v>
      </c>
      <c r="H75" s="36" t="str">
        <f>IFERROR(VLOOKUP(C75,#REF!, 5, FALSE), "NO ENCONTRADO")</f>
        <v>NO ENCONTRADO</v>
      </c>
      <c r="I75" s="15"/>
      <c r="J75" s="36"/>
      <c r="K75" s="42"/>
      <c r="L75" s="15"/>
      <c r="M75" s="39">
        <f t="shared" ca="1" si="0"/>
        <v>46026</v>
      </c>
      <c r="N75" s="40" t="str">
        <f t="shared" ca="1" si="1"/>
        <v>✅</v>
      </c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spans="1:28" ht="13" x14ac:dyDescent="0.15">
      <c r="A76" s="24">
        <f>'Scan to Sheets'!A76</f>
        <v>0</v>
      </c>
      <c r="B76" s="26">
        <f>'Scan to Sheets'!B76</f>
        <v>0</v>
      </c>
      <c r="C76" s="26">
        <f>'Scan to Sheets'!C76</f>
        <v>0</v>
      </c>
      <c r="D76" s="26">
        <f>'Scan to Sheets'!D76</f>
        <v>0</v>
      </c>
      <c r="E76" s="27" t="str">
        <f>IFERROR(VLOOKUP(C76,#REF!, 2, FALSE), "NO ENCONTRADO")</f>
        <v>NO ENCONTRADO</v>
      </c>
      <c r="F76" s="27" t="str">
        <f>IFERROR(VLOOKUP(C76,#REF!, 3, FALSE), "NO ENCONTRADO")</f>
        <v>NO ENCONTRADO</v>
      </c>
      <c r="G76" s="27" t="str">
        <f>IFERROR(VLOOKUP(C76,#REF!, 4, FALSE), "NO ENCONTRADO")</f>
        <v>NO ENCONTRADO</v>
      </c>
      <c r="H76" s="27" t="str">
        <f>IFERROR(VLOOKUP(C76,#REF!, 5, FALSE), "NO ENCONTRADO")</f>
        <v>NO ENCONTRADO</v>
      </c>
      <c r="I76" s="14"/>
      <c r="J76" s="27"/>
      <c r="K76" s="41"/>
      <c r="L76" s="14"/>
      <c r="M76" s="30">
        <f t="shared" ca="1" si="0"/>
        <v>46026</v>
      </c>
      <c r="N76" s="31" t="str">
        <f t="shared" ca="1" si="1"/>
        <v>✅</v>
      </c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spans="1:28" ht="13" x14ac:dyDescent="0.15">
      <c r="A77" s="33">
        <f>'Scan to Sheets'!A77</f>
        <v>0</v>
      </c>
      <c r="B77" s="35">
        <f>'Scan to Sheets'!B77</f>
        <v>0</v>
      </c>
      <c r="C77" s="35">
        <f>'Scan to Sheets'!C77</f>
        <v>0</v>
      </c>
      <c r="D77" s="35">
        <f>'Scan to Sheets'!D77</f>
        <v>0</v>
      </c>
      <c r="E77" s="36" t="str">
        <f>IFERROR(VLOOKUP(C77,#REF!, 2, FALSE), "NO ENCONTRADO")</f>
        <v>NO ENCONTRADO</v>
      </c>
      <c r="F77" s="36" t="str">
        <f>IFERROR(VLOOKUP(C77,#REF!, 3, FALSE), "NO ENCONTRADO")</f>
        <v>NO ENCONTRADO</v>
      </c>
      <c r="G77" s="36" t="str">
        <f>IFERROR(VLOOKUP(C77,#REF!, 4, FALSE), "NO ENCONTRADO")</f>
        <v>NO ENCONTRADO</v>
      </c>
      <c r="H77" s="36" t="str">
        <f>IFERROR(VLOOKUP(C77,#REF!, 5, FALSE), "NO ENCONTRADO")</f>
        <v>NO ENCONTRADO</v>
      </c>
      <c r="I77" s="15"/>
      <c r="J77" s="36"/>
      <c r="K77" s="42"/>
      <c r="L77" s="15"/>
      <c r="M77" s="39">
        <f t="shared" ca="1" si="0"/>
        <v>46026</v>
      </c>
      <c r="N77" s="40" t="str">
        <f t="shared" ca="1" si="1"/>
        <v>✅</v>
      </c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spans="1:28" ht="13" x14ac:dyDescent="0.15">
      <c r="A78" s="24">
        <f>'Scan to Sheets'!A78</f>
        <v>0</v>
      </c>
      <c r="B78" s="26">
        <f>'Scan to Sheets'!B78</f>
        <v>0</v>
      </c>
      <c r="C78" s="26">
        <f>'Scan to Sheets'!C78</f>
        <v>0</v>
      </c>
      <c r="D78" s="26">
        <f>'Scan to Sheets'!D78</f>
        <v>0</v>
      </c>
      <c r="E78" s="27" t="str">
        <f>IFERROR(VLOOKUP(C78,#REF!, 2, FALSE), "NO ENCONTRADO")</f>
        <v>NO ENCONTRADO</v>
      </c>
      <c r="F78" s="27" t="str">
        <f>IFERROR(VLOOKUP(C78,#REF!, 3, FALSE), "NO ENCONTRADO")</f>
        <v>NO ENCONTRADO</v>
      </c>
      <c r="G78" s="27" t="str">
        <f>IFERROR(VLOOKUP(C78,#REF!, 4, FALSE), "NO ENCONTRADO")</f>
        <v>NO ENCONTRADO</v>
      </c>
      <c r="H78" s="27" t="str">
        <f>IFERROR(VLOOKUP(C78,#REF!, 5, FALSE), "NO ENCONTRADO")</f>
        <v>NO ENCONTRADO</v>
      </c>
      <c r="I78" s="14"/>
      <c r="J78" s="27"/>
      <c r="K78" s="41"/>
      <c r="L78" s="14"/>
      <c r="M78" s="30">
        <f t="shared" ca="1" si="0"/>
        <v>46026</v>
      </c>
      <c r="N78" s="31" t="str">
        <f t="shared" ca="1" si="1"/>
        <v>✅</v>
      </c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spans="1:28" ht="13" x14ac:dyDescent="0.15">
      <c r="A79" s="33">
        <f>'Scan to Sheets'!A79</f>
        <v>0</v>
      </c>
      <c r="B79" s="35">
        <f>'Scan to Sheets'!B79</f>
        <v>0</v>
      </c>
      <c r="C79" s="35">
        <f>'Scan to Sheets'!C79</f>
        <v>0</v>
      </c>
      <c r="D79" s="35">
        <f>'Scan to Sheets'!D79</f>
        <v>0</v>
      </c>
      <c r="E79" s="36" t="str">
        <f>IFERROR(VLOOKUP(C79,#REF!, 2, FALSE), "NO ENCONTRADO")</f>
        <v>NO ENCONTRADO</v>
      </c>
      <c r="F79" s="36" t="str">
        <f>IFERROR(VLOOKUP(C79,#REF!, 3, FALSE), "NO ENCONTRADO")</f>
        <v>NO ENCONTRADO</v>
      </c>
      <c r="G79" s="36" t="str">
        <f>IFERROR(VLOOKUP(C79,#REF!, 4, FALSE), "NO ENCONTRADO")</f>
        <v>NO ENCONTRADO</v>
      </c>
      <c r="H79" s="36" t="str">
        <f>IFERROR(VLOOKUP(C79,#REF!, 5, FALSE), "NO ENCONTRADO")</f>
        <v>NO ENCONTRADO</v>
      </c>
      <c r="I79" s="15"/>
      <c r="J79" s="36"/>
      <c r="K79" s="42"/>
      <c r="L79" s="15"/>
      <c r="M79" s="39">
        <f t="shared" ca="1" si="0"/>
        <v>46026</v>
      </c>
      <c r="N79" s="40" t="str">
        <f t="shared" ca="1" si="1"/>
        <v>✅</v>
      </c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spans="1:28" ht="13" x14ac:dyDescent="0.15">
      <c r="A80" s="24">
        <f>'Scan to Sheets'!A80</f>
        <v>0</v>
      </c>
      <c r="B80" s="26">
        <f>'Scan to Sheets'!B80</f>
        <v>0</v>
      </c>
      <c r="C80" s="26">
        <f>'Scan to Sheets'!C80</f>
        <v>0</v>
      </c>
      <c r="D80" s="26">
        <f>'Scan to Sheets'!D80</f>
        <v>0</v>
      </c>
      <c r="E80" s="27" t="str">
        <f>IFERROR(VLOOKUP(C80,#REF!, 2, FALSE), "NO ENCONTRADO")</f>
        <v>NO ENCONTRADO</v>
      </c>
      <c r="F80" s="27" t="str">
        <f>IFERROR(VLOOKUP(C80,#REF!, 3, FALSE), "NO ENCONTRADO")</f>
        <v>NO ENCONTRADO</v>
      </c>
      <c r="G80" s="27" t="str">
        <f>IFERROR(VLOOKUP(C80,#REF!, 4, FALSE), "NO ENCONTRADO")</f>
        <v>NO ENCONTRADO</v>
      </c>
      <c r="H80" s="27" t="str">
        <f>IFERROR(VLOOKUP(C80,#REF!, 5, FALSE), "NO ENCONTRADO")</f>
        <v>NO ENCONTRADO</v>
      </c>
      <c r="I80" s="14"/>
      <c r="J80" s="27"/>
      <c r="K80" s="41"/>
      <c r="L80" s="14"/>
      <c r="M80" s="30">
        <f t="shared" ca="1" si="0"/>
        <v>46026</v>
      </c>
      <c r="N80" s="31" t="str">
        <f t="shared" ca="1" si="1"/>
        <v>✅</v>
      </c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28" ht="13" x14ac:dyDescent="0.15">
      <c r="A81" s="33">
        <f>'Scan to Sheets'!A81</f>
        <v>0</v>
      </c>
      <c r="B81" s="35">
        <f>'Scan to Sheets'!B81</f>
        <v>0</v>
      </c>
      <c r="C81" s="35">
        <f>'Scan to Sheets'!C81</f>
        <v>0</v>
      </c>
      <c r="D81" s="35">
        <f>'Scan to Sheets'!D81</f>
        <v>0</v>
      </c>
      <c r="E81" s="36" t="str">
        <f>IFERROR(VLOOKUP(C81,#REF!, 2, FALSE), "NO ENCONTRADO")</f>
        <v>NO ENCONTRADO</v>
      </c>
      <c r="F81" s="36" t="str">
        <f>IFERROR(VLOOKUP(C81,#REF!, 3, FALSE), "NO ENCONTRADO")</f>
        <v>NO ENCONTRADO</v>
      </c>
      <c r="G81" s="36" t="str">
        <f>IFERROR(VLOOKUP(C81,#REF!, 4, FALSE), "NO ENCONTRADO")</f>
        <v>NO ENCONTRADO</v>
      </c>
      <c r="H81" s="36" t="str">
        <f>IFERROR(VLOOKUP(C81,#REF!, 5, FALSE), "NO ENCONTRADO")</f>
        <v>NO ENCONTRADO</v>
      </c>
      <c r="I81" s="15"/>
      <c r="J81" s="36"/>
      <c r="K81" s="42"/>
      <c r="L81" s="15"/>
      <c r="M81" s="39">
        <f t="shared" ca="1" si="0"/>
        <v>46026</v>
      </c>
      <c r="N81" s="40" t="str">
        <f t="shared" ca="1" si="1"/>
        <v>✅</v>
      </c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spans="1:28" ht="13" x14ac:dyDescent="0.15">
      <c r="A82" s="24">
        <f>'Scan to Sheets'!A82</f>
        <v>0</v>
      </c>
      <c r="B82" s="26">
        <f>'Scan to Sheets'!B82</f>
        <v>0</v>
      </c>
      <c r="C82" s="26">
        <f>'Scan to Sheets'!C82</f>
        <v>0</v>
      </c>
      <c r="D82" s="26">
        <f>'Scan to Sheets'!D82</f>
        <v>0</v>
      </c>
      <c r="E82" s="27" t="str">
        <f>IFERROR(VLOOKUP(C82,#REF!, 2, FALSE), "NO ENCONTRADO")</f>
        <v>NO ENCONTRADO</v>
      </c>
      <c r="F82" s="27" t="str">
        <f>IFERROR(VLOOKUP(C82,#REF!, 3, FALSE), "NO ENCONTRADO")</f>
        <v>NO ENCONTRADO</v>
      </c>
      <c r="G82" s="27" t="str">
        <f>IFERROR(VLOOKUP(C82,#REF!, 4, FALSE), "NO ENCONTRADO")</f>
        <v>NO ENCONTRADO</v>
      </c>
      <c r="H82" s="27" t="str">
        <f>IFERROR(VLOOKUP(C82,#REF!, 5, FALSE), "NO ENCONTRADO")</f>
        <v>NO ENCONTRADO</v>
      </c>
      <c r="I82" s="14"/>
      <c r="J82" s="27"/>
      <c r="K82" s="41"/>
      <c r="L82" s="14"/>
      <c r="M82" s="30">
        <f t="shared" ca="1" si="0"/>
        <v>46026</v>
      </c>
      <c r="N82" s="31" t="str">
        <f t="shared" ca="1" si="1"/>
        <v>✅</v>
      </c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spans="1:28" ht="13" x14ac:dyDescent="0.15">
      <c r="A83" s="33">
        <f>'Scan to Sheets'!A83</f>
        <v>0</v>
      </c>
      <c r="B83" s="35">
        <f>'Scan to Sheets'!B83</f>
        <v>0</v>
      </c>
      <c r="C83" s="35">
        <f>'Scan to Sheets'!C83</f>
        <v>0</v>
      </c>
      <c r="D83" s="35">
        <f>'Scan to Sheets'!D83</f>
        <v>0</v>
      </c>
      <c r="E83" s="36" t="str">
        <f>IFERROR(VLOOKUP(C83,#REF!, 2, FALSE), "NO ENCONTRADO")</f>
        <v>NO ENCONTRADO</v>
      </c>
      <c r="F83" s="36" t="str">
        <f>IFERROR(VLOOKUP(C83,#REF!, 3, FALSE), "NO ENCONTRADO")</f>
        <v>NO ENCONTRADO</v>
      </c>
      <c r="G83" s="36" t="str">
        <f>IFERROR(VLOOKUP(C83,#REF!, 4, FALSE), "NO ENCONTRADO")</f>
        <v>NO ENCONTRADO</v>
      </c>
      <c r="H83" s="36" t="str">
        <f>IFERROR(VLOOKUP(C83,#REF!, 5, FALSE), "NO ENCONTRADO")</f>
        <v>NO ENCONTRADO</v>
      </c>
      <c r="I83" s="15"/>
      <c r="J83" s="36"/>
      <c r="K83" s="42"/>
      <c r="L83" s="15"/>
      <c r="M83" s="39">
        <f t="shared" ca="1" si="0"/>
        <v>46026</v>
      </c>
      <c r="N83" s="40" t="str">
        <f t="shared" ca="1" si="1"/>
        <v>✅</v>
      </c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spans="1:28" ht="13" x14ac:dyDescent="0.15">
      <c r="A84" s="24">
        <f>'Scan to Sheets'!A84</f>
        <v>0</v>
      </c>
      <c r="B84" s="26">
        <f>'Scan to Sheets'!B84</f>
        <v>0</v>
      </c>
      <c r="C84" s="26">
        <f>'Scan to Sheets'!C84</f>
        <v>0</v>
      </c>
      <c r="D84" s="26">
        <f>'Scan to Sheets'!D84</f>
        <v>0</v>
      </c>
      <c r="E84" s="27" t="str">
        <f>IFERROR(VLOOKUP(C84,#REF!, 2, FALSE), "NO ENCONTRADO")</f>
        <v>NO ENCONTRADO</v>
      </c>
      <c r="F84" s="27" t="str">
        <f>IFERROR(VLOOKUP(C84,#REF!, 3, FALSE), "NO ENCONTRADO")</f>
        <v>NO ENCONTRADO</v>
      </c>
      <c r="G84" s="27" t="str">
        <f>IFERROR(VLOOKUP(C84,#REF!, 4, FALSE), "NO ENCONTRADO")</f>
        <v>NO ENCONTRADO</v>
      </c>
      <c r="H84" s="27" t="str">
        <f>IFERROR(VLOOKUP(C84,#REF!, 5, FALSE), "NO ENCONTRADO")</f>
        <v>NO ENCONTRADO</v>
      </c>
      <c r="I84" s="14"/>
      <c r="J84" s="27"/>
      <c r="K84" s="41"/>
      <c r="L84" s="14"/>
      <c r="M84" s="30">
        <f t="shared" ca="1" si="0"/>
        <v>46026</v>
      </c>
      <c r="N84" s="31" t="str">
        <f t="shared" ca="1" si="1"/>
        <v>✅</v>
      </c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spans="1:28" ht="13" x14ac:dyDescent="0.15">
      <c r="A85" s="33">
        <f>'Scan to Sheets'!A85</f>
        <v>0</v>
      </c>
      <c r="B85" s="35">
        <f>'Scan to Sheets'!B85</f>
        <v>0</v>
      </c>
      <c r="C85" s="35">
        <f>'Scan to Sheets'!C85</f>
        <v>0</v>
      </c>
      <c r="D85" s="35">
        <f>'Scan to Sheets'!D85</f>
        <v>0</v>
      </c>
      <c r="E85" s="36" t="str">
        <f>IFERROR(VLOOKUP(C85,#REF!, 2, FALSE), "NO ENCONTRADO")</f>
        <v>NO ENCONTRADO</v>
      </c>
      <c r="F85" s="36" t="str">
        <f>IFERROR(VLOOKUP(C85,#REF!, 3, FALSE), "NO ENCONTRADO")</f>
        <v>NO ENCONTRADO</v>
      </c>
      <c r="G85" s="36" t="str">
        <f>IFERROR(VLOOKUP(C85,#REF!, 4, FALSE), "NO ENCONTRADO")</f>
        <v>NO ENCONTRADO</v>
      </c>
      <c r="H85" s="36" t="str">
        <f>IFERROR(VLOOKUP(C85,#REF!, 5, FALSE), "NO ENCONTRADO")</f>
        <v>NO ENCONTRADO</v>
      </c>
      <c r="I85" s="15"/>
      <c r="J85" s="36"/>
      <c r="K85" s="42"/>
      <c r="L85" s="15"/>
      <c r="M85" s="39">
        <f t="shared" ca="1" si="0"/>
        <v>46026</v>
      </c>
      <c r="N85" s="40" t="str">
        <f t="shared" ca="1" si="1"/>
        <v>✅</v>
      </c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spans="1:28" ht="13" x14ac:dyDescent="0.15">
      <c r="A86" s="24">
        <f>'Scan to Sheets'!A86</f>
        <v>0</v>
      </c>
      <c r="B86" s="26">
        <f>'Scan to Sheets'!B86</f>
        <v>0</v>
      </c>
      <c r="C86" s="26">
        <f>'Scan to Sheets'!C86</f>
        <v>0</v>
      </c>
      <c r="D86" s="26">
        <f>'Scan to Sheets'!D86</f>
        <v>0</v>
      </c>
      <c r="E86" s="27" t="str">
        <f>IFERROR(VLOOKUP(C86,#REF!, 2, FALSE), "NO ENCONTRADO")</f>
        <v>NO ENCONTRADO</v>
      </c>
      <c r="F86" s="27" t="str">
        <f>IFERROR(VLOOKUP(C86,#REF!, 3, FALSE), "NO ENCONTRADO")</f>
        <v>NO ENCONTRADO</v>
      </c>
      <c r="G86" s="27" t="str">
        <f>IFERROR(VLOOKUP(C86,#REF!, 4, FALSE), "NO ENCONTRADO")</f>
        <v>NO ENCONTRADO</v>
      </c>
      <c r="H86" s="27" t="str">
        <f>IFERROR(VLOOKUP(C86,#REF!, 5, FALSE), "NO ENCONTRADO")</f>
        <v>NO ENCONTRADO</v>
      </c>
      <c r="I86" s="14"/>
      <c r="J86" s="27"/>
      <c r="K86" s="41"/>
      <c r="L86" s="14"/>
      <c r="M86" s="30">
        <f t="shared" ca="1" si="0"/>
        <v>46026</v>
      </c>
      <c r="N86" s="31" t="str">
        <f t="shared" ca="1" si="1"/>
        <v>✅</v>
      </c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spans="1:28" ht="13" x14ac:dyDescent="0.15">
      <c r="A87" s="33">
        <f>'Scan to Sheets'!A87</f>
        <v>0</v>
      </c>
      <c r="B87" s="35">
        <f>'Scan to Sheets'!B87</f>
        <v>0</v>
      </c>
      <c r="C87" s="35">
        <f>'Scan to Sheets'!C87</f>
        <v>0</v>
      </c>
      <c r="D87" s="35">
        <f>'Scan to Sheets'!D87</f>
        <v>0</v>
      </c>
      <c r="E87" s="36" t="str">
        <f>IFERROR(VLOOKUP(C87,#REF!, 2, FALSE), "NO ENCONTRADO")</f>
        <v>NO ENCONTRADO</v>
      </c>
      <c r="F87" s="36" t="str">
        <f>IFERROR(VLOOKUP(C87,#REF!, 3, FALSE), "NO ENCONTRADO")</f>
        <v>NO ENCONTRADO</v>
      </c>
      <c r="G87" s="36" t="str">
        <f>IFERROR(VLOOKUP(C87,#REF!, 4, FALSE), "NO ENCONTRADO")</f>
        <v>NO ENCONTRADO</v>
      </c>
      <c r="H87" s="36" t="str">
        <f>IFERROR(VLOOKUP(C87,#REF!, 5, FALSE), "NO ENCONTRADO")</f>
        <v>NO ENCONTRADO</v>
      </c>
      <c r="I87" s="15"/>
      <c r="J87" s="36"/>
      <c r="K87" s="42"/>
      <c r="L87" s="15"/>
      <c r="M87" s="39">
        <f t="shared" ca="1" si="0"/>
        <v>46026</v>
      </c>
      <c r="N87" s="40" t="str">
        <f t="shared" ca="1" si="1"/>
        <v>✅</v>
      </c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spans="1:28" ht="13" x14ac:dyDescent="0.15">
      <c r="A88" s="24">
        <f>'Scan to Sheets'!A88</f>
        <v>0</v>
      </c>
      <c r="B88" s="26">
        <f>'Scan to Sheets'!B88</f>
        <v>0</v>
      </c>
      <c r="C88" s="26">
        <f>'Scan to Sheets'!C88</f>
        <v>0</v>
      </c>
      <c r="D88" s="26">
        <f>'Scan to Sheets'!D88</f>
        <v>0</v>
      </c>
      <c r="E88" s="27" t="str">
        <f>IFERROR(VLOOKUP(C88,#REF!, 2, FALSE), "NO ENCONTRADO")</f>
        <v>NO ENCONTRADO</v>
      </c>
      <c r="F88" s="27" t="str">
        <f>IFERROR(VLOOKUP(C88,#REF!, 3, FALSE), "NO ENCONTRADO")</f>
        <v>NO ENCONTRADO</v>
      </c>
      <c r="G88" s="27" t="str">
        <f>IFERROR(VLOOKUP(C88,#REF!, 4, FALSE), "NO ENCONTRADO")</f>
        <v>NO ENCONTRADO</v>
      </c>
      <c r="H88" s="27" t="str">
        <f>IFERROR(VLOOKUP(C88,#REF!, 5, FALSE), "NO ENCONTRADO")</f>
        <v>NO ENCONTRADO</v>
      </c>
      <c r="I88" s="14"/>
      <c r="J88" s="27"/>
      <c r="K88" s="41"/>
      <c r="L88" s="14"/>
      <c r="M88" s="30">
        <f t="shared" ca="1" si="0"/>
        <v>46026</v>
      </c>
      <c r="N88" s="31" t="str">
        <f t="shared" ca="1" si="1"/>
        <v>✅</v>
      </c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spans="1:28" ht="13" x14ac:dyDescent="0.15">
      <c r="A89" s="33">
        <f>'Scan to Sheets'!A89</f>
        <v>0</v>
      </c>
      <c r="B89" s="35">
        <f>'Scan to Sheets'!B89</f>
        <v>0</v>
      </c>
      <c r="C89" s="35">
        <f>'Scan to Sheets'!C89</f>
        <v>0</v>
      </c>
      <c r="D89" s="35">
        <f>'Scan to Sheets'!D89</f>
        <v>0</v>
      </c>
      <c r="E89" s="36" t="str">
        <f>IFERROR(VLOOKUP(C89,#REF!, 2, FALSE), "NO ENCONTRADO")</f>
        <v>NO ENCONTRADO</v>
      </c>
      <c r="F89" s="36" t="str">
        <f>IFERROR(VLOOKUP(C89,#REF!, 3, FALSE), "NO ENCONTRADO")</f>
        <v>NO ENCONTRADO</v>
      </c>
      <c r="G89" s="36" t="str">
        <f>IFERROR(VLOOKUP(C89,#REF!, 4, FALSE), "NO ENCONTRADO")</f>
        <v>NO ENCONTRADO</v>
      </c>
      <c r="H89" s="36" t="str">
        <f>IFERROR(VLOOKUP(C89,#REF!, 5, FALSE), "NO ENCONTRADO")</f>
        <v>NO ENCONTRADO</v>
      </c>
      <c r="I89" s="15"/>
      <c r="J89" s="36"/>
      <c r="K89" s="42"/>
      <c r="L89" s="15"/>
      <c r="M89" s="39">
        <f t="shared" ca="1" si="0"/>
        <v>46026</v>
      </c>
      <c r="N89" s="40" t="str">
        <f t="shared" ca="1" si="1"/>
        <v>✅</v>
      </c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spans="1:28" ht="13" x14ac:dyDescent="0.15">
      <c r="A90" s="24">
        <f>'Scan to Sheets'!A90</f>
        <v>0</v>
      </c>
      <c r="B90" s="26">
        <f>'Scan to Sheets'!B90</f>
        <v>0</v>
      </c>
      <c r="C90" s="26">
        <f>'Scan to Sheets'!C90</f>
        <v>0</v>
      </c>
      <c r="D90" s="26">
        <f>'Scan to Sheets'!D90</f>
        <v>0</v>
      </c>
      <c r="E90" s="27" t="str">
        <f>IFERROR(VLOOKUP(C90,#REF!, 2, FALSE), "NO ENCONTRADO")</f>
        <v>NO ENCONTRADO</v>
      </c>
      <c r="F90" s="27" t="str">
        <f>IFERROR(VLOOKUP(C90,#REF!, 3, FALSE), "NO ENCONTRADO")</f>
        <v>NO ENCONTRADO</v>
      </c>
      <c r="G90" s="27" t="str">
        <f>IFERROR(VLOOKUP(C90,#REF!, 4, FALSE), "NO ENCONTRADO")</f>
        <v>NO ENCONTRADO</v>
      </c>
      <c r="H90" s="27" t="str">
        <f>IFERROR(VLOOKUP(C90,#REF!, 5, FALSE), "NO ENCONTRADO")</f>
        <v>NO ENCONTRADO</v>
      </c>
      <c r="I90" s="14"/>
      <c r="J90" s="27"/>
      <c r="K90" s="41"/>
      <c r="L90" s="14"/>
      <c r="M90" s="30">
        <f t="shared" ca="1" si="0"/>
        <v>46026</v>
      </c>
      <c r="N90" s="31" t="str">
        <f t="shared" ca="1" si="1"/>
        <v>✅</v>
      </c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spans="1:28" ht="13" x14ac:dyDescent="0.15">
      <c r="A91" s="33">
        <f>'Scan to Sheets'!A91</f>
        <v>0</v>
      </c>
      <c r="B91" s="35">
        <f>'Scan to Sheets'!B91</f>
        <v>0</v>
      </c>
      <c r="C91" s="35">
        <f>'Scan to Sheets'!C91</f>
        <v>0</v>
      </c>
      <c r="D91" s="35">
        <f>'Scan to Sheets'!D91</f>
        <v>0</v>
      </c>
      <c r="E91" s="36" t="str">
        <f>IFERROR(VLOOKUP(C91,#REF!, 2, FALSE), "NO ENCONTRADO")</f>
        <v>NO ENCONTRADO</v>
      </c>
      <c r="F91" s="36" t="str">
        <f>IFERROR(VLOOKUP(C91,#REF!, 3, FALSE), "NO ENCONTRADO")</f>
        <v>NO ENCONTRADO</v>
      </c>
      <c r="G91" s="36" t="str">
        <f>IFERROR(VLOOKUP(C91,#REF!, 4, FALSE), "NO ENCONTRADO")</f>
        <v>NO ENCONTRADO</v>
      </c>
      <c r="H91" s="36" t="str">
        <f>IFERROR(VLOOKUP(C91,#REF!, 5, FALSE), "NO ENCONTRADO")</f>
        <v>NO ENCONTRADO</v>
      </c>
      <c r="I91" s="15"/>
      <c r="J91" s="36"/>
      <c r="K91" s="42"/>
      <c r="L91" s="15"/>
      <c r="M91" s="39">
        <f t="shared" ca="1" si="0"/>
        <v>46026</v>
      </c>
      <c r="N91" s="40" t="str">
        <f t="shared" ca="1" si="1"/>
        <v>✅</v>
      </c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spans="1:28" ht="13" x14ac:dyDescent="0.15">
      <c r="A92" s="24">
        <f>'Scan to Sheets'!A92</f>
        <v>0</v>
      </c>
      <c r="B92" s="26">
        <f>'Scan to Sheets'!B92</f>
        <v>0</v>
      </c>
      <c r="C92" s="26">
        <f>'Scan to Sheets'!C92</f>
        <v>0</v>
      </c>
      <c r="D92" s="26">
        <f>'Scan to Sheets'!D92</f>
        <v>0</v>
      </c>
      <c r="E92" s="27" t="str">
        <f>IFERROR(VLOOKUP(C92,#REF!, 2, FALSE), "NO ENCONTRADO")</f>
        <v>NO ENCONTRADO</v>
      </c>
      <c r="F92" s="27" t="str">
        <f>IFERROR(VLOOKUP(C92,#REF!, 3, FALSE), "NO ENCONTRADO")</f>
        <v>NO ENCONTRADO</v>
      </c>
      <c r="G92" s="27" t="str">
        <f>IFERROR(VLOOKUP(C92,#REF!, 4, FALSE), "NO ENCONTRADO")</f>
        <v>NO ENCONTRADO</v>
      </c>
      <c r="H92" s="27" t="str">
        <f>IFERROR(VLOOKUP(C92,#REF!, 5, FALSE), "NO ENCONTRADO")</f>
        <v>NO ENCONTRADO</v>
      </c>
      <c r="I92" s="14"/>
      <c r="J92" s="27"/>
      <c r="K92" s="41"/>
      <c r="L92" s="14"/>
      <c r="M92" s="30">
        <f t="shared" ca="1" si="0"/>
        <v>46026</v>
      </c>
      <c r="N92" s="31" t="str">
        <f t="shared" ca="1" si="1"/>
        <v>✅</v>
      </c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spans="1:28" ht="13" x14ac:dyDescent="0.15">
      <c r="A93" s="33">
        <f>'Scan to Sheets'!A93</f>
        <v>0</v>
      </c>
      <c r="B93" s="35">
        <f>'Scan to Sheets'!B93</f>
        <v>0</v>
      </c>
      <c r="C93" s="35">
        <f>'Scan to Sheets'!C93</f>
        <v>0</v>
      </c>
      <c r="D93" s="35">
        <f>'Scan to Sheets'!D93</f>
        <v>0</v>
      </c>
      <c r="E93" s="36" t="str">
        <f>IFERROR(VLOOKUP(C93,#REF!, 2, FALSE), "NO ENCONTRADO")</f>
        <v>NO ENCONTRADO</v>
      </c>
      <c r="F93" s="36" t="str">
        <f>IFERROR(VLOOKUP(C93,#REF!, 3, FALSE), "NO ENCONTRADO")</f>
        <v>NO ENCONTRADO</v>
      </c>
      <c r="G93" s="36" t="str">
        <f>IFERROR(VLOOKUP(C93,#REF!, 4, FALSE), "NO ENCONTRADO")</f>
        <v>NO ENCONTRADO</v>
      </c>
      <c r="H93" s="36" t="str">
        <f>IFERROR(VLOOKUP(C93,#REF!, 5, FALSE), "NO ENCONTRADO")</f>
        <v>NO ENCONTRADO</v>
      </c>
      <c r="I93" s="15"/>
      <c r="J93" s="36"/>
      <c r="K93" s="42"/>
      <c r="L93" s="15"/>
      <c r="M93" s="39">
        <f t="shared" ca="1" si="0"/>
        <v>46026</v>
      </c>
      <c r="N93" s="40" t="str">
        <f t="shared" ca="1" si="1"/>
        <v>✅</v>
      </c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ht="13" x14ac:dyDescent="0.15">
      <c r="A94" s="24">
        <f>'Scan to Sheets'!A94</f>
        <v>0</v>
      </c>
      <c r="B94" s="26">
        <f>'Scan to Sheets'!B94</f>
        <v>0</v>
      </c>
      <c r="C94" s="26">
        <f>'Scan to Sheets'!C94</f>
        <v>0</v>
      </c>
      <c r="D94" s="26">
        <f>'Scan to Sheets'!D94</f>
        <v>0</v>
      </c>
      <c r="E94" s="27" t="str">
        <f>IFERROR(VLOOKUP(C94,#REF!, 2, FALSE), "NO ENCONTRADO")</f>
        <v>NO ENCONTRADO</v>
      </c>
      <c r="F94" s="27" t="str">
        <f>IFERROR(VLOOKUP(C94,#REF!, 3, FALSE), "NO ENCONTRADO")</f>
        <v>NO ENCONTRADO</v>
      </c>
      <c r="G94" s="27" t="str">
        <f>IFERROR(VLOOKUP(C94,#REF!, 4, FALSE), "NO ENCONTRADO")</f>
        <v>NO ENCONTRADO</v>
      </c>
      <c r="H94" s="27" t="str">
        <f>IFERROR(VLOOKUP(C94,#REF!, 5, FALSE), "NO ENCONTRADO")</f>
        <v>NO ENCONTRADO</v>
      </c>
      <c r="I94" s="14"/>
      <c r="J94" s="27"/>
      <c r="K94" s="41"/>
      <c r="L94" s="14"/>
      <c r="M94" s="30">
        <f t="shared" ca="1" si="0"/>
        <v>46026</v>
      </c>
      <c r="N94" s="31" t="str">
        <f t="shared" ca="1" si="1"/>
        <v>✅</v>
      </c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13" x14ac:dyDescent="0.15">
      <c r="A95" s="33">
        <f>'Scan to Sheets'!A95</f>
        <v>0</v>
      </c>
      <c r="B95" s="35">
        <f>'Scan to Sheets'!B95</f>
        <v>0</v>
      </c>
      <c r="C95" s="35">
        <f>'Scan to Sheets'!C95</f>
        <v>0</v>
      </c>
      <c r="D95" s="35">
        <f>'Scan to Sheets'!D95</f>
        <v>0</v>
      </c>
      <c r="E95" s="36" t="str">
        <f>IFERROR(VLOOKUP(C95,#REF!, 2, FALSE), "NO ENCONTRADO")</f>
        <v>NO ENCONTRADO</v>
      </c>
      <c r="F95" s="36" t="str">
        <f>IFERROR(VLOOKUP(C95,#REF!, 3, FALSE), "NO ENCONTRADO")</f>
        <v>NO ENCONTRADO</v>
      </c>
      <c r="G95" s="36" t="str">
        <f>IFERROR(VLOOKUP(C95,#REF!, 4, FALSE), "NO ENCONTRADO")</f>
        <v>NO ENCONTRADO</v>
      </c>
      <c r="H95" s="36" t="str">
        <f>IFERROR(VLOOKUP(C95,#REF!, 5, FALSE), "NO ENCONTRADO")</f>
        <v>NO ENCONTRADO</v>
      </c>
      <c r="I95" s="15"/>
      <c r="J95" s="36"/>
      <c r="K95" s="42"/>
      <c r="L95" s="15"/>
      <c r="M95" s="39">
        <f t="shared" ca="1" si="0"/>
        <v>46026</v>
      </c>
      <c r="N95" s="40" t="str">
        <f t="shared" ca="1" si="1"/>
        <v>✅</v>
      </c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spans="1:28" ht="13" x14ac:dyDescent="0.15">
      <c r="A96" s="24">
        <f>'Scan to Sheets'!A96</f>
        <v>0</v>
      </c>
      <c r="B96" s="26">
        <f>'Scan to Sheets'!B96</f>
        <v>0</v>
      </c>
      <c r="C96" s="26">
        <f>'Scan to Sheets'!C96</f>
        <v>0</v>
      </c>
      <c r="D96" s="26">
        <f>'Scan to Sheets'!D96</f>
        <v>0</v>
      </c>
      <c r="E96" s="27" t="str">
        <f>IFERROR(VLOOKUP(C96,#REF!, 2, FALSE), "NO ENCONTRADO")</f>
        <v>NO ENCONTRADO</v>
      </c>
      <c r="F96" s="27" t="str">
        <f>IFERROR(VLOOKUP(C96,#REF!, 3, FALSE), "NO ENCONTRADO")</f>
        <v>NO ENCONTRADO</v>
      </c>
      <c r="G96" s="27" t="str">
        <f>IFERROR(VLOOKUP(C96,#REF!, 4, FALSE), "NO ENCONTRADO")</f>
        <v>NO ENCONTRADO</v>
      </c>
      <c r="H96" s="27" t="str">
        <f>IFERROR(VLOOKUP(C96,#REF!, 5, FALSE), "NO ENCONTRADO")</f>
        <v>NO ENCONTRADO</v>
      </c>
      <c r="I96" s="14"/>
      <c r="J96" s="27"/>
      <c r="K96" s="41"/>
      <c r="L96" s="14"/>
      <c r="M96" s="30">
        <f t="shared" ca="1" si="0"/>
        <v>46026</v>
      </c>
      <c r="N96" s="31" t="str">
        <f t="shared" ca="1" si="1"/>
        <v>✅</v>
      </c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spans="1:28" ht="13" x14ac:dyDescent="0.15">
      <c r="A97" s="33">
        <f>'Scan to Sheets'!A97</f>
        <v>0</v>
      </c>
      <c r="B97" s="35">
        <f>'Scan to Sheets'!B97</f>
        <v>0</v>
      </c>
      <c r="C97" s="35">
        <f>'Scan to Sheets'!C97</f>
        <v>0</v>
      </c>
      <c r="D97" s="35">
        <f>'Scan to Sheets'!D97</f>
        <v>0</v>
      </c>
      <c r="E97" s="36" t="str">
        <f>IFERROR(VLOOKUP(C97,#REF!, 2, FALSE), "NO ENCONTRADO")</f>
        <v>NO ENCONTRADO</v>
      </c>
      <c r="F97" s="36" t="str">
        <f>IFERROR(VLOOKUP(C97,#REF!, 3, FALSE), "NO ENCONTRADO")</f>
        <v>NO ENCONTRADO</v>
      </c>
      <c r="G97" s="36" t="str">
        <f>IFERROR(VLOOKUP(C97,#REF!, 4, FALSE), "NO ENCONTRADO")</f>
        <v>NO ENCONTRADO</v>
      </c>
      <c r="H97" s="36" t="str">
        <f>IFERROR(VLOOKUP(C97,#REF!, 5, FALSE), "NO ENCONTRADO")</f>
        <v>NO ENCONTRADO</v>
      </c>
      <c r="I97" s="15"/>
      <c r="J97" s="36"/>
      <c r="K97" s="42"/>
      <c r="L97" s="15"/>
      <c r="M97" s="39">
        <f t="shared" ca="1" si="0"/>
        <v>46026</v>
      </c>
      <c r="N97" s="40" t="str">
        <f t="shared" ca="1" si="1"/>
        <v>✅</v>
      </c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spans="1:28" ht="13" x14ac:dyDescent="0.15">
      <c r="A98" s="24">
        <f>'Scan to Sheets'!A98</f>
        <v>0</v>
      </c>
      <c r="B98" s="26">
        <f>'Scan to Sheets'!B98</f>
        <v>0</v>
      </c>
      <c r="C98" s="26">
        <f>'Scan to Sheets'!C98</f>
        <v>0</v>
      </c>
      <c r="D98" s="26">
        <f>'Scan to Sheets'!D98</f>
        <v>0</v>
      </c>
      <c r="E98" s="27" t="str">
        <f>IFERROR(VLOOKUP(C98,#REF!, 2, FALSE), "NO ENCONTRADO")</f>
        <v>NO ENCONTRADO</v>
      </c>
      <c r="F98" s="27" t="str">
        <f>IFERROR(VLOOKUP(C98,#REF!, 3, FALSE), "NO ENCONTRADO")</f>
        <v>NO ENCONTRADO</v>
      </c>
      <c r="G98" s="27" t="str">
        <f>IFERROR(VLOOKUP(C98,#REF!, 4, FALSE), "NO ENCONTRADO")</f>
        <v>NO ENCONTRADO</v>
      </c>
      <c r="H98" s="27" t="str">
        <f>IFERROR(VLOOKUP(C98,#REF!, 5, FALSE), "NO ENCONTRADO")</f>
        <v>NO ENCONTRADO</v>
      </c>
      <c r="I98" s="14"/>
      <c r="J98" s="27"/>
      <c r="K98" s="41"/>
      <c r="L98" s="14"/>
      <c r="M98" s="30">
        <f t="shared" ca="1" si="0"/>
        <v>46026</v>
      </c>
      <c r="N98" s="31" t="str">
        <f t="shared" ca="1" si="1"/>
        <v>✅</v>
      </c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spans="1:28" ht="13" x14ac:dyDescent="0.15">
      <c r="A99" s="33">
        <f>'Scan to Sheets'!A99</f>
        <v>0</v>
      </c>
      <c r="B99" s="35">
        <f>'Scan to Sheets'!B99</f>
        <v>0</v>
      </c>
      <c r="C99" s="35">
        <f>'Scan to Sheets'!C99</f>
        <v>0</v>
      </c>
      <c r="D99" s="35">
        <f>'Scan to Sheets'!D99</f>
        <v>0</v>
      </c>
      <c r="E99" s="36" t="str">
        <f>IFERROR(VLOOKUP(C99,#REF!, 2, FALSE), "NO ENCONTRADO")</f>
        <v>NO ENCONTRADO</v>
      </c>
      <c r="F99" s="36" t="str">
        <f>IFERROR(VLOOKUP(C99,#REF!, 3, FALSE), "NO ENCONTRADO")</f>
        <v>NO ENCONTRADO</v>
      </c>
      <c r="G99" s="36" t="str">
        <f>IFERROR(VLOOKUP(C99,#REF!, 4, FALSE), "NO ENCONTRADO")</f>
        <v>NO ENCONTRADO</v>
      </c>
      <c r="H99" s="36" t="str">
        <f>IFERROR(VLOOKUP(C99,#REF!, 5, FALSE), "NO ENCONTRADO")</f>
        <v>NO ENCONTRADO</v>
      </c>
      <c r="I99" s="15"/>
      <c r="J99" s="36"/>
      <c r="K99" s="42"/>
      <c r="L99" s="15"/>
      <c r="M99" s="39">
        <f t="shared" ca="1" si="0"/>
        <v>46026</v>
      </c>
      <c r="N99" s="40" t="str">
        <f t="shared" ca="1" si="1"/>
        <v>✅</v>
      </c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spans="1:28" ht="13" x14ac:dyDescent="0.15">
      <c r="A100" s="24">
        <f>'Scan to Sheets'!A100</f>
        <v>0</v>
      </c>
      <c r="B100" s="26">
        <f>'Scan to Sheets'!B100</f>
        <v>0</v>
      </c>
      <c r="C100" s="26">
        <f>'Scan to Sheets'!C100</f>
        <v>0</v>
      </c>
      <c r="D100" s="26">
        <f>'Scan to Sheets'!D100</f>
        <v>0</v>
      </c>
      <c r="E100" s="27" t="str">
        <f>IFERROR(VLOOKUP(C100,#REF!, 2, FALSE), "NO ENCONTRADO")</f>
        <v>NO ENCONTRADO</v>
      </c>
      <c r="F100" s="27" t="str">
        <f>IFERROR(VLOOKUP(C100,#REF!, 3, FALSE), "NO ENCONTRADO")</f>
        <v>NO ENCONTRADO</v>
      </c>
      <c r="G100" s="27" t="str">
        <f>IFERROR(VLOOKUP(C100,#REF!, 4, FALSE), "NO ENCONTRADO")</f>
        <v>NO ENCONTRADO</v>
      </c>
      <c r="H100" s="27" t="str">
        <f>IFERROR(VLOOKUP(C100,#REF!, 5, FALSE), "NO ENCONTRADO")</f>
        <v>NO ENCONTRADO</v>
      </c>
      <c r="I100" s="14"/>
      <c r="J100" s="27"/>
      <c r="K100" s="41"/>
      <c r="L100" s="14"/>
      <c r="M100" s="30">
        <f t="shared" ca="1" si="0"/>
        <v>46026</v>
      </c>
      <c r="N100" s="31" t="str">
        <f t="shared" ca="1" si="1"/>
        <v>✅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spans="1:28" ht="13" x14ac:dyDescent="0.15">
      <c r="A101" s="33">
        <f>'Scan to Sheets'!A101</f>
        <v>0</v>
      </c>
      <c r="B101" s="35">
        <f>'Scan to Sheets'!B101</f>
        <v>0</v>
      </c>
      <c r="C101" s="35">
        <f>'Scan to Sheets'!C101</f>
        <v>0</v>
      </c>
      <c r="D101" s="35">
        <f>'Scan to Sheets'!D101</f>
        <v>0</v>
      </c>
      <c r="E101" s="36" t="str">
        <f>IFERROR(VLOOKUP(C101,#REF!, 2, FALSE), "NO ENCONTRADO")</f>
        <v>NO ENCONTRADO</v>
      </c>
      <c r="F101" s="36" t="str">
        <f>IFERROR(VLOOKUP(C101,#REF!, 3, FALSE), "NO ENCONTRADO")</f>
        <v>NO ENCONTRADO</v>
      </c>
      <c r="G101" s="36" t="str">
        <f>IFERROR(VLOOKUP(C101,#REF!, 4, FALSE), "NO ENCONTRADO")</f>
        <v>NO ENCONTRADO</v>
      </c>
      <c r="H101" s="36" t="str">
        <f>IFERROR(VLOOKUP(C101,#REF!, 5, FALSE), "NO ENCONTRADO")</f>
        <v>NO ENCONTRADO</v>
      </c>
      <c r="I101" s="15"/>
      <c r="J101" s="36"/>
      <c r="K101" s="42"/>
      <c r="L101" s="15"/>
      <c r="M101" s="39">
        <f t="shared" ca="1" si="0"/>
        <v>46026</v>
      </c>
      <c r="N101" s="40" t="str">
        <f t="shared" ca="1" si="1"/>
        <v>✅</v>
      </c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spans="1:28" ht="13" x14ac:dyDescent="0.15">
      <c r="A102" s="24">
        <f>'Scan to Sheets'!A102</f>
        <v>0</v>
      </c>
      <c r="B102" s="26">
        <f>'Scan to Sheets'!B102</f>
        <v>0</v>
      </c>
      <c r="C102" s="26">
        <f>'Scan to Sheets'!C102</f>
        <v>0</v>
      </c>
      <c r="D102" s="26">
        <f>'Scan to Sheets'!D102</f>
        <v>0</v>
      </c>
      <c r="E102" s="27" t="str">
        <f>IFERROR(VLOOKUP(C102,#REF!, 2, FALSE), "NO ENCONTRADO")</f>
        <v>NO ENCONTRADO</v>
      </c>
      <c r="F102" s="27" t="str">
        <f>IFERROR(VLOOKUP(C102,#REF!, 3, FALSE), "NO ENCONTRADO")</f>
        <v>NO ENCONTRADO</v>
      </c>
      <c r="G102" s="27" t="str">
        <f>IFERROR(VLOOKUP(C102,#REF!, 4, FALSE), "NO ENCONTRADO")</f>
        <v>NO ENCONTRADO</v>
      </c>
      <c r="H102" s="27" t="str">
        <f>IFERROR(VLOOKUP(C102,#REF!, 5, FALSE), "NO ENCONTRADO")</f>
        <v>NO ENCONTRADO</v>
      </c>
      <c r="I102" s="14"/>
      <c r="J102" s="27"/>
      <c r="K102" s="41"/>
      <c r="L102" s="14"/>
      <c r="M102" s="30">
        <f t="shared" ca="1" si="0"/>
        <v>46026</v>
      </c>
      <c r="N102" s="31" t="str">
        <f t="shared" ca="1" si="1"/>
        <v>✅</v>
      </c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spans="1:28" ht="13" x14ac:dyDescent="0.15">
      <c r="A103" s="33">
        <f>'Scan to Sheets'!A103</f>
        <v>0</v>
      </c>
      <c r="B103" s="35">
        <f>'Scan to Sheets'!B103</f>
        <v>0</v>
      </c>
      <c r="C103" s="35">
        <f>'Scan to Sheets'!C103</f>
        <v>0</v>
      </c>
      <c r="D103" s="35">
        <f>'Scan to Sheets'!D103</f>
        <v>0</v>
      </c>
      <c r="E103" s="36" t="str">
        <f>IFERROR(VLOOKUP(C103,#REF!, 2, FALSE), "NO ENCONTRADO")</f>
        <v>NO ENCONTRADO</v>
      </c>
      <c r="F103" s="36" t="str">
        <f>IFERROR(VLOOKUP(C103,#REF!, 3, FALSE), "NO ENCONTRADO")</f>
        <v>NO ENCONTRADO</v>
      </c>
      <c r="G103" s="36" t="str">
        <f>IFERROR(VLOOKUP(C103,#REF!, 4, FALSE), "NO ENCONTRADO")</f>
        <v>NO ENCONTRADO</v>
      </c>
      <c r="H103" s="36" t="str">
        <f>IFERROR(VLOOKUP(C103,#REF!, 5, FALSE), "NO ENCONTRADO")</f>
        <v>NO ENCONTRADO</v>
      </c>
      <c r="I103" s="15"/>
      <c r="J103" s="36"/>
      <c r="K103" s="42"/>
      <c r="L103" s="15"/>
      <c r="M103" s="39">
        <f t="shared" ca="1" si="0"/>
        <v>46026</v>
      </c>
      <c r="N103" s="40" t="str">
        <f t="shared" ca="1" si="1"/>
        <v>✅</v>
      </c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spans="1:28" ht="13" x14ac:dyDescent="0.15">
      <c r="A104" s="24">
        <f>'Scan to Sheets'!A104</f>
        <v>0</v>
      </c>
      <c r="B104" s="26">
        <f>'Scan to Sheets'!B104</f>
        <v>0</v>
      </c>
      <c r="C104" s="26">
        <f>'Scan to Sheets'!C104</f>
        <v>0</v>
      </c>
      <c r="D104" s="26">
        <f>'Scan to Sheets'!D104</f>
        <v>0</v>
      </c>
      <c r="E104" s="27" t="str">
        <f>IFERROR(VLOOKUP(C104,#REF!, 2, FALSE), "NO ENCONTRADO")</f>
        <v>NO ENCONTRADO</v>
      </c>
      <c r="F104" s="27" t="str">
        <f>IFERROR(VLOOKUP(C104,#REF!, 3, FALSE), "NO ENCONTRADO")</f>
        <v>NO ENCONTRADO</v>
      </c>
      <c r="G104" s="27" t="str">
        <f>IFERROR(VLOOKUP(C104,#REF!, 4, FALSE), "NO ENCONTRADO")</f>
        <v>NO ENCONTRADO</v>
      </c>
      <c r="H104" s="27" t="str">
        <f>IFERROR(VLOOKUP(C104,#REF!, 5, FALSE), "NO ENCONTRADO")</f>
        <v>NO ENCONTRADO</v>
      </c>
      <c r="I104" s="14"/>
      <c r="J104" s="27"/>
      <c r="K104" s="41"/>
      <c r="L104" s="14"/>
      <c r="M104" s="30">
        <f t="shared" ca="1" si="0"/>
        <v>46026</v>
      </c>
      <c r="N104" s="31" t="str">
        <f t="shared" ca="1" si="1"/>
        <v>✅</v>
      </c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spans="1:28" ht="13" x14ac:dyDescent="0.15">
      <c r="A105" s="33">
        <f>'Scan to Sheets'!A105</f>
        <v>0</v>
      </c>
      <c r="B105" s="35">
        <f>'Scan to Sheets'!B105</f>
        <v>0</v>
      </c>
      <c r="C105" s="35">
        <f>'Scan to Sheets'!C105</f>
        <v>0</v>
      </c>
      <c r="D105" s="35">
        <f>'Scan to Sheets'!D105</f>
        <v>0</v>
      </c>
      <c r="E105" s="36" t="str">
        <f>IFERROR(VLOOKUP(C105,#REF!, 2, FALSE), "NO ENCONTRADO")</f>
        <v>NO ENCONTRADO</v>
      </c>
      <c r="F105" s="36" t="str">
        <f>IFERROR(VLOOKUP(C105,#REF!, 3, FALSE), "NO ENCONTRADO")</f>
        <v>NO ENCONTRADO</v>
      </c>
      <c r="G105" s="36" t="str">
        <f>IFERROR(VLOOKUP(C105,#REF!, 4, FALSE), "NO ENCONTRADO")</f>
        <v>NO ENCONTRADO</v>
      </c>
      <c r="H105" s="36" t="str">
        <f>IFERROR(VLOOKUP(C105,#REF!, 5, FALSE), "NO ENCONTRADO")</f>
        <v>NO ENCONTRADO</v>
      </c>
      <c r="I105" s="15"/>
      <c r="J105" s="36"/>
      <c r="K105" s="42"/>
      <c r="L105" s="15"/>
      <c r="M105" s="39">
        <f t="shared" ca="1" si="0"/>
        <v>46026</v>
      </c>
      <c r="N105" s="40" t="str">
        <f t="shared" ca="1" si="1"/>
        <v>✅</v>
      </c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 ht="13" x14ac:dyDescent="0.15">
      <c r="A106" s="24">
        <f>'Scan to Sheets'!A106</f>
        <v>0</v>
      </c>
      <c r="B106" s="26">
        <f>'Scan to Sheets'!B106</f>
        <v>0</v>
      </c>
      <c r="C106" s="26">
        <f>'Scan to Sheets'!C106</f>
        <v>0</v>
      </c>
      <c r="D106" s="26">
        <f>'Scan to Sheets'!D106</f>
        <v>0</v>
      </c>
      <c r="E106" s="27" t="str">
        <f>IFERROR(VLOOKUP(C106,#REF!, 2, FALSE), "NO ENCONTRADO")</f>
        <v>NO ENCONTRADO</v>
      </c>
      <c r="F106" s="27" t="str">
        <f>IFERROR(VLOOKUP(C106,#REF!, 3, FALSE), "NO ENCONTRADO")</f>
        <v>NO ENCONTRADO</v>
      </c>
      <c r="G106" s="27" t="str">
        <f>IFERROR(VLOOKUP(C106,#REF!, 4, FALSE), "NO ENCONTRADO")</f>
        <v>NO ENCONTRADO</v>
      </c>
      <c r="H106" s="27" t="str">
        <f>IFERROR(VLOOKUP(C106,#REF!, 5, FALSE), "NO ENCONTRADO")</f>
        <v>NO ENCONTRADO</v>
      </c>
      <c r="I106" s="14"/>
      <c r="J106" s="27"/>
      <c r="K106" s="41"/>
      <c r="L106" s="14"/>
      <c r="M106" s="30">
        <f t="shared" ca="1" si="0"/>
        <v>46026</v>
      </c>
      <c r="N106" s="31" t="str">
        <f t="shared" ca="1" si="1"/>
        <v>✅</v>
      </c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spans="1:28" ht="13" x14ac:dyDescent="0.15">
      <c r="A107" s="33">
        <f>'Scan to Sheets'!A107</f>
        <v>0</v>
      </c>
      <c r="B107" s="35">
        <f>'Scan to Sheets'!B107</f>
        <v>0</v>
      </c>
      <c r="C107" s="35">
        <f>'Scan to Sheets'!C107</f>
        <v>0</v>
      </c>
      <c r="D107" s="35">
        <f>'Scan to Sheets'!D107</f>
        <v>0</v>
      </c>
      <c r="E107" s="36" t="str">
        <f>IFERROR(VLOOKUP(C107,#REF!, 2, FALSE), "NO ENCONTRADO")</f>
        <v>NO ENCONTRADO</v>
      </c>
      <c r="F107" s="36" t="str">
        <f>IFERROR(VLOOKUP(C107,#REF!, 3, FALSE), "NO ENCONTRADO")</f>
        <v>NO ENCONTRADO</v>
      </c>
      <c r="G107" s="36" t="str">
        <f>IFERROR(VLOOKUP(C107,#REF!, 4, FALSE), "NO ENCONTRADO")</f>
        <v>NO ENCONTRADO</v>
      </c>
      <c r="H107" s="36" t="str">
        <f>IFERROR(VLOOKUP(C107,#REF!, 5, FALSE), "NO ENCONTRADO")</f>
        <v>NO ENCONTRADO</v>
      </c>
      <c r="I107" s="15"/>
      <c r="J107" s="36"/>
      <c r="K107" s="42"/>
      <c r="L107" s="15"/>
      <c r="M107" s="39">
        <f t="shared" ca="1" si="0"/>
        <v>46026</v>
      </c>
      <c r="N107" s="40" t="str">
        <f t="shared" ca="1" si="1"/>
        <v>✅</v>
      </c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spans="1:28" ht="13" x14ac:dyDescent="0.15">
      <c r="A108" s="24">
        <f>'Scan to Sheets'!A108</f>
        <v>0</v>
      </c>
      <c r="B108" s="26">
        <f>'Scan to Sheets'!B108</f>
        <v>0</v>
      </c>
      <c r="C108" s="26">
        <f>'Scan to Sheets'!C108</f>
        <v>0</v>
      </c>
      <c r="D108" s="26">
        <f>'Scan to Sheets'!D108</f>
        <v>0</v>
      </c>
      <c r="E108" s="27" t="str">
        <f>IFERROR(VLOOKUP(C108,#REF!, 2, FALSE), "NO ENCONTRADO")</f>
        <v>NO ENCONTRADO</v>
      </c>
      <c r="F108" s="27" t="str">
        <f>IFERROR(VLOOKUP(C108,#REF!, 3, FALSE), "NO ENCONTRADO")</f>
        <v>NO ENCONTRADO</v>
      </c>
      <c r="G108" s="27" t="str">
        <f>IFERROR(VLOOKUP(C108,#REF!, 4, FALSE), "NO ENCONTRADO")</f>
        <v>NO ENCONTRADO</v>
      </c>
      <c r="H108" s="27" t="str">
        <f>IFERROR(VLOOKUP(C108,#REF!, 5, FALSE), "NO ENCONTRADO")</f>
        <v>NO ENCONTRADO</v>
      </c>
      <c r="I108" s="14"/>
      <c r="J108" s="27"/>
      <c r="K108" s="41"/>
      <c r="L108" s="14"/>
      <c r="M108" s="30">
        <f t="shared" ca="1" si="0"/>
        <v>46026</v>
      </c>
      <c r="N108" s="31" t="str">
        <f t="shared" ca="1" si="1"/>
        <v>✅</v>
      </c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spans="1:28" ht="13" x14ac:dyDescent="0.15">
      <c r="A109" s="33">
        <f>'Scan to Sheets'!A109</f>
        <v>0</v>
      </c>
      <c r="B109" s="35">
        <f>'Scan to Sheets'!B109</f>
        <v>0</v>
      </c>
      <c r="C109" s="35">
        <f>'Scan to Sheets'!C109</f>
        <v>0</v>
      </c>
      <c r="D109" s="35">
        <f>'Scan to Sheets'!D109</f>
        <v>0</v>
      </c>
      <c r="E109" s="36" t="str">
        <f>IFERROR(VLOOKUP(C109,#REF!, 2, FALSE), "NO ENCONTRADO")</f>
        <v>NO ENCONTRADO</v>
      </c>
      <c r="F109" s="36" t="str">
        <f>IFERROR(VLOOKUP(C109,#REF!, 3, FALSE), "NO ENCONTRADO")</f>
        <v>NO ENCONTRADO</v>
      </c>
      <c r="G109" s="36" t="str">
        <f>IFERROR(VLOOKUP(C109,#REF!, 4, FALSE), "NO ENCONTRADO")</f>
        <v>NO ENCONTRADO</v>
      </c>
      <c r="H109" s="36" t="str">
        <f>IFERROR(VLOOKUP(C109,#REF!, 5, FALSE), "NO ENCONTRADO")</f>
        <v>NO ENCONTRADO</v>
      </c>
      <c r="I109" s="15"/>
      <c r="J109" s="36"/>
      <c r="K109" s="42"/>
      <c r="L109" s="15"/>
      <c r="M109" s="39">
        <f t="shared" ca="1" si="0"/>
        <v>46026</v>
      </c>
      <c r="N109" s="40" t="str">
        <f t="shared" ca="1" si="1"/>
        <v>✅</v>
      </c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spans="1:28" ht="13" x14ac:dyDescent="0.15">
      <c r="A110" s="24">
        <f>'Scan to Sheets'!A110</f>
        <v>0</v>
      </c>
      <c r="B110" s="26">
        <f>'Scan to Sheets'!B110</f>
        <v>0</v>
      </c>
      <c r="C110" s="26">
        <f>'Scan to Sheets'!C110</f>
        <v>0</v>
      </c>
      <c r="D110" s="26">
        <f>'Scan to Sheets'!D110</f>
        <v>0</v>
      </c>
      <c r="E110" s="27" t="str">
        <f>IFERROR(VLOOKUP(C110,#REF!, 2, FALSE), "NO ENCONTRADO")</f>
        <v>NO ENCONTRADO</v>
      </c>
      <c r="F110" s="27" t="str">
        <f>IFERROR(VLOOKUP(C110,#REF!, 3, FALSE), "NO ENCONTRADO")</f>
        <v>NO ENCONTRADO</v>
      </c>
      <c r="G110" s="27" t="str">
        <f>IFERROR(VLOOKUP(C110,#REF!, 4, FALSE), "NO ENCONTRADO")</f>
        <v>NO ENCONTRADO</v>
      </c>
      <c r="H110" s="27" t="str">
        <f>IFERROR(VLOOKUP(C110,#REF!, 5, FALSE), "NO ENCONTRADO")</f>
        <v>NO ENCONTRADO</v>
      </c>
      <c r="I110" s="14"/>
      <c r="J110" s="27"/>
      <c r="K110" s="41"/>
      <c r="L110" s="14"/>
      <c r="M110" s="30">
        <f t="shared" ca="1" si="0"/>
        <v>46026</v>
      </c>
      <c r="N110" s="31" t="str">
        <f t="shared" ca="1" si="1"/>
        <v>✅</v>
      </c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spans="1:28" ht="13" x14ac:dyDescent="0.15">
      <c r="A111" s="33">
        <f>'Scan to Sheets'!A111</f>
        <v>0</v>
      </c>
      <c r="B111" s="35">
        <f>'Scan to Sheets'!B111</f>
        <v>0</v>
      </c>
      <c r="C111" s="35">
        <f>'Scan to Sheets'!C111</f>
        <v>0</v>
      </c>
      <c r="D111" s="35">
        <f>'Scan to Sheets'!D111</f>
        <v>0</v>
      </c>
      <c r="E111" s="36" t="str">
        <f>IFERROR(VLOOKUP(C111,#REF!, 2, FALSE), "NO ENCONTRADO")</f>
        <v>NO ENCONTRADO</v>
      </c>
      <c r="F111" s="36" t="str">
        <f>IFERROR(VLOOKUP(C111,#REF!, 3, FALSE), "NO ENCONTRADO")</f>
        <v>NO ENCONTRADO</v>
      </c>
      <c r="G111" s="36" t="str">
        <f>IFERROR(VLOOKUP(C111,#REF!, 4, FALSE), "NO ENCONTRADO")</f>
        <v>NO ENCONTRADO</v>
      </c>
      <c r="H111" s="36" t="str">
        <f>IFERROR(VLOOKUP(C111,#REF!, 5, FALSE), "NO ENCONTRADO")</f>
        <v>NO ENCONTRADO</v>
      </c>
      <c r="I111" s="15"/>
      <c r="J111" s="36"/>
      <c r="K111" s="42"/>
      <c r="L111" s="15"/>
      <c r="M111" s="39">
        <f t="shared" ca="1" si="0"/>
        <v>46026</v>
      </c>
      <c r="N111" s="40" t="str">
        <f t="shared" ca="1" si="1"/>
        <v>✅</v>
      </c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spans="1:28" ht="13" x14ac:dyDescent="0.15">
      <c r="A112" s="24">
        <f>'Scan to Sheets'!A112</f>
        <v>0</v>
      </c>
      <c r="B112" s="26">
        <f>'Scan to Sheets'!B112</f>
        <v>0</v>
      </c>
      <c r="C112" s="26">
        <f>'Scan to Sheets'!C112</f>
        <v>0</v>
      </c>
      <c r="D112" s="26">
        <f>'Scan to Sheets'!D112</f>
        <v>0</v>
      </c>
      <c r="E112" s="27" t="str">
        <f>IFERROR(VLOOKUP(C112,#REF!, 2, FALSE), "NO ENCONTRADO")</f>
        <v>NO ENCONTRADO</v>
      </c>
      <c r="F112" s="27" t="str">
        <f>IFERROR(VLOOKUP(C112,#REF!, 3, FALSE), "NO ENCONTRADO")</f>
        <v>NO ENCONTRADO</v>
      </c>
      <c r="G112" s="27" t="str">
        <f>IFERROR(VLOOKUP(C112,#REF!, 4, FALSE), "NO ENCONTRADO")</f>
        <v>NO ENCONTRADO</v>
      </c>
      <c r="H112" s="27" t="str">
        <f>IFERROR(VLOOKUP(C112,#REF!, 5, FALSE), "NO ENCONTRADO")</f>
        <v>NO ENCONTRADO</v>
      </c>
      <c r="I112" s="14"/>
      <c r="J112" s="27"/>
      <c r="K112" s="41"/>
      <c r="L112" s="14"/>
      <c r="M112" s="30">
        <f t="shared" ca="1" si="0"/>
        <v>46026</v>
      </c>
      <c r="N112" s="31" t="str">
        <f t="shared" ca="1" si="1"/>
        <v>✅</v>
      </c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spans="1:28" ht="13" x14ac:dyDescent="0.15">
      <c r="A113" s="33">
        <f>'Scan to Sheets'!A113</f>
        <v>0</v>
      </c>
      <c r="B113" s="35">
        <f>'Scan to Sheets'!B113</f>
        <v>0</v>
      </c>
      <c r="C113" s="35">
        <f>'Scan to Sheets'!C113</f>
        <v>0</v>
      </c>
      <c r="D113" s="35">
        <f>'Scan to Sheets'!D113</f>
        <v>0</v>
      </c>
      <c r="E113" s="36" t="str">
        <f>IFERROR(VLOOKUP(C113,#REF!, 2, FALSE), "NO ENCONTRADO")</f>
        <v>NO ENCONTRADO</v>
      </c>
      <c r="F113" s="36" t="str">
        <f>IFERROR(VLOOKUP(C113,#REF!, 3, FALSE), "NO ENCONTRADO")</f>
        <v>NO ENCONTRADO</v>
      </c>
      <c r="G113" s="36" t="str">
        <f>IFERROR(VLOOKUP(C113,#REF!, 4, FALSE), "NO ENCONTRADO")</f>
        <v>NO ENCONTRADO</v>
      </c>
      <c r="H113" s="36" t="str">
        <f>IFERROR(VLOOKUP(C113,#REF!, 5, FALSE), "NO ENCONTRADO")</f>
        <v>NO ENCONTRADO</v>
      </c>
      <c r="I113" s="15"/>
      <c r="J113" s="36"/>
      <c r="K113" s="42"/>
      <c r="L113" s="15"/>
      <c r="M113" s="39">
        <f t="shared" ca="1" si="0"/>
        <v>46026</v>
      </c>
      <c r="N113" s="40" t="str">
        <f t="shared" ca="1" si="1"/>
        <v>✅</v>
      </c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spans="1:28" ht="13" x14ac:dyDescent="0.15">
      <c r="A114" s="24">
        <f>'Scan to Sheets'!A114</f>
        <v>0</v>
      </c>
      <c r="B114" s="26">
        <f>'Scan to Sheets'!B114</f>
        <v>0</v>
      </c>
      <c r="C114" s="26">
        <f>'Scan to Sheets'!C114</f>
        <v>0</v>
      </c>
      <c r="D114" s="26">
        <f>'Scan to Sheets'!D114</f>
        <v>0</v>
      </c>
      <c r="E114" s="27" t="str">
        <f>IFERROR(VLOOKUP(C114,#REF!, 2, FALSE), "NO ENCONTRADO")</f>
        <v>NO ENCONTRADO</v>
      </c>
      <c r="F114" s="27" t="str">
        <f>IFERROR(VLOOKUP(C114,#REF!, 3, FALSE), "NO ENCONTRADO")</f>
        <v>NO ENCONTRADO</v>
      </c>
      <c r="G114" s="27" t="str">
        <f>IFERROR(VLOOKUP(C114,#REF!, 4, FALSE), "NO ENCONTRADO")</f>
        <v>NO ENCONTRADO</v>
      </c>
      <c r="H114" s="27" t="str">
        <f>IFERROR(VLOOKUP(C114,#REF!, 5, FALSE), "NO ENCONTRADO")</f>
        <v>NO ENCONTRADO</v>
      </c>
      <c r="I114" s="14"/>
      <c r="J114" s="27"/>
      <c r="K114" s="41"/>
      <c r="L114" s="14"/>
      <c r="M114" s="30">
        <f t="shared" ca="1" si="0"/>
        <v>46026</v>
      </c>
      <c r="N114" s="31" t="str">
        <f t="shared" ca="1" si="1"/>
        <v>✅</v>
      </c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spans="1:28" ht="13" x14ac:dyDescent="0.15">
      <c r="A115" s="33">
        <f>'Scan to Sheets'!A115</f>
        <v>0</v>
      </c>
      <c r="B115" s="35">
        <f>'Scan to Sheets'!B115</f>
        <v>0</v>
      </c>
      <c r="C115" s="35">
        <f>'Scan to Sheets'!C115</f>
        <v>0</v>
      </c>
      <c r="D115" s="35">
        <f>'Scan to Sheets'!D115</f>
        <v>0</v>
      </c>
      <c r="E115" s="36" t="str">
        <f>IFERROR(VLOOKUP(C115,#REF!, 2, FALSE), "NO ENCONTRADO")</f>
        <v>NO ENCONTRADO</v>
      </c>
      <c r="F115" s="36" t="str">
        <f>IFERROR(VLOOKUP(C115,#REF!, 3, FALSE), "NO ENCONTRADO")</f>
        <v>NO ENCONTRADO</v>
      </c>
      <c r="G115" s="36" t="str">
        <f>IFERROR(VLOOKUP(C115,#REF!, 4, FALSE), "NO ENCONTRADO")</f>
        <v>NO ENCONTRADO</v>
      </c>
      <c r="H115" s="36" t="str">
        <f>IFERROR(VLOOKUP(C115,#REF!, 5, FALSE), "NO ENCONTRADO")</f>
        <v>NO ENCONTRADO</v>
      </c>
      <c r="I115" s="15"/>
      <c r="J115" s="36"/>
      <c r="K115" s="42"/>
      <c r="L115" s="15"/>
      <c r="M115" s="39">
        <f t="shared" ca="1" si="0"/>
        <v>46026</v>
      </c>
      <c r="N115" s="40" t="str">
        <f t="shared" ca="1" si="1"/>
        <v>✅</v>
      </c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spans="1:28" ht="13" x14ac:dyDescent="0.15">
      <c r="A116" s="24">
        <f>'Scan to Sheets'!A116</f>
        <v>0</v>
      </c>
      <c r="B116" s="26">
        <f>'Scan to Sheets'!B116</f>
        <v>0</v>
      </c>
      <c r="C116" s="26">
        <f>'Scan to Sheets'!C116</f>
        <v>0</v>
      </c>
      <c r="D116" s="26">
        <f>'Scan to Sheets'!D116</f>
        <v>0</v>
      </c>
      <c r="E116" s="27" t="str">
        <f>IFERROR(VLOOKUP(C116,#REF!, 2, FALSE), "NO ENCONTRADO")</f>
        <v>NO ENCONTRADO</v>
      </c>
      <c r="F116" s="27" t="str">
        <f>IFERROR(VLOOKUP(C116,#REF!, 3, FALSE), "NO ENCONTRADO")</f>
        <v>NO ENCONTRADO</v>
      </c>
      <c r="G116" s="27" t="str">
        <f>IFERROR(VLOOKUP(C116,#REF!, 4, FALSE), "NO ENCONTRADO")</f>
        <v>NO ENCONTRADO</v>
      </c>
      <c r="H116" s="27" t="str">
        <f>IFERROR(VLOOKUP(C116,#REF!, 5, FALSE), "NO ENCONTRADO")</f>
        <v>NO ENCONTRADO</v>
      </c>
      <c r="I116" s="14"/>
      <c r="J116" s="27"/>
      <c r="K116" s="41"/>
      <c r="L116" s="14"/>
      <c r="M116" s="30">
        <f t="shared" ca="1" si="0"/>
        <v>46026</v>
      </c>
      <c r="N116" s="31" t="str">
        <f t="shared" ca="1" si="1"/>
        <v>✅</v>
      </c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spans="1:28" ht="13" x14ac:dyDescent="0.15">
      <c r="A117" s="33">
        <f>'Scan to Sheets'!A117</f>
        <v>0</v>
      </c>
      <c r="B117" s="35">
        <f>'Scan to Sheets'!B117</f>
        <v>0</v>
      </c>
      <c r="C117" s="35">
        <f>'Scan to Sheets'!C117</f>
        <v>0</v>
      </c>
      <c r="D117" s="35">
        <f>'Scan to Sheets'!D117</f>
        <v>0</v>
      </c>
      <c r="E117" s="36" t="str">
        <f>IFERROR(VLOOKUP(C117,#REF!, 2, FALSE), "NO ENCONTRADO")</f>
        <v>NO ENCONTRADO</v>
      </c>
      <c r="F117" s="36" t="str">
        <f>IFERROR(VLOOKUP(C117,#REF!, 3, FALSE), "NO ENCONTRADO")</f>
        <v>NO ENCONTRADO</v>
      </c>
      <c r="G117" s="36" t="str">
        <f>IFERROR(VLOOKUP(C117,#REF!, 4, FALSE), "NO ENCONTRADO")</f>
        <v>NO ENCONTRADO</v>
      </c>
      <c r="H117" s="36" t="str">
        <f>IFERROR(VLOOKUP(C117,#REF!, 5, FALSE), "NO ENCONTRADO")</f>
        <v>NO ENCONTRADO</v>
      </c>
      <c r="I117" s="15"/>
      <c r="J117" s="36"/>
      <c r="K117" s="42"/>
      <c r="L117" s="15"/>
      <c r="M117" s="39">
        <f t="shared" ca="1" si="0"/>
        <v>46026</v>
      </c>
      <c r="N117" s="40" t="str">
        <f t="shared" ca="1" si="1"/>
        <v>✅</v>
      </c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spans="1:28" ht="13" x14ac:dyDescent="0.15">
      <c r="A118" s="24">
        <f>'Scan to Sheets'!A118</f>
        <v>0</v>
      </c>
      <c r="B118" s="26">
        <f>'Scan to Sheets'!B118</f>
        <v>0</v>
      </c>
      <c r="C118" s="26">
        <f>'Scan to Sheets'!C118</f>
        <v>0</v>
      </c>
      <c r="D118" s="26">
        <f>'Scan to Sheets'!D118</f>
        <v>0</v>
      </c>
      <c r="E118" s="27" t="str">
        <f>IFERROR(VLOOKUP(C118,#REF!, 2, FALSE), "NO ENCONTRADO")</f>
        <v>NO ENCONTRADO</v>
      </c>
      <c r="F118" s="27" t="str">
        <f>IFERROR(VLOOKUP(C118,#REF!, 3, FALSE), "NO ENCONTRADO")</f>
        <v>NO ENCONTRADO</v>
      </c>
      <c r="G118" s="27" t="str">
        <f>IFERROR(VLOOKUP(C118,#REF!, 4, FALSE), "NO ENCONTRADO")</f>
        <v>NO ENCONTRADO</v>
      </c>
      <c r="H118" s="27" t="str">
        <f>IFERROR(VLOOKUP(C118,#REF!, 5, FALSE), "NO ENCONTRADO")</f>
        <v>NO ENCONTRADO</v>
      </c>
      <c r="I118" s="14"/>
      <c r="J118" s="27"/>
      <c r="K118" s="41"/>
      <c r="L118" s="14"/>
      <c r="M118" s="30">
        <f t="shared" ca="1" si="0"/>
        <v>46026</v>
      </c>
      <c r="N118" s="31" t="str">
        <f t="shared" ca="1" si="1"/>
        <v>✅</v>
      </c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spans="1:28" ht="13" x14ac:dyDescent="0.15">
      <c r="A119" s="33">
        <f>'Scan to Sheets'!A119</f>
        <v>0</v>
      </c>
      <c r="B119" s="35">
        <f>'Scan to Sheets'!B119</f>
        <v>0</v>
      </c>
      <c r="C119" s="35">
        <f>'Scan to Sheets'!C119</f>
        <v>0</v>
      </c>
      <c r="D119" s="35">
        <f>'Scan to Sheets'!D119</f>
        <v>0</v>
      </c>
      <c r="E119" s="36" t="str">
        <f>IFERROR(VLOOKUP(C119,#REF!, 2, FALSE), "NO ENCONTRADO")</f>
        <v>NO ENCONTRADO</v>
      </c>
      <c r="F119" s="36" t="str">
        <f>IFERROR(VLOOKUP(C119,#REF!, 3, FALSE), "NO ENCONTRADO")</f>
        <v>NO ENCONTRADO</v>
      </c>
      <c r="G119" s="36" t="str">
        <f>IFERROR(VLOOKUP(C119,#REF!, 4, FALSE), "NO ENCONTRADO")</f>
        <v>NO ENCONTRADO</v>
      </c>
      <c r="H119" s="36" t="str">
        <f>IFERROR(VLOOKUP(C119,#REF!, 5, FALSE), "NO ENCONTRADO")</f>
        <v>NO ENCONTRADO</v>
      </c>
      <c r="I119" s="15"/>
      <c r="J119" s="36"/>
      <c r="K119" s="42"/>
      <c r="L119" s="15"/>
      <c r="M119" s="39">
        <f t="shared" ca="1" si="0"/>
        <v>46026</v>
      </c>
      <c r="N119" s="40" t="str">
        <f t="shared" ca="1" si="1"/>
        <v>✅</v>
      </c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spans="1:28" ht="13" x14ac:dyDescent="0.15">
      <c r="A120" s="24">
        <f>'Scan to Sheets'!A120</f>
        <v>0</v>
      </c>
      <c r="B120" s="26">
        <f>'Scan to Sheets'!B120</f>
        <v>0</v>
      </c>
      <c r="C120" s="26">
        <f>'Scan to Sheets'!C120</f>
        <v>0</v>
      </c>
      <c r="D120" s="26">
        <f>'Scan to Sheets'!D120</f>
        <v>0</v>
      </c>
      <c r="E120" s="27" t="str">
        <f>IFERROR(VLOOKUP(C120,#REF!, 2, FALSE), "NO ENCONTRADO")</f>
        <v>NO ENCONTRADO</v>
      </c>
      <c r="F120" s="27" t="str">
        <f>IFERROR(VLOOKUP(C120,#REF!, 3, FALSE), "NO ENCONTRADO")</f>
        <v>NO ENCONTRADO</v>
      </c>
      <c r="G120" s="27" t="str">
        <f>IFERROR(VLOOKUP(C120,#REF!, 4, FALSE), "NO ENCONTRADO")</f>
        <v>NO ENCONTRADO</v>
      </c>
      <c r="H120" s="27" t="str">
        <f>IFERROR(VLOOKUP(C120,#REF!, 5, FALSE), "NO ENCONTRADO")</f>
        <v>NO ENCONTRADO</v>
      </c>
      <c r="I120" s="14"/>
      <c r="J120" s="27"/>
      <c r="K120" s="41"/>
      <c r="L120" s="14"/>
      <c r="M120" s="30">
        <f t="shared" ca="1" si="0"/>
        <v>46026</v>
      </c>
      <c r="N120" s="31" t="str">
        <f t="shared" ca="1" si="1"/>
        <v>✅</v>
      </c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spans="1:28" ht="13" x14ac:dyDescent="0.15">
      <c r="A121" s="33">
        <f>'Scan to Sheets'!A121</f>
        <v>0</v>
      </c>
      <c r="B121" s="35">
        <f>'Scan to Sheets'!B121</f>
        <v>0</v>
      </c>
      <c r="C121" s="35">
        <f>'Scan to Sheets'!C121</f>
        <v>0</v>
      </c>
      <c r="D121" s="35">
        <f>'Scan to Sheets'!D121</f>
        <v>0</v>
      </c>
      <c r="E121" s="36" t="str">
        <f>IFERROR(VLOOKUP(C121,#REF!, 2, FALSE), "NO ENCONTRADO")</f>
        <v>NO ENCONTRADO</v>
      </c>
      <c r="F121" s="36" t="str">
        <f>IFERROR(VLOOKUP(C121,#REF!, 3, FALSE), "NO ENCONTRADO")</f>
        <v>NO ENCONTRADO</v>
      </c>
      <c r="G121" s="36" t="str">
        <f>IFERROR(VLOOKUP(C121,#REF!, 4, FALSE), "NO ENCONTRADO")</f>
        <v>NO ENCONTRADO</v>
      </c>
      <c r="H121" s="36" t="str">
        <f>IFERROR(VLOOKUP(C121,#REF!, 5, FALSE), "NO ENCONTRADO")</f>
        <v>NO ENCONTRADO</v>
      </c>
      <c r="I121" s="15"/>
      <c r="J121" s="36"/>
      <c r="K121" s="42"/>
      <c r="L121" s="15"/>
      <c r="M121" s="39">
        <f t="shared" ca="1" si="0"/>
        <v>46026</v>
      </c>
      <c r="N121" s="40" t="str">
        <f t="shared" ca="1" si="1"/>
        <v>✅</v>
      </c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spans="1:28" ht="13" x14ac:dyDescent="0.15">
      <c r="A122" s="24">
        <f>'Scan to Sheets'!A122</f>
        <v>0</v>
      </c>
      <c r="B122" s="26">
        <f>'Scan to Sheets'!B122</f>
        <v>0</v>
      </c>
      <c r="C122" s="26">
        <f>'Scan to Sheets'!C122</f>
        <v>0</v>
      </c>
      <c r="D122" s="26">
        <f>'Scan to Sheets'!D122</f>
        <v>0</v>
      </c>
      <c r="E122" s="27" t="str">
        <f>IFERROR(VLOOKUP(C122,#REF!, 2, FALSE), "NO ENCONTRADO")</f>
        <v>NO ENCONTRADO</v>
      </c>
      <c r="F122" s="27" t="str">
        <f>IFERROR(VLOOKUP(C122,#REF!, 3, FALSE), "NO ENCONTRADO")</f>
        <v>NO ENCONTRADO</v>
      </c>
      <c r="G122" s="27" t="str">
        <f>IFERROR(VLOOKUP(C122,#REF!, 4, FALSE), "NO ENCONTRADO")</f>
        <v>NO ENCONTRADO</v>
      </c>
      <c r="H122" s="27" t="str">
        <f>IFERROR(VLOOKUP(C122,#REF!, 5, FALSE), "NO ENCONTRADO")</f>
        <v>NO ENCONTRADO</v>
      </c>
      <c r="I122" s="14"/>
      <c r="J122" s="27"/>
      <c r="K122" s="41"/>
      <c r="L122" s="14"/>
      <c r="M122" s="30">
        <f t="shared" ca="1" si="0"/>
        <v>46026</v>
      </c>
      <c r="N122" s="31" t="str">
        <f t="shared" ca="1" si="1"/>
        <v>✅</v>
      </c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spans="1:28" ht="13" x14ac:dyDescent="0.15">
      <c r="A123" s="33">
        <f>'Scan to Sheets'!A123</f>
        <v>0</v>
      </c>
      <c r="B123" s="35">
        <f>'Scan to Sheets'!B123</f>
        <v>0</v>
      </c>
      <c r="C123" s="35">
        <f>'Scan to Sheets'!C123</f>
        <v>0</v>
      </c>
      <c r="D123" s="35">
        <f>'Scan to Sheets'!D123</f>
        <v>0</v>
      </c>
      <c r="E123" s="36" t="str">
        <f>IFERROR(VLOOKUP(C123,#REF!, 2, FALSE), "NO ENCONTRADO")</f>
        <v>NO ENCONTRADO</v>
      </c>
      <c r="F123" s="36" t="str">
        <f>IFERROR(VLOOKUP(C123,#REF!, 3, FALSE), "NO ENCONTRADO")</f>
        <v>NO ENCONTRADO</v>
      </c>
      <c r="G123" s="36" t="str">
        <f>IFERROR(VLOOKUP(C123,#REF!, 4, FALSE), "NO ENCONTRADO")</f>
        <v>NO ENCONTRADO</v>
      </c>
      <c r="H123" s="36" t="str">
        <f>IFERROR(VLOOKUP(C123,#REF!, 5, FALSE), "NO ENCONTRADO")</f>
        <v>NO ENCONTRADO</v>
      </c>
      <c r="I123" s="15"/>
      <c r="J123" s="36"/>
      <c r="K123" s="42"/>
      <c r="L123" s="15"/>
      <c r="M123" s="39">
        <f t="shared" ca="1" si="0"/>
        <v>46026</v>
      </c>
      <c r="N123" s="40" t="str">
        <f t="shared" ca="1" si="1"/>
        <v>✅</v>
      </c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spans="1:28" ht="13" x14ac:dyDescent="0.15">
      <c r="A124" s="24">
        <f>'Scan to Sheets'!A124</f>
        <v>0</v>
      </c>
      <c r="B124" s="26">
        <f>'Scan to Sheets'!B124</f>
        <v>0</v>
      </c>
      <c r="C124" s="26">
        <f>'Scan to Sheets'!C124</f>
        <v>0</v>
      </c>
      <c r="D124" s="26">
        <f>'Scan to Sheets'!D124</f>
        <v>0</v>
      </c>
      <c r="E124" s="27" t="str">
        <f>IFERROR(VLOOKUP(C124,#REF!, 2, FALSE), "NO ENCONTRADO")</f>
        <v>NO ENCONTRADO</v>
      </c>
      <c r="F124" s="27" t="str">
        <f>IFERROR(VLOOKUP(C124,#REF!, 3, FALSE), "NO ENCONTRADO")</f>
        <v>NO ENCONTRADO</v>
      </c>
      <c r="G124" s="27" t="str">
        <f>IFERROR(VLOOKUP(C124,#REF!, 4, FALSE), "NO ENCONTRADO")</f>
        <v>NO ENCONTRADO</v>
      </c>
      <c r="H124" s="27" t="str">
        <f>IFERROR(VLOOKUP(C124,#REF!, 5, FALSE), "NO ENCONTRADO")</f>
        <v>NO ENCONTRADO</v>
      </c>
      <c r="I124" s="14"/>
      <c r="J124" s="27"/>
      <c r="K124" s="41"/>
      <c r="L124" s="14"/>
      <c r="M124" s="30">
        <f t="shared" ca="1" si="0"/>
        <v>46026</v>
      </c>
      <c r="N124" s="31" t="str">
        <f t="shared" ca="1" si="1"/>
        <v>✅</v>
      </c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spans="1:28" ht="13" x14ac:dyDescent="0.15">
      <c r="A125" s="33">
        <f>'Scan to Sheets'!A125</f>
        <v>0</v>
      </c>
      <c r="B125" s="35">
        <f>'Scan to Sheets'!B125</f>
        <v>0</v>
      </c>
      <c r="C125" s="35">
        <f>'Scan to Sheets'!C125</f>
        <v>0</v>
      </c>
      <c r="D125" s="35">
        <f>'Scan to Sheets'!D125</f>
        <v>0</v>
      </c>
      <c r="E125" s="36" t="str">
        <f>IFERROR(VLOOKUP(C125,#REF!, 2, FALSE), "NO ENCONTRADO")</f>
        <v>NO ENCONTRADO</v>
      </c>
      <c r="F125" s="36" t="str">
        <f>IFERROR(VLOOKUP(C125,#REF!, 3, FALSE), "NO ENCONTRADO")</f>
        <v>NO ENCONTRADO</v>
      </c>
      <c r="G125" s="36" t="str">
        <f>IFERROR(VLOOKUP(C125,#REF!, 4, FALSE), "NO ENCONTRADO")</f>
        <v>NO ENCONTRADO</v>
      </c>
      <c r="H125" s="36" t="str">
        <f>IFERROR(VLOOKUP(C125,#REF!, 5, FALSE), "NO ENCONTRADO")</f>
        <v>NO ENCONTRADO</v>
      </c>
      <c r="I125" s="15"/>
      <c r="J125" s="36"/>
      <c r="K125" s="42"/>
      <c r="L125" s="15"/>
      <c r="M125" s="39">
        <f t="shared" ca="1" si="0"/>
        <v>46026</v>
      </c>
      <c r="N125" s="40" t="str">
        <f t="shared" ca="1" si="1"/>
        <v>✅</v>
      </c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spans="1:28" ht="13" x14ac:dyDescent="0.15">
      <c r="A126" s="24">
        <f>'Scan to Sheets'!A126</f>
        <v>0</v>
      </c>
      <c r="B126" s="26">
        <f>'Scan to Sheets'!B126</f>
        <v>0</v>
      </c>
      <c r="C126" s="26">
        <f>'Scan to Sheets'!C126</f>
        <v>0</v>
      </c>
      <c r="D126" s="26">
        <f>'Scan to Sheets'!D126</f>
        <v>0</v>
      </c>
      <c r="E126" s="27" t="str">
        <f>IFERROR(VLOOKUP(C126,#REF!, 2, FALSE), "NO ENCONTRADO")</f>
        <v>NO ENCONTRADO</v>
      </c>
      <c r="F126" s="27" t="str">
        <f>IFERROR(VLOOKUP(C126,#REF!, 3, FALSE), "NO ENCONTRADO")</f>
        <v>NO ENCONTRADO</v>
      </c>
      <c r="G126" s="27" t="str">
        <f>IFERROR(VLOOKUP(C126,#REF!, 4, FALSE), "NO ENCONTRADO")</f>
        <v>NO ENCONTRADO</v>
      </c>
      <c r="H126" s="27" t="str">
        <f>IFERROR(VLOOKUP(C126,#REF!, 5, FALSE), "NO ENCONTRADO")</f>
        <v>NO ENCONTRADO</v>
      </c>
      <c r="I126" s="14"/>
      <c r="J126" s="27"/>
      <c r="K126" s="41"/>
      <c r="L126" s="14"/>
      <c r="M126" s="30">
        <f t="shared" ca="1" si="0"/>
        <v>46026</v>
      </c>
      <c r="N126" s="31" t="str">
        <f t="shared" ca="1" si="1"/>
        <v>✅</v>
      </c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spans="1:28" ht="13" x14ac:dyDescent="0.15">
      <c r="A127" s="33">
        <f>'Scan to Sheets'!A127</f>
        <v>0</v>
      </c>
      <c r="B127" s="35">
        <f>'Scan to Sheets'!B127</f>
        <v>0</v>
      </c>
      <c r="C127" s="35">
        <f>'Scan to Sheets'!C127</f>
        <v>0</v>
      </c>
      <c r="D127" s="35">
        <f>'Scan to Sheets'!D127</f>
        <v>0</v>
      </c>
      <c r="E127" s="36" t="str">
        <f>IFERROR(VLOOKUP(C127,#REF!, 2, FALSE), "NO ENCONTRADO")</f>
        <v>NO ENCONTRADO</v>
      </c>
      <c r="F127" s="36" t="str">
        <f>IFERROR(VLOOKUP(C127,#REF!, 3, FALSE), "NO ENCONTRADO")</f>
        <v>NO ENCONTRADO</v>
      </c>
      <c r="G127" s="36" t="str">
        <f>IFERROR(VLOOKUP(C127,#REF!, 4, FALSE), "NO ENCONTRADO")</f>
        <v>NO ENCONTRADO</v>
      </c>
      <c r="H127" s="36" t="str">
        <f>IFERROR(VLOOKUP(C127,#REF!, 5, FALSE), "NO ENCONTRADO")</f>
        <v>NO ENCONTRADO</v>
      </c>
      <c r="I127" s="15"/>
      <c r="J127" s="36"/>
      <c r="K127" s="42"/>
      <c r="L127" s="15"/>
      <c r="M127" s="39">
        <f t="shared" ca="1" si="0"/>
        <v>46026</v>
      </c>
      <c r="N127" s="40" t="str">
        <f t="shared" ca="1" si="1"/>
        <v>✅</v>
      </c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spans="1:28" ht="13" x14ac:dyDescent="0.15">
      <c r="A128" s="24">
        <f>'Scan to Sheets'!A128</f>
        <v>0</v>
      </c>
      <c r="B128" s="26">
        <f>'Scan to Sheets'!B128</f>
        <v>0</v>
      </c>
      <c r="C128" s="26">
        <f>'Scan to Sheets'!C128</f>
        <v>0</v>
      </c>
      <c r="D128" s="26">
        <f>'Scan to Sheets'!D128</f>
        <v>0</v>
      </c>
      <c r="E128" s="27" t="str">
        <f>IFERROR(VLOOKUP(C128,#REF!, 2, FALSE), "NO ENCONTRADO")</f>
        <v>NO ENCONTRADO</v>
      </c>
      <c r="F128" s="27" t="str">
        <f>IFERROR(VLOOKUP(C128,#REF!, 3, FALSE), "NO ENCONTRADO")</f>
        <v>NO ENCONTRADO</v>
      </c>
      <c r="G128" s="27" t="str">
        <f>IFERROR(VLOOKUP(C128,#REF!, 4, FALSE), "NO ENCONTRADO")</f>
        <v>NO ENCONTRADO</v>
      </c>
      <c r="H128" s="27" t="str">
        <f>IFERROR(VLOOKUP(C128,#REF!, 5, FALSE), "NO ENCONTRADO")</f>
        <v>NO ENCONTRADO</v>
      </c>
      <c r="I128" s="14"/>
      <c r="J128" s="27"/>
      <c r="K128" s="41"/>
      <c r="L128" s="14"/>
      <c r="M128" s="30">
        <f t="shared" ca="1" si="0"/>
        <v>46026</v>
      </c>
      <c r="N128" s="31" t="str">
        <f t="shared" ca="1" si="1"/>
        <v>✅</v>
      </c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spans="1:28" ht="13" x14ac:dyDescent="0.15">
      <c r="A129" s="33">
        <f>'Scan to Sheets'!A129</f>
        <v>0</v>
      </c>
      <c r="B129" s="35">
        <f>'Scan to Sheets'!B129</f>
        <v>0</v>
      </c>
      <c r="C129" s="35">
        <f>'Scan to Sheets'!C129</f>
        <v>0</v>
      </c>
      <c r="D129" s="35">
        <f>'Scan to Sheets'!D129</f>
        <v>0</v>
      </c>
      <c r="E129" s="36" t="str">
        <f>IFERROR(VLOOKUP(C129,#REF!, 2, FALSE), "NO ENCONTRADO")</f>
        <v>NO ENCONTRADO</v>
      </c>
      <c r="F129" s="36" t="str">
        <f>IFERROR(VLOOKUP(C129,#REF!, 3, FALSE), "NO ENCONTRADO")</f>
        <v>NO ENCONTRADO</v>
      </c>
      <c r="G129" s="36" t="str">
        <f>IFERROR(VLOOKUP(C129,#REF!, 4, FALSE), "NO ENCONTRADO")</f>
        <v>NO ENCONTRADO</v>
      </c>
      <c r="H129" s="36" t="str">
        <f>IFERROR(VLOOKUP(C129,#REF!, 5, FALSE), "NO ENCONTRADO")</f>
        <v>NO ENCONTRADO</v>
      </c>
      <c r="I129" s="15"/>
      <c r="J129" s="36"/>
      <c r="K129" s="42"/>
      <c r="L129" s="15"/>
      <c r="M129" s="39">
        <f t="shared" ca="1" si="0"/>
        <v>46026</v>
      </c>
      <c r="N129" s="40" t="str">
        <f t="shared" ca="1" si="1"/>
        <v>✅</v>
      </c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1:28" ht="13" x14ac:dyDescent="0.15">
      <c r="A130" s="24">
        <f>'Scan to Sheets'!A130</f>
        <v>0</v>
      </c>
      <c r="B130" s="26">
        <f>'Scan to Sheets'!B130</f>
        <v>0</v>
      </c>
      <c r="C130" s="26">
        <f>'Scan to Sheets'!C130</f>
        <v>0</v>
      </c>
      <c r="D130" s="26">
        <f>'Scan to Sheets'!D130</f>
        <v>0</v>
      </c>
      <c r="E130" s="27" t="str">
        <f>IFERROR(VLOOKUP(C130,#REF!, 2, FALSE), "NO ENCONTRADO")</f>
        <v>NO ENCONTRADO</v>
      </c>
      <c r="F130" s="27" t="str">
        <f>IFERROR(VLOOKUP(C130,#REF!, 3, FALSE), "NO ENCONTRADO")</f>
        <v>NO ENCONTRADO</v>
      </c>
      <c r="G130" s="27" t="str">
        <f>IFERROR(VLOOKUP(C130,#REF!, 4, FALSE), "NO ENCONTRADO")</f>
        <v>NO ENCONTRADO</v>
      </c>
      <c r="H130" s="27" t="str">
        <f>IFERROR(VLOOKUP(C130,#REF!, 5, FALSE), "NO ENCONTRADO")</f>
        <v>NO ENCONTRADO</v>
      </c>
      <c r="I130" s="14"/>
      <c r="J130" s="27"/>
      <c r="K130" s="41"/>
      <c r="L130" s="14"/>
      <c r="M130" s="30">
        <f t="shared" ca="1" si="0"/>
        <v>46026</v>
      </c>
      <c r="N130" s="31" t="str">
        <f t="shared" ca="1" si="1"/>
        <v>✅</v>
      </c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spans="1:28" ht="13" x14ac:dyDescent="0.15">
      <c r="A131" s="33">
        <f>'Scan to Sheets'!A131</f>
        <v>0</v>
      </c>
      <c r="B131" s="35">
        <f>'Scan to Sheets'!B131</f>
        <v>0</v>
      </c>
      <c r="C131" s="35">
        <f>'Scan to Sheets'!C131</f>
        <v>0</v>
      </c>
      <c r="D131" s="35">
        <f>'Scan to Sheets'!D131</f>
        <v>0</v>
      </c>
      <c r="E131" s="36" t="str">
        <f>IFERROR(VLOOKUP(C131,#REF!, 2, FALSE), "NO ENCONTRADO")</f>
        <v>NO ENCONTRADO</v>
      </c>
      <c r="F131" s="36" t="str">
        <f>IFERROR(VLOOKUP(C131,#REF!, 3, FALSE), "NO ENCONTRADO")</f>
        <v>NO ENCONTRADO</v>
      </c>
      <c r="G131" s="36" t="str">
        <f>IFERROR(VLOOKUP(C131,#REF!, 4, FALSE), "NO ENCONTRADO")</f>
        <v>NO ENCONTRADO</v>
      </c>
      <c r="H131" s="36" t="str">
        <f>IFERROR(VLOOKUP(C131,#REF!, 5, FALSE), "NO ENCONTRADO")</f>
        <v>NO ENCONTRADO</v>
      </c>
      <c r="I131" s="15"/>
      <c r="J131" s="36"/>
      <c r="K131" s="42"/>
      <c r="L131" s="15"/>
      <c r="M131" s="39">
        <f t="shared" ca="1" si="0"/>
        <v>46026</v>
      </c>
      <c r="N131" s="40" t="str">
        <f t="shared" ca="1" si="1"/>
        <v>✅</v>
      </c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spans="1:28" ht="13" x14ac:dyDescent="0.15">
      <c r="A132" s="24">
        <f>'Scan to Sheets'!A132</f>
        <v>0</v>
      </c>
      <c r="B132" s="26">
        <f>'Scan to Sheets'!B132</f>
        <v>0</v>
      </c>
      <c r="C132" s="26">
        <f>'Scan to Sheets'!C132</f>
        <v>0</v>
      </c>
      <c r="D132" s="26">
        <f>'Scan to Sheets'!D132</f>
        <v>0</v>
      </c>
      <c r="E132" s="27" t="str">
        <f>IFERROR(VLOOKUP(C132,#REF!, 2, FALSE), "NO ENCONTRADO")</f>
        <v>NO ENCONTRADO</v>
      </c>
      <c r="F132" s="27" t="str">
        <f>IFERROR(VLOOKUP(C132,#REF!, 3, FALSE), "NO ENCONTRADO")</f>
        <v>NO ENCONTRADO</v>
      </c>
      <c r="G132" s="27" t="str">
        <f>IFERROR(VLOOKUP(C132,#REF!, 4, FALSE), "NO ENCONTRADO")</f>
        <v>NO ENCONTRADO</v>
      </c>
      <c r="H132" s="27" t="str">
        <f>IFERROR(VLOOKUP(C132,#REF!, 5, FALSE), "NO ENCONTRADO")</f>
        <v>NO ENCONTRADO</v>
      </c>
      <c r="I132" s="14"/>
      <c r="J132" s="27"/>
      <c r="K132" s="41"/>
      <c r="L132" s="14"/>
      <c r="M132" s="30">
        <f t="shared" ca="1" si="0"/>
        <v>46026</v>
      </c>
      <c r="N132" s="31" t="str">
        <f t="shared" ca="1" si="1"/>
        <v>✅</v>
      </c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spans="1:28" ht="13" x14ac:dyDescent="0.15">
      <c r="A133" s="33">
        <f>'Scan to Sheets'!A133</f>
        <v>0</v>
      </c>
      <c r="B133" s="35">
        <f>'Scan to Sheets'!B133</f>
        <v>0</v>
      </c>
      <c r="C133" s="35">
        <f>'Scan to Sheets'!C133</f>
        <v>0</v>
      </c>
      <c r="D133" s="35">
        <f>'Scan to Sheets'!D133</f>
        <v>0</v>
      </c>
      <c r="E133" s="36" t="str">
        <f>IFERROR(VLOOKUP(C133,#REF!, 2, FALSE), "NO ENCONTRADO")</f>
        <v>NO ENCONTRADO</v>
      </c>
      <c r="F133" s="36" t="str">
        <f>IFERROR(VLOOKUP(C133,#REF!, 3, FALSE), "NO ENCONTRADO")</f>
        <v>NO ENCONTRADO</v>
      </c>
      <c r="G133" s="36" t="str">
        <f>IFERROR(VLOOKUP(C133,#REF!, 4, FALSE), "NO ENCONTRADO")</f>
        <v>NO ENCONTRADO</v>
      </c>
      <c r="H133" s="36" t="str">
        <f>IFERROR(VLOOKUP(C133,#REF!, 5, FALSE), "NO ENCONTRADO")</f>
        <v>NO ENCONTRADO</v>
      </c>
      <c r="I133" s="15"/>
      <c r="J133" s="36"/>
      <c r="K133" s="42"/>
      <c r="L133" s="15"/>
      <c r="M133" s="39">
        <f t="shared" ca="1" si="0"/>
        <v>46026</v>
      </c>
      <c r="N133" s="40" t="str">
        <f t="shared" ca="1" si="1"/>
        <v>✅</v>
      </c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spans="1:28" ht="13" x14ac:dyDescent="0.15">
      <c r="A134" s="24">
        <f>'Scan to Sheets'!A134</f>
        <v>0</v>
      </c>
      <c r="B134" s="26">
        <f>'Scan to Sheets'!B134</f>
        <v>0</v>
      </c>
      <c r="C134" s="26">
        <f>'Scan to Sheets'!C134</f>
        <v>0</v>
      </c>
      <c r="D134" s="26">
        <f>'Scan to Sheets'!D134</f>
        <v>0</v>
      </c>
      <c r="E134" s="27" t="str">
        <f>IFERROR(VLOOKUP(C134,#REF!, 2, FALSE), "NO ENCONTRADO")</f>
        <v>NO ENCONTRADO</v>
      </c>
      <c r="F134" s="27" t="str">
        <f>IFERROR(VLOOKUP(C134,#REF!, 3, FALSE), "NO ENCONTRADO")</f>
        <v>NO ENCONTRADO</v>
      </c>
      <c r="G134" s="27" t="str">
        <f>IFERROR(VLOOKUP(C134,#REF!, 4, FALSE), "NO ENCONTRADO")</f>
        <v>NO ENCONTRADO</v>
      </c>
      <c r="H134" s="27" t="str">
        <f>IFERROR(VLOOKUP(C134,#REF!, 5, FALSE), "NO ENCONTRADO")</f>
        <v>NO ENCONTRADO</v>
      </c>
      <c r="I134" s="14"/>
      <c r="J134" s="27"/>
      <c r="K134" s="41"/>
      <c r="L134" s="14"/>
      <c r="M134" s="30">
        <f t="shared" ca="1" si="0"/>
        <v>46026</v>
      </c>
      <c r="N134" s="31" t="str">
        <f t="shared" ca="1" si="1"/>
        <v>✅</v>
      </c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28" ht="13" x14ac:dyDescent="0.15">
      <c r="A135" s="33">
        <f>'Scan to Sheets'!A135</f>
        <v>0</v>
      </c>
      <c r="B135" s="35">
        <f>'Scan to Sheets'!B135</f>
        <v>0</v>
      </c>
      <c r="C135" s="35">
        <f>'Scan to Sheets'!C135</f>
        <v>0</v>
      </c>
      <c r="D135" s="35">
        <f>'Scan to Sheets'!D135</f>
        <v>0</v>
      </c>
      <c r="E135" s="36" t="str">
        <f>IFERROR(VLOOKUP(C135,#REF!, 2, FALSE), "NO ENCONTRADO")</f>
        <v>NO ENCONTRADO</v>
      </c>
      <c r="F135" s="36" t="str">
        <f>IFERROR(VLOOKUP(C135,#REF!, 3, FALSE), "NO ENCONTRADO")</f>
        <v>NO ENCONTRADO</v>
      </c>
      <c r="G135" s="36" t="str">
        <f>IFERROR(VLOOKUP(C135,#REF!, 4, FALSE), "NO ENCONTRADO")</f>
        <v>NO ENCONTRADO</v>
      </c>
      <c r="H135" s="36" t="str">
        <f>IFERROR(VLOOKUP(C135,#REF!, 5, FALSE), "NO ENCONTRADO")</f>
        <v>NO ENCONTRADO</v>
      </c>
      <c r="I135" s="15"/>
      <c r="J135" s="36"/>
      <c r="K135" s="42"/>
      <c r="L135" s="15"/>
      <c r="M135" s="39">
        <f t="shared" ca="1" si="0"/>
        <v>46026</v>
      </c>
      <c r="N135" s="40" t="str">
        <f t="shared" ca="1" si="1"/>
        <v>✅</v>
      </c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spans="1:28" ht="13" x14ac:dyDescent="0.15">
      <c r="A136" s="24">
        <f>'Scan to Sheets'!A136</f>
        <v>0</v>
      </c>
      <c r="B136" s="26">
        <f>'Scan to Sheets'!B136</f>
        <v>0</v>
      </c>
      <c r="C136" s="26">
        <f>'Scan to Sheets'!C136</f>
        <v>0</v>
      </c>
      <c r="D136" s="26">
        <f>'Scan to Sheets'!D136</f>
        <v>0</v>
      </c>
      <c r="E136" s="27" t="str">
        <f>IFERROR(VLOOKUP(C136,#REF!, 2, FALSE), "NO ENCONTRADO")</f>
        <v>NO ENCONTRADO</v>
      </c>
      <c r="F136" s="27" t="str">
        <f>IFERROR(VLOOKUP(C136,#REF!, 3, FALSE), "NO ENCONTRADO")</f>
        <v>NO ENCONTRADO</v>
      </c>
      <c r="G136" s="27" t="str">
        <f>IFERROR(VLOOKUP(C136,#REF!, 4, FALSE), "NO ENCONTRADO")</f>
        <v>NO ENCONTRADO</v>
      </c>
      <c r="H136" s="27" t="str">
        <f>IFERROR(VLOOKUP(C136,#REF!, 5, FALSE), "NO ENCONTRADO")</f>
        <v>NO ENCONTRADO</v>
      </c>
      <c r="I136" s="14"/>
      <c r="J136" s="27"/>
      <c r="K136" s="41"/>
      <c r="L136" s="14"/>
      <c r="M136" s="30">
        <f t="shared" ca="1" si="0"/>
        <v>46026</v>
      </c>
      <c r="N136" s="31" t="str">
        <f t="shared" ca="1" si="1"/>
        <v>✅</v>
      </c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spans="1:28" ht="13" x14ac:dyDescent="0.15">
      <c r="A137" s="33">
        <f>'Scan to Sheets'!A137</f>
        <v>0</v>
      </c>
      <c r="B137" s="35">
        <f>'Scan to Sheets'!B137</f>
        <v>0</v>
      </c>
      <c r="C137" s="35">
        <f>'Scan to Sheets'!C137</f>
        <v>0</v>
      </c>
      <c r="D137" s="35">
        <f>'Scan to Sheets'!D137</f>
        <v>0</v>
      </c>
      <c r="E137" s="36" t="str">
        <f>IFERROR(VLOOKUP(C137,#REF!, 2, FALSE), "NO ENCONTRADO")</f>
        <v>NO ENCONTRADO</v>
      </c>
      <c r="F137" s="36" t="str">
        <f>IFERROR(VLOOKUP(C137,#REF!, 3, FALSE), "NO ENCONTRADO")</f>
        <v>NO ENCONTRADO</v>
      </c>
      <c r="G137" s="36" t="str">
        <f>IFERROR(VLOOKUP(C137,#REF!, 4, FALSE), "NO ENCONTRADO")</f>
        <v>NO ENCONTRADO</v>
      </c>
      <c r="H137" s="36" t="str">
        <f>IFERROR(VLOOKUP(C137,#REF!, 5, FALSE), "NO ENCONTRADO")</f>
        <v>NO ENCONTRADO</v>
      </c>
      <c r="I137" s="15"/>
      <c r="J137" s="36"/>
      <c r="K137" s="42"/>
      <c r="L137" s="15"/>
      <c r="M137" s="39">
        <f t="shared" ca="1" si="0"/>
        <v>46026</v>
      </c>
      <c r="N137" s="40" t="str">
        <f t="shared" ca="1" si="1"/>
        <v>✅</v>
      </c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spans="1:28" ht="13" x14ac:dyDescent="0.15">
      <c r="A138" s="24">
        <f>'Scan to Sheets'!A138</f>
        <v>0</v>
      </c>
      <c r="B138" s="26">
        <f>'Scan to Sheets'!B138</f>
        <v>0</v>
      </c>
      <c r="C138" s="26">
        <f>'Scan to Sheets'!C138</f>
        <v>0</v>
      </c>
      <c r="D138" s="26">
        <f>'Scan to Sheets'!D138</f>
        <v>0</v>
      </c>
      <c r="E138" s="27" t="str">
        <f>IFERROR(VLOOKUP(C138,#REF!, 2, FALSE), "NO ENCONTRADO")</f>
        <v>NO ENCONTRADO</v>
      </c>
      <c r="F138" s="27" t="str">
        <f>IFERROR(VLOOKUP(C138,#REF!, 3, FALSE), "NO ENCONTRADO")</f>
        <v>NO ENCONTRADO</v>
      </c>
      <c r="G138" s="27" t="str">
        <f>IFERROR(VLOOKUP(C138,#REF!, 4, FALSE), "NO ENCONTRADO")</f>
        <v>NO ENCONTRADO</v>
      </c>
      <c r="H138" s="27" t="str">
        <f>IFERROR(VLOOKUP(C138,#REF!, 5, FALSE), "NO ENCONTRADO")</f>
        <v>NO ENCONTRADO</v>
      </c>
      <c r="I138" s="14"/>
      <c r="J138" s="27"/>
      <c r="K138" s="41"/>
      <c r="L138" s="14"/>
      <c r="M138" s="30">
        <f t="shared" ca="1" si="0"/>
        <v>46026</v>
      </c>
      <c r="N138" s="31" t="str">
        <f t="shared" ca="1" si="1"/>
        <v>✅</v>
      </c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spans="1:28" ht="13" x14ac:dyDescent="0.15">
      <c r="A139" s="33">
        <f>'Scan to Sheets'!A139</f>
        <v>0</v>
      </c>
      <c r="B139" s="35">
        <f>'Scan to Sheets'!B139</f>
        <v>0</v>
      </c>
      <c r="C139" s="35">
        <f>'Scan to Sheets'!C139</f>
        <v>0</v>
      </c>
      <c r="D139" s="35">
        <f>'Scan to Sheets'!D139</f>
        <v>0</v>
      </c>
      <c r="E139" s="36" t="str">
        <f>IFERROR(VLOOKUP(C139,#REF!, 2, FALSE), "NO ENCONTRADO")</f>
        <v>NO ENCONTRADO</v>
      </c>
      <c r="F139" s="36" t="str">
        <f>IFERROR(VLOOKUP(C139,#REF!, 3, FALSE), "NO ENCONTRADO")</f>
        <v>NO ENCONTRADO</v>
      </c>
      <c r="G139" s="36" t="str">
        <f>IFERROR(VLOOKUP(C139,#REF!, 4, FALSE), "NO ENCONTRADO")</f>
        <v>NO ENCONTRADO</v>
      </c>
      <c r="H139" s="36" t="str">
        <f>IFERROR(VLOOKUP(C139,#REF!, 5, FALSE), "NO ENCONTRADO")</f>
        <v>NO ENCONTRADO</v>
      </c>
      <c r="I139" s="15"/>
      <c r="J139" s="36"/>
      <c r="K139" s="42"/>
      <c r="L139" s="15"/>
      <c r="M139" s="39">
        <f t="shared" ca="1" si="0"/>
        <v>46026</v>
      </c>
      <c r="N139" s="40" t="str">
        <f t="shared" ca="1" si="1"/>
        <v>✅</v>
      </c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spans="1:28" ht="13" x14ac:dyDescent="0.15">
      <c r="A140" s="24">
        <f>'Scan to Sheets'!A140</f>
        <v>0</v>
      </c>
      <c r="B140" s="26">
        <f>'Scan to Sheets'!B140</f>
        <v>0</v>
      </c>
      <c r="C140" s="26">
        <f>'Scan to Sheets'!C140</f>
        <v>0</v>
      </c>
      <c r="D140" s="26">
        <f>'Scan to Sheets'!D140</f>
        <v>0</v>
      </c>
      <c r="E140" s="27" t="str">
        <f>IFERROR(VLOOKUP(C140,#REF!, 2, FALSE), "NO ENCONTRADO")</f>
        <v>NO ENCONTRADO</v>
      </c>
      <c r="F140" s="27" t="str">
        <f>IFERROR(VLOOKUP(C140,#REF!, 3, FALSE), "NO ENCONTRADO")</f>
        <v>NO ENCONTRADO</v>
      </c>
      <c r="G140" s="27" t="str">
        <f>IFERROR(VLOOKUP(C140,#REF!, 4, FALSE), "NO ENCONTRADO")</f>
        <v>NO ENCONTRADO</v>
      </c>
      <c r="H140" s="27" t="str">
        <f>IFERROR(VLOOKUP(C140,#REF!, 5, FALSE), "NO ENCONTRADO")</f>
        <v>NO ENCONTRADO</v>
      </c>
      <c r="I140" s="14"/>
      <c r="J140" s="27"/>
      <c r="K140" s="41"/>
      <c r="L140" s="14"/>
      <c r="M140" s="30">
        <f t="shared" ca="1" si="0"/>
        <v>46026</v>
      </c>
      <c r="N140" s="31" t="str">
        <f t="shared" ca="1" si="1"/>
        <v>✅</v>
      </c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spans="1:28" ht="13" x14ac:dyDescent="0.15">
      <c r="A141" s="33">
        <f>'Scan to Sheets'!A141</f>
        <v>0</v>
      </c>
      <c r="B141" s="35">
        <f>'Scan to Sheets'!B141</f>
        <v>0</v>
      </c>
      <c r="C141" s="35">
        <f>'Scan to Sheets'!C141</f>
        <v>0</v>
      </c>
      <c r="D141" s="35">
        <f>'Scan to Sheets'!D141</f>
        <v>0</v>
      </c>
      <c r="E141" s="36" t="str">
        <f>IFERROR(VLOOKUP(C141,#REF!, 2, FALSE), "NO ENCONTRADO")</f>
        <v>NO ENCONTRADO</v>
      </c>
      <c r="F141" s="36" t="str">
        <f>IFERROR(VLOOKUP(C141,#REF!, 3, FALSE), "NO ENCONTRADO")</f>
        <v>NO ENCONTRADO</v>
      </c>
      <c r="G141" s="36" t="str">
        <f>IFERROR(VLOOKUP(C141,#REF!, 4, FALSE), "NO ENCONTRADO")</f>
        <v>NO ENCONTRADO</v>
      </c>
      <c r="H141" s="36" t="str">
        <f>IFERROR(VLOOKUP(C141,#REF!, 5, FALSE), "NO ENCONTRADO")</f>
        <v>NO ENCONTRADO</v>
      </c>
      <c r="I141" s="15"/>
      <c r="J141" s="36"/>
      <c r="K141" s="42"/>
      <c r="L141" s="15"/>
      <c r="M141" s="39">
        <f t="shared" ca="1" si="0"/>
        <v>46026</v>
      </c>
      <c r="N141" s="40" t="str">
        <f t="shared" ca="1" si="1"/>
        <v>✅</v>
      </c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spans="1:28" ht="13" x14ac:dyDescent="0.15">
      <c r="A142" s="24">
        <f>'Scan to Sheets'!A142</f>
        <v>0</v>
      </c>
      <c r="B142" s="26">
        <f>'Scan to Sheets'!B142</f>
        <v>0</v>
      </c>
      <c r="C142" s="26">
        <f>'Scan to Sheets'!C142</f>
        <v>0</v>
      </c>
      <c r="D142" s="26">
        <f>'Scan to Sheets'!D142</f>
        <v>0</v>
      </c>
      <c r="E142" s="27" t="str">
        <f>IFERROR(VLOOKUP(C142,#REF!, 2, FALSE), "NO ENCONTRADO")</f>
        <v>NO ENCONTRADO</v>
      </c>
      <c r="F142" s="27" t="str">
        <f>IFERROR(VLOOKUP(C142,#REF!, 3, FALSE), "NO ENCONTRADO")</f>
        <v>NO ENCONTRADO</v>
      </c>
      <c r="G142" s="27" t="str">
        <f>IFERROR(VLOOKUP(C142,#REF!, 4, FALSE), "NO ENCONTRADO")</f>
        <v>NO ENCONTRADO</v>
      </c>
      <c r="H142" s="27" t="str">
        <f>IFERROR(VLOOKUP(C142,#REF!, 5, FALSE), "NO ENCONTRADO")</f>
        <v>NO ENCONTRADO</v>
      </c>
      <c r="I142" s="14"/>
      <c r="J142" s="27"/>
      <c r="K142" s="41"/>
      <c r="L142" s="14"/>
      <c r="M142" s="30">
        <f t="shared" ca="1" si="0"/>
        <v>46026</v>
      </c>
      <c r="N142" s="31" t="str">
        <f t="shared" ca="1" si="1"/>
        <v>✅</v>
      </c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spans="1:28" ht="13" x14ac:dyDescent="0.15">
      <c r="A143" s="33">
        <f>'Scan to Sheets'!A143</f>
        <v>0</v>
      </c>
      <c r="B143" s="35">
        <f>'Scan to Sheets'!B143</f>
        <v>0</v>
      </c>
      <c r="C143" s="35">
        <f>'Scan to Sheets'!C143</f>
        <v>0</v>
      </c>
      <c r="D143" s="35">
        <f>'Scan to Sheets'!D143</f>
        <v>0</v>
      </c>
      <c r="E143" s="36" t="str">
        <f>IFERROR(VLOOKUP(C143,#REF!, 2, FALSE), "NO ENCONTRADO")</f>
        <v>NO ENCONTRADO</v>
      </c>
      <c r="F143" s="36" t="str">
        <f>IFERROR(VLOOKUP(C143,#REF!, 3, FALSE), "NO ENCONTRADO")</f>
        <v>NO ENCONTRADO</v>
      </c>
      <c r="G143" s="36" t="str">
        <f>IFERROR(VLOOKUP(C143,#REF!, 4, FALSE), "NO ENCONTRADO")</f>
        <v>NO ENCONTRADO</v>
      </c>
      <c r="H143" s="36" t="str">
        <f>IFERROR(VLOOKUP(C143,#REF!, 5, FALSE), "NO ENCONTRADO")</f>
        <v>NO ENCONTRADO</v>
      </c>
      <c r="I143" s="15"/>
      <c r="J143" s="36"/>
      <c r="K143" s="42"/>
      <c r="L143" s="15"/>
      <c r="M143" s="39">
        <f t="shared" ca="1" si="0"/>
        <v>46026</v>
      </c>
      <c r="N143" s="40" t="str">
        <f t="shared" ca="1" si="1"/>
        <v>✅</v>
      </c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spans="1:28" ht="13" x14ac:dyDescent="0.15">
      <c r="A144" s="24">
        <f>'Scan to Sheets'!A144</f>
        <v>0</v>
      </c>
      <c r="B144" s="26">
        <f>'Scan to Sheets'!B144</f>
        <v>0</v>
      </c>
      <c r="C144" s="26">
        <f>'Scan to Sheets'!C144</f>
        <v>0</v>
      </c>
      <c r="D144" s="26">
        <f>'Scan to Sheets'!D144</f>
        <v>0</v>
      </c>
      <c r="E144" s="27" t="str">
        <f>IFERROR(VLOOKUP(C144,#REF!, 2, FALSE), "NO ENCONTRADO")</f>
        <v>NO ENCONTRADO</v>
      </c>
      <c r="F144" s="27" t="str">
        <f>IFERROR(VLOOKUP(C144,#REF!, 3, FALSE), "NO ENCONTRADO")</f>
        <v>NO ENCONTRADO</v>
      </c>
      <c r="G144" s="27" t="str">
        <f>IFERROR(VLOOKUP(C144,#REF!, 4, FALSE), "NO ENCONTRADO")</f>
        <v>NO ENCONTRADO</v>
      </c>
      <c r="H144" s="27" t="str">
        <f>IFERROR(VLOOKUP(C144,#REF!, 5, FALSE), "NO ENCONTRADO")</f>
        <v>NO ENCONTRADO</v>
      </c>
      <c r="I144" s="14"/>
      <c r="J144" s="27"/>
      <c r="K144" s="41"/>
      <c r="L144" s="14"/>
      <c r="M144" s="30">
        <f t="shared" ca="1" si="0"/>
        <v>46026</v>
      </c>
      <c r="N144" s="31" t="str">
        <f t="shared" ca="1" si="1"/>
        <v>✅</v>
      </c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spans="1:28" ht="13" x14ac:dyDescent="0.15">
      <c r="A145" s="33">
        <f>'Scan to Sheets'!A145</f>
        <v>0</v>
      </c>
      <c r="B145" s="35">
        <f>'Scan to Sheets'!B145</f>
        <v>0</v>
      </c>
      <c r="C145" s="35">
        <f>'Scan to Sheets'!C145</f>
        <v>0</v>
      </c>
      <c r="D145" s="35">
        <f>'Scan to Sheets'!D145</f>
        <v>0</v>
      </c>
      <c r="E145" s="36" t="str">
        <f>IFERROR(VLOOKUP(C145,#REF!, 2, FALSE), "NO ENCONTRADO")</f>
        <v>NO ENCONTRADO</v>
      </c>
      <c r="F145" s="36" t="str">
        <f>IFERROR(VLOOKUP(C145,#REF!, 3, FALSE), "NO ENCONTRADO")</f>
        <v>NO ENCONTRADO</v>
      </c>
      <c r="G145" s="36" t="str">
        <f>IFERROR(VLOOKUP(C145,#REF!, 4, FALSE), "NO ENCONTRADO")</f>
        <v>NO ENCONTRADO</v>
      </c>
      <c r="H145" s="36" t="str">
        <f>IFERROR(VLOOKUP(C145,#REF!, 5, FALSE), "NO ENCONTRADO")</f>
        <v>NO ENCONTRADO</v>
      </c>
      <c r="I145" s="15"/>
      <c r="J145" s="36"/>
      <c r="K145" s="42"/>
      <c r="L145" s="15"/>
      <c r="M145" s="39">
        <f t="shared" ca="1" si="0"/>
        <v>46026</v>
      </c>
      <c r="N145" s="40" t="str">
        <f t="shared" ca="1" si="1"/>
        <v>✅</v>
      </c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spans="1:28" ht="13" x14ac:dyDescent="0.15">
      <c r="A146" s="24">
        <f>'Scan to Sheets'!A146</f>
        <v>0</v>
      </c>
      <c r="B146" s="26">
        <f>'Scan to Sheets'!B146</f>
        <v>0</v>
      </c>
      <c r="C146" s="26">
        <f>'Scan to Sheets'!C146</f>
        <v>0</v>
      </c>
      <c r="D146" s="26">
        <f>'Scan to Sheets'!D146</f>
        <v>0</v>
      </c>
      <c r="E146" s="27" t="str">
        <f>IFERROR(VLOOKUP(C146,#REF!, 2, FALSE), "NO ENCONTRADO")</f>
        <v>NO ENCONTRADO</v>
      </c>
      <c r="F146" s="27" t="str">
        <f>IFERROR(VLOOKUP(C146,#REF!, 3, FALSE), "NO ENCONTRADO")</f>
        <v>NO ENCONTRADO</v>
      </c>
      <c r="G146" s="27" t="str">
        <f>IFERROR(VLOOKUP(C146,#REF!, 4, FALSE), "NO ENCONTRADO")</f>
        <v>NO ENCONTRADO</v>
      </c>
      <c r="H146" s="27" t="str">
        <f>IFERROR(VLOOKUP(C146,#REF!, 5, FALSE), "NO ENCONTRADO")</f>
        <v>NO ENCONTRADO</v>
      </c>
      <c r="I146" s="14"/>
      <c r="J146" s="27"/>
      <c r="K146" s="41"/>
      <c r="L146" s="14"/>
      <c r="M146" s="30">
        <f t="shared" ca="1" si="0"/>
        <v>46026</v>
      </c>
      <c r="N146" s="31" t="str">
        <f t="shared" ca="1" si="1"/>
        <v>✅</v>
      </c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spans="1:28" ht="13" x14ac:dyDescent="0.15">
      <c r="A147" s="33">
        <f>'Scan to Sheets'!A147</f>
        <v>0</v>
      </c>
      <c r="B147" s="35">
        <f>'Scan to Sheets'!B147</f>
        <v>0</v>
      </c>
      <c r="C147" s="35">
        <f>'Scan to Sheets'!C147</f>
        <v>0</v>
      </c>
      <c r="D147" s="35">
        <f>'Scan to Sheets'!D147</f>
        <v>0</v>
      </c>
      <c r="E147" s="36" t="str">
        <f>IFERROR(VLOOKUP(C147,#REF!, 2, FALSE), "NO ENCONTRADO")</f>
        <v>NO ENCONTRADO</v>
      </c>
      <c r="F147" s="36" t="str">
        <f>IFERROR(VLOOKUP(C147,#REF!, 3, FALSE), "NO ENCONTRADO")</f>
        <v>NO ENCONTRADO</v>
      </c>
      <c r="G147" s="36" t="str">
        <f>IFERROR(VLOOKUP(C147,#REF!, 4, FALSE), "NO ENCONTRADO")</f>
        <v>NO ENCONTRADO</v>
      </c>
      <c r="H147" s="36" t="str">
        <f>IFERROR(VLOOKUP(C147,#REF!, 5, FALSE), "NO ENCONTRADO")</f>
        <v>NO ENCONTRADO</v>
      </c>
      <c r="I147" s="15"/>
      <c r="J147" s="36"/>
      <c r="K147" s="42"/>
      <c r="L147" s="15"/>
      <c r="M147" s="39">
        <f t="shared" ca="1" si="0"/>
        <v>46026</v>
      </c>
      <c r="N147" s="40" t="str">
        <f t="shared" ca="1" si="1"/>
        <v>✅</v>
      </c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spans="1:28" ht="13" x14ac:dyDescent="0.15">
      <c r="A148" s="24">
        <f>'Scan to Sheets'!A148</f>
        <v>0</v>
      </c>
      <c r="B148" s="26">
        <f>'Scan to Sheets'!B148</f>
        <v>0</v>
      </c>
      <c r="C148" s="26">
        <f>'Scan to Sheets'!C148</f>
        <v>0</v>
      </c>
      <c r="D148" s="26">
        <f>'Scan to Sheets'!D148</f>
        <v>0</v>
      </c>
      <c r="E148" s="27" t="str">
        <f>IFERROR(VLOOKUP(C148,#REF!, 2, FALSE), "NO ENCONTRADO")</f>
        <v>NO ENCONTRADO</v>
      </c>
      <c r="F148" s="27" t="str">
        <f>IFERROR(VLOOKUP(C148,#REF!, 3, FALSE), "NO ENCONTRADO")</f>
        <v>NO ENCONTRADO</v>
      </c>
      <c r="G148" s="27" t="str">
        <f>IFERROR(VLOOKUP(C148,#REF!, 4, FALSE), "NO ENCONTRADO")</f>
        <v>NO ENCONTRADO</v>
      </c>
      <c r="H148" s="27" t="str">
        <f>IFERROR(VLOOKUP(C148,#REF!, 5, FALSE), "NO ENCONTRADO")</f>
        <v>NO ENCONTRADO</v>
      </c>
      <c r="I148" s="14"/>
      <c r="J148" s="27"/>
      <c r="K148" s="41"/>
      <c r="L148" s="14"/>
      <c r="M148" s="30">
        <f t="shared" ca="1" si="0"/>
        <v>46026</v>
      </c>
      <c r="N148" s="31" t="str">
        <f t="shared" ca="1" si="1"/>
        <v>✅</v>
      </c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spans="1:28" ht="13" x14ac:dyDescent="0.15">
      <c r="A149" s="33">
        <f>'Scan to Sheets'!A149</f>
        <v>0</v>
      </c>
      <c r="B149" s="35">
        <f>'Scan to Sheets'!B149</f>
        <v>0</v>
      </c>
      <c r="C149" s="35">
        <f>'Scan to Sheets'!C149</f>
        <v>0</v>
      </c>
      <c r="D149" s="35">
        <f>'Scan to Sheets'!D149</f>
        <v>0</v>
      </c>
      <c r="E149" s="36" t="str">
        <f>IFERROR(VLOOKUP(C149,#REF!, 2, FALSE), "NO ENCONTRADO")</f>
        <v>NO ENCONTRADO</v>
      </c>
      <c r="F149" s="36" t="str">
        <f>IFERROR(VLOOKUP(C149,#REF!, 3, FALSE), "NO ENCONTRADO")</f>
        <v>NO ENCONTRADO</v>
      </c>
      <c r="G149" s="36" t="str">
        <f>IFERROR(VLOOKUP(C149,#REF!, 4, FALSE), "NO ENCONTRADO")</f>
        <v>NO ENCONTRADO</v>
      </c>
      <c r="H149" s="36" t="str">
        <f>IFERROR(VLOOKUP(C149,#REF!, 5, FALSE), "NO ENCONTRADO")</f>
        <v>NO ENCONTRADO</v>
      </c>
      <c r="I149" s="15"/>
      <c r="J149" s="36"/>
      <c r="K149" s="42"/>
      <c r="L149" s="15"/>
      <c r="M149" s="39">
        <f t="shared" ca="1" si="0"/>
        <v>46026</v>
      </c>
      <c r="N149" s="40" t="str">
        <f t="shared" ca="1" si="1"/>
        <v>✅</v>
      </c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spans="1:28" ht="13" x14ac:dyDescent="0.15">
      <c r="A150" s="24">
        <f>'Scan to Sheets'!A150</f>
        <v>0</v>
      </c>
      <c r="B150" s="26">
        <f>'Scan to Sheets'!B150</f>
        <v>0</v>
      </c>
      <c r="C150" s="26">
        <f>'Scan to Sheets'!C150</f>
        <v>0</v>
      </c>
      <c r="D150" s="26">
        <f>'Scan to Sheets'!D150</f>
        <v>0</v>
      </c>
      <c r="E150" s="27" t="str">
        <f>IFERROR(VLOOKUP(C150,#REF!, 2, FALSE), "NO ENCONTRADO")</f>
        <v>NO ENCONTRADO</v>
      </c>
      <c r="F150" s="27" t="str">
        <f>IFERROR(VLOOKUP(C150,#REF!, 3, FALSE), "NO ENCONTRADO")</f>
        <v>NO ENCONTRADO</v>
      </c>
      <c r="G150" s="27" t="str">
        <f>IFERROR(VLOOKUP(C150,#REF!, 4, FALSE), "NO ENCONTRADO")</f>
        <v>NO ENCONTRADO</v>
      </c>
      <c r="H150" s="27" t="str">
        <f>IFERROR(VLOOKUP(C150,#REF!, 5, FALSE), "NO ENCONTRADO")</f>
        <v>NO ENCONTRADO</v>
      </c>
      <c r="I150" s="14"/>
      <c r="J150" s="27"/>
      <c r="K150" s="41"/>
      <c r="L150" s="14"/>
      <c r="M150" s="30">
        <f t="shared" ca="1" si="0"/>
        <v>46026</v>
      </c>
      <c r="N150" s="31" t="str">
        <f t="shared" ca="1" si="1"/>
        <v>✅</v>
      </c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spans="1:28" ht="13" x14ac:dyDescent="0.15">
      <c r="A151" s="33">
        <f>'Scan to Sheets'!A151</f>
        <v>0</v>
      </c>
      <c r="B151" s="35">
        <f>'Scan to Sheets'!B151</f>
        <v>0</v>
      </c>
      <c r="C151" s="35">
        <f>'Scan to Sheets'!C151</f>
        <v>0</v>
      </c>
      <c r="D151" s="35">
        <f>'Scan to Sheets'!D151</f>
        <v>0</v>
      </c>
      <c r="E151" s="36" t="str">
        <f>IFERROR(VLOOKUP(C151,#REF!, 2, FALSE), "NO ENCONTRADO")</f>
        <v>NO ENCONTRADO</v>
      </c>
      <c r="F151" s="36" t="str">
        <f>IFERROR(VLOOKUP(C151,#REF!, 3, FALSE), "NO ENCONTRADO")</f>
        <v>NO ENCONTRADO</v>
      </c>
      <c r="G151" s="36" t="str">
        <f>IFERROR(VLOOKUP(C151,#REF!, 4, FALSE), "NO ENCONTRADO")</f>
        <v>NO ENCONTRADO</v>
      </c>
      <c r="H151" s="36" t="str">
        <f>IFERROR(VLOOKUP(C151,#REF!, 5, FALSE), "NO ENCONTRADO")</f>
        <v>NO ENCONTRADO</v>
      </c>
      <c r="I151" s="15"/>
      <c r="J151" s="36"/>
      <c r="K151" s="42"/>
      <c r="L151" s="15"/>
      <c r="M151" s="39">
        <f t="shared" ca="1" si="0"/>
        <v>46026</v>
      </c>
      <c r="N151" s="40" t="str">
        <f t="shared" ca="1" si="1"/>
        <v>✅</v>
      </c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spans="1:28" ht="13" x14ac:dyDescent="0.15">
      <c r="A152" s="24">
        <f>'Scan to Sheets'!A152</f>
        <v>0</v>
      </c>
      <c r="B152" s="26">
        <f>'Scan to Sheets'!B152</f>
        <v>0</v>
      </c>
      <c r="C152" s="26">
        <f>'Scan to Sheets'!C152</f>
        <v>0</v>
      </c>
      <c r="D152" s="26">
        <f>'Scan to Sheets'!D152</f>
        <v>0</v>
      </c>
      <c r="E152" s="27" t="str">
        <f>IFERROR(VLOOKUP(C152,#REF!, 2, FALSE), "NO ENCONTRADO")</f>
        <v>NO ENCONTRADO</v>
      </c>
      <c r="F152" s="27" t="str">
        <f>IFERROR(VLOOKUP(C152,#REF!, 3, FALSE), "NO ENCONTRADO")</f>
        <v>NO ENCONTRADO</v>
      </c>
      <c r="G152" s="27" t="str">
        <f>IFERROR(VLOOKUP(C152,#REF!, 4, FALSE), "NO ENCONTRADO")</f>
        <v>NO ENCONTRADO</v>
      </c>
      <c r="H152" s="27" t="str">
        <f>IFERROR(VLOOKUP(C152,#REF!, 5, FALSE), "NO ENCONTRADO")</f>
        <v>NO ENCONTRADO</v>
      </c>
      <c r="I152" s="14"/>
      <c r="J152" s="27"/>
      <c r="K152" s="41"/>
      <c r="L152" s="14"/>
      <c r="M152" s="30">
        <f t="shared" ca="1" si="0"/>
        <v>46026</v>
      </c>
      <c r="N152" s="31" t="str">
        <f t="shared" ca="1" si="1"/>
        <v>✅</v>
      </c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spans="1:28" ht="13" x14ac:dyDescent="0.15">
      <c r="A153" s="33">
        <f>'Scan to Sheets'!A153</f>
        <v>0</v>
      </c>
      <c r="B153" s="35">
        <f>'Scan to Sheets'!B153</f>
        <v>0</v>
      </c>
      <c r="C153" s="35">
        <f>'Scan to Sheets'!C153</f>
        <v>0</v>
      </c>
      <c r="D153" s="35">
        <f>'Scan to Sheets'!D153</f>
        <v>0</v>
      </c>
      <c r="E153" s="36" t="str">
        <f>IFERROR(VLOOKUP(C153,#REF!, 2, FALSE), "NO ENCONTRADO")</f>
        <v>NO ENCONTRADO</v>
      </c>
      <c r="F153" s="36" t="str">
        <f>IFERROR(VLOOKUP(C153,#REF!, 3, FALSE), "NO ENCONTRADO")</f>
        <v>NO ENCONTRADO</v>
      </c>
      <c r="G153" s="36" t="str">
        <f>IFERROR(VLOOKUP(C153,#REF!, 4, FALSE), "NO ENCONTRADO")</f>
        <v>NO ENCONTRADO</v>
      </c>
      <c r="H153" s="36" t="str">
        <f>IFERROR(VLOOKUP(C153,#REF!, 5, FALSE), "NO ENCONTRADO")</f>
        <v>NO ENCONTRADO</v>
      </c>
      <c r="I153" s="15"/>
      <c r="J153" s="36"/>
      <c r="K153" s="42"/>
      <c r="L153" s="15"/>
      <c r="M153" s="39">
        <f t="shared" ca="1" si="0"/>
        <v>46026</v>
      </c>
      <c r="N153" s="40" t="str">
        <f t="shared" ca="1" si="1"/>
        <v>✅</v>
      </c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spans="1:28" ht="13" x14ac:dyDescent="0.15">
      <c r="A154" s="24">
        <f>'Scan to Sheets'!A154</f>
        <v>0</v>
      </c>
      <c r="B154" s="26">
        <f>'Scan to Sheets'!B154</f>
        <v>0</v>
      </c>
      <c r="C154" s="26">
        <f>'Scan to Sheets'!C154</f>
        <v>0</v>
      </c>
      <c r="D154" s="26">
        <f>'Scan to Sheets'!D154</f>
        <v>0</v>
      </c>
      <c r="E154" s="27" t="str">
        <f>IFERROR(VLOOKUP(C154,#REF!, 2, FALSE), "NO ENCONTRADO")</f>
        <v>NO ENCONTRADO</v>
      </c>
      <c r="F154" s="27" t="str">
        <f>IFERROR(VLOOKUP(C154,#REF!, 3, FALSE), "NO ENCONTRADO")</f>
        <v>NO ENCONTRADO</v>
      </c>
      <c r="G154" s="27" t="str">
        <f>IFERROR(VLOOKUP(C154,#REF!, 4, FALSE), "NO ENCONTRADO")</f>
        <v>NO ENCONTRADO</v>
      </c>
      <c r="H154" s="27" t="str">
        <f>IFERROR(VLOOKUP(C154,#REF!, 5, FALSE), "NO ENCONTRADO")</f>
        <v>NO ENCONTRADO</v>
      </c>
      <c r="I154" s="14"/>
      <c r="J154" s="27"/>
      <c r="K154" s="41"/>
      <c r="L154" s="14"/>
      <c r="M154" s="30">
        <f t="shared" ca="1" si="0"/>
        <v>46026</v>
      </c>
      <c r="N154" s="31" t="str">
        <f t="shared" ca="1" si="1"/>
        <v>✅</v>
      </c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spans="1:28" ht="13" x14ac:dyDescent="0.15">
      <c r="A155" s="33">
        <f>'Scan to Sheets'!A155</f>
        <v>0</v>
      </c>
      <c r="B155" s="35">
        <f>'Scan to Sheets'!B155</f>
        <v>0</v>
      </c>
      <c r="C155" s="35">
        <f>'Scan to Sheets'!C155</f>
        <v>0</v>
      </c>
      <c r="D155" s="35">
        <f>'Scan to Sheets'!D155</f>
        <v>0</v>
      </c>
      <c r="E155" s="36" t="str">
        <f>IFERROR(VLOOKUP(C155,#REF!, 2, FALSE), "NO ENCONTRADO")</f>
        <v>NO ENCONTRADO</v>
      </c>
      <c r="F155" s="36" t="str">
        <f>IFERROR(VLOOKUP(C155,#REF!, 3, FALSE), "NO ENCONTRADO")</f>
        <v>NO ENCONTRADO</v>
      </c>
      <c r="G155" s="36" t="str">
        <f>IFERROR(VLOOKUP(C155,#REF!, 4, FALSE), "NO ENCONTRADO")</f>
        <v>NO ENCONTRADO</v>
      </c>
      <c r="H155" s="36" t="str">
        <f>IFERROR(VLOOKUP(C155,#REF!, 5, FALSE), "NO ENCONTRADO")</f>
        <v>NO ENCONTRADO</v>
      </c>
      <c r="I155" s="15"/>
      <c r="J155" s="36"/>
      <c r="K155" s="42"/>
      <c r="L155" s="15"/>
      <c r="M155" s="39">
        <f t="shared" ca="1" si="0"/>
        <v>46026</v>
      </c>
      <c r="N155" s="40" t="str">
        <f t="shared" ca="1" si="1"/>
        <v>✅</v>
      </c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spans="1:28" ht="13" x14ac:dyDescent="0.15">
      <c r="A156" s="24">
        <f>'Scan to Sheets'!A156</f>
        <v>0</v>
      </c>
      <c r="B156" s="26">
        <f>'Scan to Sheets'!B156</f>
        <v>0</v>
      </c>
      <c r="C156" s="26">
        <f>'Scan to Sheets'!C156</f>
        <v>0</v>
      </c>
      <c r="D156" s="26">
        <f>'Scan to Sheets'!D156</f>
        <v>0</v>
      </c>
      <c r="E156" s="27" t="str">
        <f>IFERROR(VLOOKUP(C156,#REF!, 2, FALSE), "NO ENCONTRADO")</f>
        <v>NO ENCONTRADO</v>
      </c>
      <c r="F156" s="27" t="str">
        <f>IFERROR(VLOOKUP(C156,#REF!, 3, FALSE), "NO ENCONTRADO")</f>
        <v>NO ENCONTRADO</v>
      </c>
      <c r="G156" s="27" t="str">
        <f>IFERROR(VLOOKUP(C156,#REF!, 4, FALSE), "NO ENCONTRADO")</f>
        <v>NO ENCONTRADO</v>
      </c>
      <c r="H156" s="27" t="str">
        <f>IFERROR(VLOOKUP(C156,#REF!, 5, FALSE), "NO ENCONTRADO")</f>
        <v>NO ENCONTRADO</v>
      </c>
      <c r="I156" s="14"/>
      <c r="J156" s="27"/>
      <c r="K156" s="41"/>
      <c r="L156" s="14"/>
      <c r="M156" s="30">
        <f t="shared" ca="1" si="0"/>
        <v>46026</v>
      </c>
      <c r="N156" s="31" t="str">
        <f t="shared" ca="1" si="1"/>
        <v>✅</v>
      </c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spans="1:28" ht="13" x14ac:dyDescent="0.15">
      <c r="A157" s="33">
        <f>'Scan to Sheets'!A157</f>
        <v>0</v>
      </c>
      <c r="B157" s="35">
        <f>'Scan to Sheets'!B157</f>
        <v>0</v>
      </c>
      <c r="C157" s="35">
        <f>'Scan to Sheets'!C157</f>
        <v>0</v>
      </c>
      <c r="D157" s="35">
        <f>'Scan to Sheets'!D157</f>
        <v>0</v>
      </c>
      <c r="E157" s="36" t="str">
        <f>IFERROR(VLOOKUP(C157,#REF!, 2, FALSE), "NO ENCONTRADO")</f>
        <v>NO ENCONTRADO</v>
      </c>
      <c r="F157" s="36" t="str">
        <f>IFERROR(VLOOKUP(C157,#REF!, 3, FALSE), "NO ENCONTRADO")</f>
        <v>NO ENCONTRADO</v>
      </c>
      <c r="G157" s="36" t="str">
        <f>IFERROR(VLOOKUP(C157,#REF!, 4, FALSE), "NO ENCONTRADO")</f>
        <v>NO ENCONTRADO</v>
      </c>
      <c r="H157" s="36" t="str">
        <f>IFERROR(VLOOKUP(C157,#REF!, 5, FALSE), "NO ENCONTRADO")</f>
        <v>NO ENCONTRADO</v>
      </c>
      <c r="I157" s="15"/>
      <c r="J157" s="36"/>
      <c r="K157" s="42"/>
      <c r="L157" s="15"/>
      <c r="M157" s="39">
        <f t="shared" ca="1" si="0"/>
        <v>46026</v>
      </c>
      <c r="N157" s="40" t="str">
        <f t="shared" ca="1" si="1"/>
        <v>✅</v>
      </c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1:28" ht="13" x14ac:dyDescent="0.15">
      <c r="A158" s="24">
        <f>'Scan to Sheets'!A158</f>
        <v>0</v>
      </c>
      <c r="B158" s="26">
        <f>'Scan to Sheets'!B158</f>
        <v>0</v>
      </c>
      <c r="C158" s="26">
        <f>'Scan to Sheets'!C158</f>
        <v>0</v>
      </c>
      <c r="D158" s="26">
        <f>'Scan to Sheets'!D158</f>
        <v>0</v>
      </c>
      <c r="E158" s="27" t="str">
        <f>IFERROR(VLOOKUP(C158,#REF!, 2, FALSE), "NO ENCONTRADO")</f>
        <v>NO ENCONTRADO</v>
      </c>
      <c r="F158" s="27" t="str">
        <f>IFERROR(VLOOKUP(C158,#REF!, 3, FALSE), "NO ENCONTRADO")</f>
        <v>NO ENCONTRADO</v>
      </c>
      <c r="G158" s="27" t="str">
        <f>IFERROR(VLOOKUP(C158,#REF!, 4, FALSE), "NO ENCONTRADO")</f>
        <v>NO ENCONTRADO</v>
      </c>
      <c r="H158" s="27" t="str">
        <f>IFERROR(VLOOKUP(C158,#REF!, 5, FALSE), "NO ENCONTRADO")</f>
        <v>NO ENCONTRADO</v>
      </c>
      <c r="I158" s="14"/>
      <c r="J158" s="27"/>
      <c r="K158" s="41"/>
      <c r="L158" s="14"/>
      <c r="M158" s="30">
        <f t="shared" ca="1" si="0"/>
        <v>46026</v>
      </c>
      <c r="N158" s="31" t="str">
        <f t="shared" ca="1" si="1"/>
        <v>✅</v>
      </c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spans="1:28" ht="13" x14ac:dyDescent="0.15">
      <c r="A159" s="33">
        <f>'Scan to Sheets'!A159</f>
        <v>0</v>
      </c>
      <c r="B159" s="35">
        <f>'Scan to Sheets'!B159</f>
        <v>0</v>
      </c>
      <c r="C159" s="35">
        <f>'Scan to Sheets'!C159</f>
        <v>0</v>
      </c>
      <c r="D159" s="35">
        <f>'Scan to Sheets'!D159</f>
        <v>0</v>
      </c>
      <c r="E159" s="36" t="str">
        <f>IFERROR(VLOOKUP(C159,#REF!, 2, FALSE), "NO ENCONTRADO")</f>
        <v>NO ENCONTRADO</v>
      </c>
      <c r="F159" s="36" t="str">
        <f>IFERROR(VLOOKUP(C159,#REF!, 3, FALSE), "NO ENCONTRADO")</f>
        <v>NO ENCONTRADO</v>
      </c>
      <c r="G159" s="36" t="str">
        <f>IFERROR(VLOOKUP(C159,#REF!, 4, FALSE), "NO ENCONTRADO")</f>
        <v>NO ENCONTRADO</v>
      </c>
      <c r="H159" s="36" t="str">
        <f>IFERROR(VLOOKUP(C159,#REF!, 5, FALSE), "NO ENCONTRADO")</f>
        <v>NO ENCONTRADO</v>
      </c>
      <c r="I159" s="15"/>
      <c r="J159" s="36"/>
      <c r="K159" s="42"/>
      <c r="L159" s="15"/>
      <c r="M159" s="39">
        <f t="shared" ca="1" si="0"/>
        <v>46026</v>
      </c>
      <c r="N159" s="40" t="str">
        <f t="shared" ca="1" si="1"/>
        <v>✅</v>
      </c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spans="1:28" ht="13" x14ac:dyDescent="0.15">
      <c r="A160" s="24">
        <f>'Scan to Sheets'!A160</f>
        <v>0</v>
      </c>
      <c r="B160" s="26">
        <f>'Scan to Sheets'!B160</f>
        <v>0</v>
      </c>
      <c r="C160" s="26">
        <f>'Scan to Sheets'!C160</f>
        <v>0</v>
      </c>
      <c r="D160" s="26">
        <f>'Scan to Sheets'!D160</f>
        <v>0</v>
      </c>
      <c r="E160" s="27" t="str">
        <f>IFERROR(VLOOKUP(C160,#REF!, 2, FALSE), "NO ENCONTRADO")</f>
        <v>NO ENCONTRADO</v>
      </c>
      <c r="F160" s="27" t="str">
        <f>IFERROR(VLOOKUP(C160,#REF!, 3, FALSE), "NO ENCONTRADO")</f>
        <v>NO ENCONTRADO</v>
      </c>
      <c r="G160" s="27" t="str">
        <f>IFERROR(VLOOKUP(C160,#REF!, 4, FALSE), "NO ENCONTRADO")</f>
        <v>NO ENCONTRADO</v>
      </c>
      <c r="H160" s="27" t="str">
        <f>IFERROR(VLOOKUP(C160,#REF!, 5, FALSE), "NO ENCONTRADO")</f>
        <v>NO ENCONTRADO</v>
      </c>
      <c r="I160" s="14"/>
      <c r="J160" s="27"/>
      <c r="K160" s="41"/>
      <c r="L160" s="14"/>
      <c r="M160" s="30">
        <f t="shared" ca="1" si="0"/>
        <v>46026</v>
      </c>
      <c r="N160" s="31" t="str">
        <f t="shared" ca="1" si="1"/>
        <v>✅</v>
      </c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spans="1:28" ht="13" x14ac:dyDescent="0.15">
      <c r="A161" s="33">
        <f>'Scan to Sheets'!A161</f>
        <v>0</v>
      </c>
      <c r="B161" s="35">
        <f>'Scan to Sheets'!B161</f>
        <v>0</v>
      </c>
      <c r="C161" s="35">
        <f>'Scan to Sheets'!C161</f>
        <v>0</v>
      </c>
      <c r="D161" s="35">
        <f>'Scan to Sheets'!D161</f>
        <v>0</v>
      </c>
      <c r="E161" s="36" t="str">
        <f>IFERROR(VLOOKUP(C161,#REF!, 2, FALSE), "NO ENCONTRADO")</f>
        <v>NO ENCONTRADO</v>
      </c>
      <c r="F161" s="36" t="str">
        <f>IFERROR(VLOOKUP(C161,#REF!, 3, FALSE), "NO ENCONTRADO")</f>
        <v>NO ENCONTRADO</v>
      </c>
      <c r="G161" s="36" t="str">
        <f>IFERROR(VLOOKUP(C161,#REF!, 4, FALSE), "NO ENCONTRADO")</f>
        <v>NO ENCONTRADO</v>
      </c>
      <c r="H161" s="36" t="str">
        <f>IFERROR(VLOOKUP(C161,#REF!, 5, FALSE), "NO ENCONTRADO")</f>
        <v>NO ENCONTRADO</v>
      </c>
      <c r="I161" s="15"/>
      <c r="J161" s="36"/>
      <c r="K161" s="42"/>
      <c r="L161" s="15"/>
      <c r="M161" s="39">
        <f t="shared" ca="1" si="0"/>
        <v>46026</v>
      </c>
      <c r="N161" s="40" t="str">
        <f t="shared" ca="1" si="1"/>
        <v>✅</v>
      </c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spans="1:28" ht="13" x14ac:dyDescent="0.15">
      <c r="A162" s="24">
        <f>'Scan to Sheets'!A162</f>
        <v>0</v>
      </c>
      <c r="B162" s="26">
        <f>'Scan to Sheets'!B162</f>
        <v>0</v>
      </c>
      <c r="C162" s="26">
        <f>'Scan to Sheets'!C162</f>
        <v>0</v>
      </c>
      <c r="D162" s="26">
        <f>'Scan to Sheets'!D162</f>
        <v>0</v>
      </c>
      <c r="E162" s="27" t="str">
        <f>IFERROR(VLOOKUP(C162,#REF!, 2, FALSE), "NO ENCONTRADO")</f>
        <v>NO ENCONTRADO</v>
      </c>
      <c r="F162" s="27" t="str">
        <f>IFERROR(VLOOKUP(C162,#REF!, 3, FALSE), "NO ENCONTRADO")</f>
        <v>NO ENCONTRADO</v>
      </c>
      <c r="G162" s="27" t="str">
        <f>IFERROR(VLOOKUP(C162,#REF!, 4, FALSE), "NO ENCONTRADO")</f>
        <v>NO ENCONTRADO</v>
      </c>
      <c r="H162" s="27" t="str">
        <f>IFERROR(VLOOKUP(C162,#REF!, 5, FALSE), "NO ENCONTRADO")</f>
        <v>NO ENCONTRADO</v>
      </c>
      <c r="I162" s="14"/>
      <c r="J162" s="27"/>
      <c r="K162" s="41"/>
      <c r="L162" s="14"/>
      <c r="M162" s="30">
        <f t="shared" ca="1" si="0"/>
        <v>46026</v>
      </c>
      <c r="N162" s="31" t="str">
        <f t="shared" ca="1" si="1"/>
        <v>✅</v>
      </c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spans="1:28" ht="13" x14ac:dyDescent="0.15">
      <c r="A163" s="33">
        <f>'Scan to Sheets'!A163</f>
        <v>0</v>
      </c>
      <c r="B163" s="35">
        <f>'Scan to Sheets'!B163</f>
        <v>0</v>
      </c>
      <c r="C163" s="35">
        <f>'Scan to Sheets'!C163</f>
        <v>0</v>
      </c>
      <c r="D163" s="35">
        <f>'Scan to Sheets'!D163</f>
        <v>0</v>
      </c>
      <c r="E163" s="36" t="str">
        <f>IFERROR(VLOOKUP(C163,#REF!, 2, FALSE), "NO ENCONTRADO")</f>
        <v>NO ENCONTRADO</v>
      </c>
      <c r="F163" s="36" t="str">
        <f>IFERROR(VLOOKUP(C163,#REF!, 3, FALSE), "NO ENCONTRADO")</f>
        <v>NO ENCONTRADO</v>
      </c>
      <c r="G163" s="36" t="str">
        <f>IFERROR(VLOOKUP(C163,#REF!, 4, FALSE), "NO ENCONTRADO")</f>
        <v>NO ENCONTRADO</v>
      </c>
      <c r="H163" s="36" t="str">
        <f>IFERROR(VLOOKUP(C163,#REF!, 5, FALSE), "NO ENCONTRADO")</f>
        <v>NO ENCONTRADO</v>
      </c>
      <c r="I163" s="15"/>
      <c r="J163" s="36"/>
      <c r="K163" s="42"/>
      <c r="L163" s="15"/>
      <c r="M163" s="39">
        <f t="shared" ca="1" si="0"/>
        <v>46026</v>
      </c>
      <c r="N163" s="40" t="str">
        <f t="shared" ca="1" si="1"/>
        <v>✅</v>
      </c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spans="1:28" ht="13" x14ac:dyDescent="0.15">
      <c r="A164" s="24">
        <f>'Scan to Sheets'!A164</f>
        <v>0</v>
      </c>
      <c r="B164" s="26">
        <f>'Scan to Sheets'!B164</f>
        <v>0</v>
      </c>
      <c r="C164" s="26">
        <f>'Scan to Sheets'!C164</f>
        <v>0</v>
      </c>
      <c r="D164" s="26">
        <f>'Scan to Sheets'!D164</f>
        <v>0</v>
      </c>
      <c r="E164" s="27" t="str">
        <f>IFERROR(VLOOKUP(C164,#REF!, 2, FALSE), "NO ENCONTRADO")</f>
        <v>NO ENCONTRADO</v>
      </c>
      <c r="F164" s="27" t="str">
        <f>IFERROR(VLOOKUP(C164,#REF!, 3, FALSE), "NO ENCONTRADO")</f>
        <v>NO ENCONTRADO</v>
      </c>
      <c r="G164" s="27" t="str">
        <f>IFERROR(VLOOKUP(C164,#REF!, 4, FALSE), "NO ENCONTRADO")</f>
        <v>NO ENCONTRADO</v>
      </c>
      <c r="H164" s="27" t="str">
        <f>IFERROR(VLOOKUP(C164,#REF!, 5, FALSE), "NO ENCONTRADO")</f>
        <v>NO ENCONTRADO</v>
      </c>
      <c r="I164" s="14"/>
      <c r="J164" s="27"/>
      <c r="K164" s="41"/>
      <c r="L164" s="14"/>
      <c r="M164" s="30">
        <f t="shared" ca="1" si="0"/>
        <v>46026</v>
      </c>
      <c r="N164" s="31" t="str">
        <f t="shared" ca="1" si="1"/>
        <v>✅</v>
      </c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spans="1:28" ht="13" x14ac:dyDescent="0.15">
      <c r="A165" s="33">
        <f>'Scan to Sheets'!A165</f>
        <v>0</v>
      </c>
      <c r="B165" s="35">
        <f>'Scan to Sheets'!B165</f>
        <v>0</v>
      </c>
      <c r="C165" s="35">
        <f>'Scan to Sheets'!C165</f>
        <v>0</v>
      </c>
      <c r="D165" s="35">
        <f>'Scan to Sheets'!D165</f>
        <v>0</v>
      </c>
      <c r="E165" s="36" t="str">
        <f>IFERROR(VLOOKUP(C165,#REF!, 2, FALSE), "NO ENCONTRADO")</f>
        <v>NO ENCONTRADO</v>
      </c>
      <c r="F165" s="36" t="str">
        <f>IFERROR(VLOOKUP(C165,#REF!, 3, FALSE), "NO ENCONTRADO")</f>
        <v>NO ENCONTRADO</v>
      </c>
      <c r="G165" s="36" t="str">
        <f>IFERROR(VLOOKUP(C165,#REF!, 4, FALSE), "NO ENCONTRADO")</f>
        <v>NO ENCONTRADO</v>
      </c>
      <c r="H165" s="36" t="str">
        <f>IFERROR(VLOOKUP(C165,#REF!, 5, FALSE), "NO ENCONTRADO")</f>
        <v>NO ENCONTRADO</v>
      </c>
      <c r="I165" s="15"/>
      <c r="J165" s="36"/>
      <c r="K165" s="42"/>
      <c r="L165" s="15"/>
      <c r="M165" s="39">
        <f t="shared" ca="1" si="0"/>
        <v>46026</v>
      </c>
      <c r="N165" s="40" t="str">
        <f t="shared" ca="1" si="1"/>
        <v>✅</v>
      </c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spans="1:28" ht="13" x14ac:dyDescent="0.15">
      <c r="A166" s="24">
        <f>'Scan to Sheets'!A166</f>
        <v>0</v>
      </c>
      <c r="B166" s="26">
        <f>'Scan to Sheets'!B166</f>
        <v>0</v>
      </c>
      <c r="C166" s="26">
        <f>'Scan to Sheets'!C166</f>
        <v>0</v>
      </c>
      <c r="D166" s="26">
        <f>'Scan to Sheets'!D166</f>
        <v>0</v>
      </c>
      <c r="E166" s="27" t="str">
        <f>IFERROR(VLOOKUP(C166,#REF!, 2, FALSE), "NO ENCONTRADO")</f>
        <v>NO ENCONTRADO</v>
      </c>
      <c r="F166" s="27" t="str">
        <f>IFERROR(VLOOKUP(C166,#REF!, 3, FALSE), "NO ENCONTRADO")</f>
        <v>NO ENCONTRADO</v>
      </c>
      <c r="G166" s="27" t="str">
        <f>IFERROR(VLOOKUP(C166,#REF!, 4, FALSE), "NO ENCONTRADO")</f>
        <v>NO ENCONTRADO</v>
      </c>
      <c r="H166" s="27" t="str">
        <f>IFERROR(VLOOKUP(C166,#REF!, 5, FALSE), "NO ENCONTRADO")</f>
        <v>NO ENCONTRADO</v>
      </c>
      <c r="I166" s="14"/>
      <c r="J166" s="27"/>
      <c r="K166" s="41"/>
      <c r="L166" s="14"/>
      <c r="M166" s="30">
        <f t="shared" ca="1" si="0"/>
        <v>46026</v>
      </c>
      <c r="N166" s="31" t="str">
        <f t="shared" ca="1" si="1"/>
        <v>✅</v>
      </c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spans="1:28" ht="13" x14ac:dyDescent="0.15">
      <c r="A167" s="33">
        <f>'Scan to Sheets'!A167</f>
        <v>0</v>
      </c>
      <c r="B167" s="35">
        <f>'Scan to Sheets'!B167</f>
        <v>0</v>
      </c>
      <c r="C167" s="35">
        <f>'Scan to Sheets'!C167</f>
        <v>0</v>
      </c>
      <c r="D167" s="35">
        <f>'Scan to Sheets'!D167</f>
        <v>0</v>
      </c>
      <c r="E167" s="36" t="str">
        <f>IFERROR(VLOOKUP(C167,#REF!, 2, FALSE), "NO ENCONTRADO")</f>
        <v>NO ENCONTRADO</v>
      </c>
      <c r="F167" s="36" t="str">
        <f>IFERROR(VLOOKUP(C167,#REF!, 3, FALSE), "NO ENCONTRADO")</f>
        <v>NO ENCONTRADO</v>
      </c>
      <c r="G167" s="36" t="str">
        <f>IFERROR(VLOOKUP(C167,#REF!, 4, FALSE), "NO ENCONTRADO")</f>
        <v>NO ENCONTRADO</v>
      </c>
      <c r="H167" s="36" t="str">
        <f>IFERROR(VLOOKUP(C167,#REF!, 5, FALSE), "NO ENCONTRADO")</f>
        <v>NO ENCONTRADO</v>
      </c>
      <c r="I167" s="15"/>
      <c r="J167" s="36"/>
      <c r="K167" s="42"/>
      <c r="L167" s="15"/>
      <c r="M167" s="39">
        <f t="shared" ca="1" si="0"/>
        <v>46026</v>
      </c>
      <c r="N167" s="40" t="str">
        <f t="shared" ca="1" si="1"/>
        <v>✅</v>
      </c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spans="1:28" ht="13" x14ac:dyDescent="0.15">
      <c r="A168" s="24">
        <f>'Scan to Sheets'!A168</f>
        <v>0</v>
      </c>
      <c r="B168" s="26">
        <f>'Scan to Sheets'!B168</f>
        <v>0</v>
      </c>
      <c r="C168" s="26">
        <f>'Scan to Sheets'!C168</f>
        <v>0</v>
      </c>
      <c r="D168" s="26">
        <f>'Scan to Sheets'!D168</f>
        <v>0</v>
      </c>
      <c r="E168" s="27" t="str">
        <f>IFERROR(VLOOKUP(C168,#REF!, 2, FALSE), "NO ENCONTRADO")</f>
        <v>NO ENCONTRADO</v>
      </c>
      <c r="F168" s="27" t="str">
        <f>IFERROR(VLOOKUP(C168,#REF!, 3, FALSE), "NO ENCONTRADO")</f>
        <v>NO ENCONTRADO</v>
      </c>
      <c r="G168" s="27" t="str">
        <f>IFERROR(VLOOKUP(C168,#REF!, 4, FALSE), "NO ENCONTRADO")</f>
        <v>NO ENCONTRADO</v>
      </c>
      <c r="H168" s="27" t="str">
        <f>IFERROR(VLOOKUP(C168,#REF!, 5, FALSE), "NO ENCONTRADO")</f>
        <v>NO ENCONTRADO</v>
      </c>
      <c r="I168" s="14"/>
      <c r="J168" s="27"/>
      <c r="K168" s="41"/>
      <c r="L168" s="14"/>
      <c r="M168" s="30">
        <f t="shared" ca="1" si="0"/>
        <v>46026</v>
      </c>
      <c r="N168" s="31" t="str">
        <f t="shared" ca="1" si="1"/>
        <v>✅</v>
      </c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spans="1:28" ht="13" x14ac:dyDescent="0.15">
      <c r="A169" s="33">
        <f>'Scan to Sheets'!A169</f>
        <v>0</v>
      </c>
      <c r="B169" s="35">
        <f>'Scan to Sheets'!B169</f>
        <v>0</v>
      </c>
      <c r="C169" s="35">
        <f>'Scan to Sheets'!C169</f>
        <v>0</v>
      </c>
      <c r="D169" s="35">
        <f>'Scan to Sheets'!D169</f>
        <v>0</v>
      </c>
      <c r="E169" s="36" t="str">
        <f>IFERROR(VLOOKUP(C169,#REF!, 2, FALSE), "NO ENCONTRADO")</f>
        <v>NO ENCONTRADO</v>
      </c>
      <c r="F169" s="36" t="str">
        <f>IFERROR(VLOOKUP(C169,#REF!, 3, FALSE), "NO ENCONTRADO")</f>
        <v>NO ENCONTRADO</v>
      </c>
      <c r="G169" s="36" t="str">
        <f>IFERROR(VLOOKUP(C169,#REF!, 4, FALSE), "NO ENCONTRADO")</f>
        <v>NO ENCONTRADO</v>
      </c>
      <c r="H169" s="36" t="str">
        <f>IFERROR(VLOOKUP(C169,#REF!, 5, FALSE), "NO ENCONTRADO")</f>
        <v>NO ENCONTRADO</v>
      </c>
      <c r="I169" s="15"/>
      <c r="J169" s="36"/>
      <c r="K169" s="42"/>
      <c r="L169" s="15"/>
      <c r="M169" s="39">
        <f t="shared" ca="1" si="0"/>
        <v>46026</v>
      </c>
      <c r="N169" s="40" t="str">
        <f t="shared" ca="1" si="1"/>
        <v>✅</v>
      </c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spans="1:28" ht="13" x14ac:dyDescent="0.15">
      <c r="A170" s="24">
        <f>'Scan to Sheets'!A170</f>
        <v>0</v>
      </c>
      <c r="B170" s="26">
        <f>'Scan to Sheets'!B170</f>
        <v>0</v>
      </c>
      <c r="C170" s="26">
        <f>'Scan to Sheets'!C170</f>
        <v>0</v>
      </c>
      <c r="D170" s="26">
        <f>'Scan to Sheets'!D170</f>
        <v>0</v>
      </c>
      <c r="E170" s="27" t="str">
        <f>IFERROR(VLOOKUP(C170,#REF!, 2, FALSE), "NO ENCONTRADO")</f>
        <v>NO ENCONTRADO</v>
      </c>
      <c r="F170" s="27" t="str">
        <f>IFERROR(VLOOKUP(C170,#REF!, 3, FALSE), "NO ENCONTRADO")</f>
        <v>NO ENCONTRADO</v>
      </c>
      <c r="G170" s="27" t="str">
        <f>IFERROR(VLOOKUP(C170,#REF!, 4, FALSE), "NO ENCONTRADO")</f>
        <v>NO ENCONTRADO</v>
      </c>
      <c r="H170" s="27" t="str">
        <f>IFERROR(VLOOKUP(C170,#REF!, 5, FALSE), "NO ENCONTRADO")</f>
        <v>NO ENCONTRADO</v>
      </c>
      <c r="I170" s="14"/>
      <c r="J170" s="27"/>
      <c r="K170" s="41"/>
      <c r="L170" s="14"/>
      <c r="M170" s="30">
        <f t="shared" ca="1" si="0"/>
        <v>46026</v>
      </c>
      <c r="N170" s="31" t="str">
        <f t="shared" ca="1" si="1"/>
        <v>✅</v>
      </c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spans="1:28" ht="13" x14ac:dyDescent="0.15">
      <c r="A171" s="33">
        <f>'Scan to Sheets'!A171</f>
        <v>0</v>
      </c>
      <c r="B171" s="35">
        <f>'Scan to Sheets'!B171</f>
        <v>0</v>
      </c>
      <c r="C171" s="35">
        <f>'Scan to Sheets'!C171</f>
        <v>0</v>
      </c>
      <c r="D171" s="35">
        <f>'Scan to Sheets'!D171</f>
        <v>0</v>
      </c>
      <c r="E171" s="36" t="str">
        <f>IFERROR(VLOOKUP(C171,#REF!, 2, FALSE), "NO ENCONTRADO")</f>
        <v>NO ENCONTRADO</v>
      </c>
      <c r="F171" s="36" t="str">
        <f>IFERROR(VLOOKUP(C171,#REF!, 3, FALSE), "NO ENCONTRADO")</f>
        <v>NO ENCONTRADO</v>
      </c>
      <c r="G171" s="36" t="str">
        <f>IFERROR(VLOOKUP(C171,#REF!, 4, FALSE), "NO ENCONTRADO")</f>
        <v>NO ENCONTRADO</v>
      </c>
      <c r="H171" s="36" t="str">
        <f>IFERROR(VLOOKUP(C171,#REF!, 5, FALSE), "NO ENCONTRADO")</f>
        <v>NO ENCONTRADO</v>
      </c>
      <c r="I171" s="15"/>
      <c r="J171" s="36"/>
      <c r="K171" s="42"/>
      <c r="L171" s="15"/>
      <c r="M171" s="39">
        <f t="shared" ca="1" si="0"/>
        <v>46026</v>
      </c>
      <c r="N171" s="40" t="str">
        <f t="shared" ca="1" si="1"/>
        <v>✅</v>
      </c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spans="1:28" ht="13" x14ac:dyDescent="0.15">
      <c r="A172" s="24">
        <f>'Scan to Sheets'!A172</f>
        <v>0</v>
      </c>
      <c r="B172" s="26">
        <f>'Scan to Sheets'!B172</f>
        <v>0</v>
      </c>
      <c r="C172" s="26">
        <f>'Scan to Sheets'!C172</f>
        <v>0</v>
      </c>
      <c r="D172" s="26">
        <f>'Scan to Sheets'!D172</f>
        <v>0</v>
      </c>
      <c r="E172" s="27" t="str">
        <f>IFERROR(VLOOKUP(C172,#REF!, 2, FALSE), "NO ENCONTRADO")</f>
        <v>NO ENCONTRADO</v>
      </c>
      <c r="F172" s="27" t="str">
        <f>IFERROR(VLOOKUP(C172,#REF!, 3, FALSE), "NO ENCONTRADO")</f>
        <v>NO ENCONTRADO</v>
      </c>
      <c r="G172" s="27" t="str">
        <f>IFERROR(VLOOKUP(C172,#REF!, 4, FALSE), "NO ENCONTRADO")</f>
        <v>NO ENCONTRADO</v>
      </c>
      <c r="H172" s="27" t="str">
        <f>IFERROR(VLOOKUP(C172,#REF!, 5, FALSE), "NO ENCONTRADO")</f>
        <v>NO ENCONTRADO</v>
      </c>
      <c r="I172" s="14"/>
      <c r="J172" s="27"/>
      <c r="K172" s="41"/>
      <c r="L172" s="14"/>
      <c r="M172" s="30">
        <f t="shared" ca="1" si="0"/>
        <v>46026</v>
      </c>
      <c r="N172" s="31" t="str">
        <f t="shared" ca="1" si="1"/>
        <v>✅</v>
      </c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spans="1:28" ht="13" x14ac:dyDescent="0.15">
      <c r="A173" s="33">
        <f>'Scan to Sheets'!A173</f>
        <v>0</v>
      </c>
      <c r="B173" s="35">
        <f>'Scan to Sheets'!B173</f>
        <v>0</v>
      </c>
      <c r="C173" s="35">
        <f>'Scan to Sheets'!C173</f>
        <v>0</v>
      </c>
      <c r="D173" s="35">
        <f>'Scan to Sheets'!D173</f>
        <v>0</v>
      </c>
      <c r="E173" s="36" t="str">
        <f>IFERROR(VLOOKUP(C173,#REF!, 2, FALSE), "NO ENCONTRADO")</f>
        <v>NO ENCONTRADO</v>
      </c>
      <c r="F173" s="36" t="str">
        <f>IFERROR(VLOOKUP(C173,#REF!, 3, FALSE), "NO ENCONTRADO")</f>
        <v>NO ENCONTRADO</v>
      </c>
      <c r="G173" s="36" t="str">
        <f>IFERROR(VLOOKUP(C173,#REF!, 4, FALSE), "NO ENCONTRADO")</f>
        <v>NO ENCONTRADO</v>
      </c>
      <c r="H173" s="36" t="str">
        <f>IFERROR(VLOOKUP(C173,#REF!, 5, FALSE), "NO ENCONTRADO")</f>
        <v>NO ENCONTRADO</v>
      </c>
      <c r="I173" s="15"/>
      <c r="J173" s="36"/>
      <c r="K173" s="42"/>
      <c r="L173" s="15"/>
      <c r="M173" s="39">
        <f t="shared" ca="1" si="0"/>
        <v>46026</v>
      </c>
      <c r="N173" s="40" t="str">
        <f t="shared" ca="1" si="1"/>
        <v>✅</v>
      </c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spans="1:28" ht="13" x14ac:dyDescent="0.15">
      <c r="A174" s="24">
        <f>'Scan to Sheets'!A174</f>
        <v>0</v>
      </c>
      <c r="B174" s="26">
        <f>'Scan to Sheets'!B174</f>
        <v>0</v>
      </c>
      <c r="C174" s="26">
        <f>'Scan to Sheets'!C174</f>
        <v>0</v>
      </c>
      <c r="D174" s="26">
        <f>'Scan to Sheets'!D174</f>
        <v>0</v>
      </c>
      <c r="E174" s="27" t="str">
        <f>IFERROR(VLOOKUP(C174,#REF!, 2, FALSE), "NO ENCONTRADO")</f>
        <v>NO ENCONTRADO</v>
      </c>
      <c r="F174" s="27" t="str">
        <f>IFERROR(VLOOKUP(C174,#REF!, 3, FALSE), "NO ENCONTRADO")</f>
        <v>NO ENCONTRADO</v>
      </c>
      <c r="G174" s="27" t="str">
        <f>IFERROR(VLOOKUP(C174,#REF!, 4, FALSE), "NO ENCONTRADO")</f>
        <v>NO ENCONTRADO</v>
      </c>
      <c r="H174" s="27" t="str">
        <f>IFERROR(VLOOKUP(C174,#REF!, 5, FALSE), "NO ENCONTRADO")</f>
        <v>NO ENCONTRADO</v>
      </c>
      <c r="I174" s="14"/>
      <c r="J174" s="27"/>
      <c r="K174" s="41"/>
      <c r="L174" s="14"/>
      <c r="M174" s="30">
        <f t="shared" ca="1" si="0"/>
        <v>46026</v>
      </c>
      <c r="N174" s="31" t="str">
        <f t="shared" ca="1" si="1"/>
        <v>✅</v>
      </c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spans="1:28" ht="13" x14ac:dyDescent="0.15">
      <c r="A175" s="33">
        <f>'Scan to Sheets'!A175</f>
        <v>0</v>
      </c>
      <c r="B175" s="35">
        <f>'Scan to Sheets'!B175</f>
        <v>0</v>
      </c>
      <c r="C175" s="35">
        <f>'Scan to Sheets'!C175</f>
        <v>0</v>
      </c>
      <c r="D175" s="35">
        <f>'Scan to Sheets'!D175</f>
        <v>0</v>
      </c>
      <c r="E175" s="36" t="str">
        <f>IFERROR(VLOOKUP(C175,#REF!, 2, FALSE), "NO ENCONTRADO")</f>
        <v>NO ENCONTRADO</v>
      </c>
      <c r="F175" s="36" t="str">
        <f>IFERROR(VLOOKUP(C175,#REF!, 3, FALSE), "NO ENCONTRADO")</f>
        <v>NO ENCONTRADO</v>
      </c>
      <c r="G175" s="36" t="str">
        <f>IFERROR(VLOOKUP(C175,#REF!, 4, FALSE), "NO ENCONTRADO")</f>
        <v>NO ENCONTRADO</v>
      </c>
      <c r="H175" s="36" t="str">
        <f>IFERROR(VLOOKUP(C175,#REF!, 5, FALSE), "NO ENCONTRADO")</f>
        <v>NO ENCONTRADO</v>
      </c>
      <c r="I175" s="15"/>
      <c r="J175" s="36"/>
      <c r="K175" s="42"/>
      <c r="L175" s="15"/>
      <c r="M175" s="39">
        <f t="shared" ca="1" si="0"/>
        <v>46026</v>
      </c>
      <c r="N175" s="40" t="str">
        <f t="shared" ca="1" si="1"/>
        <v>✅</v>
      </c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spans="1:28" ht="13" x14ac:dyDescent="0.15">
      <c r="A176" s="24">
        <f>'Scan to Sheets'!A176</f>
        <v>0</v>
      </c>
      <c r="B176" s="26">
        <f>'Scan to Sheets'!B176</f>
        <v>0</v>
      </c>
      <c r="C176" s="26">
        <f>'Scan to Sheets'!C176</f>
        <v>0</v>
      </c>
      <c r="D176" s="26">
        <f>'Scan to Sheets'!D176</f>
        <v>0</v>
      </c>
      <c r="E176" s="27" t="str">
        <f>IFERROR(VLOOKUP(C176,#REF!, 2, FALSE), "NO ENCONTRADO")</f>
        <v>NO ENCONTRADO</v>
      </c>
      <c r="F176" s="27" t="str">
        <f>IFERROR(VLOOKUP(C176,#REF!, 3, FALSE), "NO ENCONTRADO")</f>
        <v>NO ENCONTRADO</v>
      </c>
      <c r="G176" s="27" t="str">
        <f>IFERROR(VLOOKUP(C176,#REF!, 4, FALSE), "NO ENCONTRADO")</f>
        <v>NO ENCONTRADO</v>
      </c>
      <c r="H176" s="27" t="str">
        <f>IFERROR(VLOOKUP(C176,#REF!, 5, FALSE), "NO ENCONTRADO")</f>
        <v>NO ENCONTRADO</v>
      </c>
      <c r="I176" s="14"/>
      <c r="J176" s="27"/>
      <c r="K176" s="41"/>
      <c r="L176" s="14"/>
      <c r="M176" s="30">
        <f t="shared" ca="1" si="0"/>
        <v>46026</v>
      </c>
      <c r="N176" s="31" t="str">
        <f t="shared" ca="1" si="1"/>
        <v>✅</v>
      </c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spans="1:28" ht="13" x14ac:dyDescent="0.15">
      <c r="A177" s="33">
        <f>'Scan to Sheets'!A177</f>
        <v>0</v>
      </c>
      <c r="B177" s="35">
        <f>'Scan to Sheets'!B177</f>
        <v>0</v>
      </c>
      <c r="C177" s="35">
        <f>'Scan to Sheets'!C177</f>
        <v>0</v>
      </c>
      <c r="D177" s="35">
        <f>'Scan to Sheets'!D177</f>
        <v>0</v>
      </c>
      <c r="E177" s="36" t="str">
        <f>IFERROR(VLOOKUP(C177,#REF!, 2, FALSE), "NO ENCONTRADO")</f>
        <v>NO ENCONTRADO</v>
      </c>
      <c r="F177" s="36" t="str">
        <f>IFERROR(VLOOKUP(C177,#REF!, 3, FALSE), "NO ENCONTRADO")</f>
        <v>NO ENCONTRADO</v>
      </c>
      <c r="G177" s="36" t="str">
        <f>IFERROR(VLOOKUP(C177,#REF!, 4, FALSE), "NO ENCONTRADO")</f>
        <v>NO ENCONTRADO</v>
      </c>
      <c r="H177" s="36" t="str">
        <f>IFERROR(VLOOKUP(C177,#REF!, 5, FALSE), "NO ENCONTRADO")</f>
        <v>NO ENCONTRADO</v>
      </c>
      <c r="I177" s="15"/>
      <c r="J177" s="36"/>
      <c r="K177" s="42"/>
      <c r="L177" s="15"/>
      <c r="M177" s="39">
        <f t="shared" ca="1" si="0"/>
        <v>46026</v>
      </c>
      <c r="N177" s="40" t="str">
        <f t="shared" ca="1" si="1"/>
        <v>✅</v>
      </c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spans="1:28" ht="13" x14ac:dyDescent="0.15">
      <c r="A178" s="24">
        <f>'Scan to Sheets'!A178</f>
        <v>0</v>
      </c>
      <c r="B178" s="26">
        <f>'Scan to Sheets'!B178</f>
        <v>0</v>
      </c>
      <c r="C178" s="26">
        <f>'Scan to Sheets'!C178</f>
        <v>0</v>
      </c>
      <c r="D178" s="26">
        <f>'Scan to Sheets'!D178</f>
        <v>0</v>
      </c>
      <c r="E178" s="27" t="str">
        <f>IFERROR(VLOOKUP(C178,#REF!, 2, FALSE), "NO ENCONTRADO")</f>
        <v>NO ENCONTRADO</v>
      </c>
      <c r="F178" s="27" t="str">
        <f>IFERROR(VLOOKUP(C178,#REF!, 3, FALSE), "NO ENCONTRADO")</f>
        <v>NO ENCONTRADO</v>
      </c>
      <c r="G178" s="27" t="str">
        <f>IFERROR(VLOOKUP(C178,#REF!, 4, FALSE), "NO ENCONTRADO")</f>
        <v>NO ENCONTRADO</v>
      </c>
      <c r="H178" s="27" t="str">
        <f>IFERROR(VLOOKUP(C178,#REF!, 5, FALSE), "NO ENCONTRADO")</f>
        <v>NO ENCONTRADO</v>
      </c>
      <c r="I178" s="14"/>
      <c r="J178" s="27"/>
      <c r="K178" s="41"/>
      <c r="L178" s="14"/>
      <c r="M178" s="30">
        <f t="shared" ca="1" si="0"/>
        <v>46026</v>
      </c>
      <c r="N178" s="31" t="str">
        <f t="shared" ca="1" si="1"/>
        <v>✅</v>
      </c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spans="1:28" ht="13" x14ac:dyDescent="0.15">
      <c r="A179" s="33">
        <f>'Scan to Sheets'!A179</f>
        <v>0</v>
      </c>
      <c r="B179" s="35">
        <f>'Scan to Sheets'!B179</f>
        <v>0</v>
      </c>
      <c r="C179" s="35">
        <f>'Scan to Sheets'!C179</f>
        <v>0</v>
      </c>
      <c r="D179" s="35">
        <f>'Scan to Sheets'!D179</f>
        <v>0</v>
      </c>
      <c r="E179" s="36" t="str">
        <f>IFERROR(VLOOKUP(C179,#REF!, 2, FALSE), "NO ENCONTRADO")</f>
        <v>NO ENCONTRADO</v>
      </c>
      <c r="F179" s="36" t="str">
        <f>IFERROR(VLOOKUP(C179,#REF!, 3, FALSE), "NO ENCONTRADO")</f>
        <v>NO ENCONTRADO</v>
      </c>
      <c r="G179" s="36" t="str">
        <f>IFERROR(VLOOKUP(C179,#REF!, 4, FALSE), "NO ENCONTRADO")</f>
        <v>NO ENCONTRADO</v>
      </c>
      <c r="H179" s="36" t="str">
        <f>IFERROR(VLOOKUP(C179,#REF!, 5, FALSE), "NO ENCONTRADO")</f>
        <v>NO ENCONTRADO</v>
      </c>
      <c r="I179" s="15"/>
      <c r="J179" s="36"/>
      <c r="K179" s="42"/>
      <c r="L179" s="15"/>
      <c r="M179" s="39">
        <f t="shared" ca="1" si="0"/>
        <v>46026</v>
      </c>
      <c r="N179" s="40" t="str">
        <f t="shared" ca="1" si="1"/>
        <v>✅</v>
      </c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spans="1:28" ht="13" x14ac:dyDescent="0.15">
      <c r="A180" s="24">
        <f>'Scan to Sheets'!A180</f>
        <v>0</v>
      </c>
      <c r="B180" s="26">
        <f>'Scan to Sheets'!B180</f>
        <v>0</v>
      </c>
      <c r="C180" s="26">
        <f>'Scan to Sheets'!C180</f>
        <v>0</v>
      </c>
      <c r="D180" s="26">
        <f>'Scan to Sheets'!D180</f>
        <v>0</v>
      </c>
      <c r="E180" s="27" t="str">
        <f>IFERROR(VLOOKUP(C180,#REF!, 2, FALSE), "NO ENCONTRADO")</f>
        <v>NO ENCONTRADO</v>
      </c>
      <c r="F180" s="27" t="str">
        <f>IFERROR(VLOOKUP(C180,#REF!, 3, FALSE), "NO ENCONTRADO")</f>
        <v>NO ENCONTRADO</v>
      </c>
      <c r="G180" s="27" t="str">
        <f>IFERROR(VLOOKUP(C180,#REF!, 4, FALSE), "NO ENCONTRADO")</f>
        <v>NO ENCONTRADO</v>
      </c>
      <c r="H180" s="27" t="str">
        <f>IFERROR(VLOOKUP(C180,#REF!, 5, FALSE), "NO ENCONTRADO")</f>
        <v>NO ENCONTRADO</v>
      </c>
      <c r="I180" s="14"/>
      <c r="J180" s="27"/>
      <c r="K180" s="41"/>
      <c r="L180" s="14"/>
      <c r="M180" s="30">
        <f t="shared" ca="1" si="0"/>
        <v>46026</v>
      </c>
      <c r="N180" s="31" t="str">
        <f t="shared" ca="1" si="1"/>
        <v>✅</v>
      </c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spans="1:28" ht="13" x14ac:dyDescent="0.15">
      <c r="A181" s="33">
        <f>'Scan to Sheets'!A181</f>
        <v>0</v>
      </c>
      <c r="B181" s="35">
        <f>'Scan to Sheets'!B181</f>
        <v>0</v>
      </c>
      <c r="C181" s="35">
        <f>'Scan to Sheets'!C181</f>
        <v>0</v>
      </c>
      <c r="D181" s="35">
        <f>'Scan to Sheets'!D181</f>
        <v>0</v>
      </c>
      <c r="E181" s="36" t="str">
        <f>IFERROR(VLOOKUP(C181,#REF!, 2, FALSE), "NO ENCONTRADO")</f>
        <v>NO ENCONTRADO</v>
      </c>
      <c r="F181" s="36" t="str">
        <f>IFERROR(VLOOKUP(C181,#REF!, 3, FALSE), "NO ENCONTRADO")</f>
        <v>NO ENCONTRADO</v>
      </c>
      <c r="G181" s="36" t="str">
        <f>IFERROR(VLOOKUP(C181,#REF!, 4, FALSE), "NO ENCONTRADO")</f>
        <v>NO ENCONTRADO</v>
      </c>
      <c r="H181" s="36" t="str">
        <f>IFERROR(VLOOKUP(C181,#REF!, 5, FALSE), "NO ENCONTRADO")</f>
        <v>NO ENCONTRADO</v>
      </c>
      <c r="I181" s="15"/>
      <c r="J181" s="36"/>
      <c r="K181" s="42"/>
      <c r="L181" s="15"/>
      <c r="M181" s="39">
        <f t="shared" ca="1" si="0"/>
        <v>46026</v>
      </c>
      <c r="N181" s="40" t="str">
        <f t="shared" ca="1" si="1"/>
        <v>✅</v>
      </c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spans="1:28" ht="13" x14ac:dyDescent="0.15">
      <c r="A182" s="24">
        <f>'Scan to Sheets'!A182</f>
        <v>0</v>
      </c>
      <c r="B182" s="26">
        <f>'Scan to Sheets'!B182</f>
        <v>0</v>
      </c>
      <c r="C182" s="26">
        <f>'Scan to Sheets'!C182</f>
        <v>0</v>
      </c>
      <c r="D182" s="26">
        <f>'Scan to Sheets'!D182</f>
        <v>0</v>
      </c>
      <c r="E182" s="27" t="str">
        <f>IFERROR(VLOOKUP(C182,#REF!, 2, FALSE), "NO ENCONTRADO")</f>
        <v>NO ENCONTRADO</v>
      </c>
      <c r="F182" s="27" t="str">
        <f>IFERROR(VLOOKUP(C182,#REF!, 3, FALSE), "NO ENCONTRADO")</f>
        <v>NO ENCONTRADO</v>
      </c>
      <c r="G182" s="27" t="str">
        <f>IFERROR(VLOOKUP(C182,#REF!, 4, FALSE), "NO ENCONTRADO")</f>
        <v>NO ENCONTRADO</v>
      </c>
      <c r="H182" s="27" t="str">
        <f>IFERROR(VLOOKUP(C182,#REF!, 5, FALSE), "NO ENCONTRADO")</f>
        <v>NO ENCONTRADO</v>
      </c>
      <c r="I182" s="14"/>
      <c r="J182" s="27"/>
      <c r="K182" s="41"/>
      <c r="L182" s="14"/>
      <c r="M182" s="30">
        <f t="shared" ca="1" si="0"/>
        <v>46026</v>
      </c>
      <c r="N182" s="31" t="str">
        <f t="shared" ca="1" si="1"/>
        <v>✅</v>
      </c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spans="1:28" ht="13" x14ac:dyDescent="0.15">
      <c r="A183" s="33">
        <f>'Scan to Sheets'!A183</f>
        <v>0</v>
      </c>
      <c r="B183" s="35">
        <f>'Scan to Sheets'!B183</f>
        <v>0</v>
      </c>
      <c r="C183" s="35">
        <f>'Scan to Sheets'!C183</f>
        <v>0</v>
      </c>
      <c r="D183" s="35">
        <f>'Scan to Sheets'!D183</f>
        <v>0</v>
      </c>
      <c r="E183" s="36" t="str">
        <f>IFERROR(VLOOKUP(C183,#REF!, 2, FALSE), "NO ENCONTRADO")</f>
        <v>NO ENCONTRADO</v>
      </c>
      <c r="F183" s="36" t="str">
        <f>IFERROR(VLOOKUP(C183,#REF!, 3, FALSE), "NO ENCONTRADO")</f>
        <v>NO ENCONTRADO</v>
      </c>
      <c r="G183" s="36" t="str">
        <f>IFERROR(VLOOKUP(C183,#REF!, 4, FALSE), "NO ENCONTRADO")</f>
        <v>NO ENCONTRADO</v>
      </c>
      <c r="H183" s="36" t="str">
        <f>IFERROR(VLOOKUP(C183,#REF!, 5, FALSE), "NO ENCONTRADO")</f>
        <v>NO ENCONTRADO</v>
      </c>
      <c r="I183" s="15"/>
      <c r="J183" s="36"/>
      <c r="K183" s="42"/>
      <c r="L183" s="15"/>
      <c r="M183" s="39">
        <f t="shared" ca="1" si="0"/>
        <v>46026</v>
      </c>
      <c r="N183" s="40" t="str">
        <f t="shared" ca="1" si="1"/>
        <v>✅</v>
      </c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spans="1:28" ht="13" x14ac:dyDescent="0.15">
      <c r="A184" s="24">
        <f>'Scan to Sheets'!A184</f>
        <v>0</v>
      </c>
      <c r="B184" s="26">
        <f>'Scan to Sheets'!B184</f>
        <v>0</v>
      </c>
      <c r="C184" s="26">
        <f>'Scan to Sheets'!C184</f>
        <v>0</v>
      </c>
      <c r="D184" s="26">
        <f>'Scan to Sheets'!D184</f>
        <v>0</v>
      </c>
      <c r="E184" s="27" t="str">
        <f>IFERROR(VLOOKUP(C184,#REF!, 2, FALSE), "NO ENCONTRADO")</f>
        <v>NO ENCONTRADO</v>
      </c>
      <c r="F184" s="27" t="str">
        <f>IFERROR(VLOOKUP(C184,#REF!, 3, FALSE), "NO ENCONTRADO")</f>
        <v>NO ENCONTRADO</v>
      </c>
      <c r="G184" s="27" t="str">
        <f>IFERROR(VLOOKUP(C184,#REF!, 4, FALSE), "NO ENCONTRADO")</f>
        <v>NO ENCONTRADO</v>
      </c>
      <c r="H184" s="27" t="str">
        <f>IFERROR(VLOOKUP(C184,#REF!, 5, FALSE), "NO ENCONTRADO")</f>
        <v>NO ENCONTRADO</v>
      </c>
      <c r="I184" s="14"/>
      <c r="J184" s="27"/>
      <c r="K184" s="41"/>
      <c r="L184" s="14"/>
      <c r="M184" s="30">
        <f t="shared" ca="1" si="0"/>
        <v>46026</v>
      </c>
      <c r="N184" s="31" t="str">
        <f t="shared" ca="1" si="1"/>
        <v>✅</v>
      </c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spans="1:28" ht="13" x14ac:dyDescent="0.15">
      <c r="A185" s="33">
        <f>'Scan to Sheets'!A185</f>
        <v>0</v>
      </c>
      <c r="B185" s="35">
        <f>'Scan to Sheets'!B185</f>
        <v>0</v>
      </c>
      <c r="C185" s="35">
        <f>'Scan to Sheets'!C185</f>
        <v>0</v>
      </c>
      <c r="D185" s="35">
        <f>'Scan to Sheets'!D185</f>
        <v>0</v>
      </c>
      <c r="E185" s="36" t="str">
        <f>IFERROR(VLOOKUP(C185,#REF!, 2, FALSE), "NO ENCONTRADO")</f>
        <v>NO ENCONTRADO</v>
      </c>
      <c r="F185" s="36" t="str">
        <f>IFERROR(VLOOKUP(C185,#REF!, 3, FALSE), "NO ENCONTRADO")</f>
        <v>NO ENCONTRADO</v>
      </c>
      <c r="G185" s="36" t="str">
        <f>IFERROR(VLOOKUP(C185,#REF!, 4, FALSE), "NO ENCONTRADO")</f>
        <v>NO ENCONTRADO</v>
      </c>
      <c r="H185" s="36" t="str">
        <f>IFERROR(VLOOKUP(C185,#REF!, 5, FALSE), "NO ENCONTRADO")</f>
        <v>NO ENCONTRADO</v>
      </c>
      <c r="I185" s="15"/>
      <c r="J185" s="36"/>
      <c r="K185" s="42"/>
      <c r="L185" s="15"/>
      <c r="M185" s="39">
        <f t="shared" ca="1" si="0"/>
        <v>46026</v>
      </c>
      <c r="N185" s="40" t="str">
        <f t="shared" ca="1" si="1"/>
        <v>✅</v>
      </c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spans="1:28" ht="13" x14ac:dyDescent="0.15">
      <c r="A186" s="24">
        <f>'Scan to Sheets'!A186</f>
        <v>0</v>
      </c>
      <c r="B186" s="26">
        <f>'Scan to Sheets'!B186</f>
        <v>0</v>
      </c>
      <c r="C186" s="26">
        <f>'Scan to Sheets'!C186</f>
        <v>0</v>
      </c>
      <c r="D186" s="26">
        <f>'Scan to Sheets'!D186</f>
        <v>0</v>
      </c>
      <c r="E186" s="27" t="str">
        <f>IFERROR(VLOOKUP(C186,#REF!, 2, FALSE), "NO ENCONTRADO")</f>
        <v>NO ENCONTRADO</v>
      </c>
      <c r="F186" s="27" t="str">
        <f>IFERROR(VLOOKUP(C186,#REF!, 3, FALSE), "NO ENCONTRADO")</f>
        <v>NO ENCONTRADO</v>
      </c>
      <c r="G186" s="27" t="str">
        <f>IFERROR(VLOOKUP(C186,#REF!, 4, FALSE), "NO ENCONTRADO")</f>
        <v>NO ENCONTRADO</v>
      </c>
      <c r="H186" s="27" t="str">
        <f>IFERROR(VLOOKUP(C186,#REF!, 5, FALSE), "NO ENCONTRADO")</f>
        <v>NO ENCONTRADO</v>
      </c>
      <c r="I186" s="14"/>
      <c r="J186" s="27"/>
      <c r="K186" s="41"/>
      <c r="L186" s="14"/>
      <c r="M186" s="30">
        <f t="shared" ca="1" si="0"/>
        <v>46026</v>
      </c>
      <c r="N186" s="31" t="str">
        <f t="shared" ca="1" si="1"/>
        <v>✅</v>
      </c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spans="1:28" ht="13" x14ac:dyDescent="0.15">
      <c r="A187" s="33">
        <f>'Scan to Sheets'!A187</f>
        <v>0</v>
      </c>
      <c r="B187" s="35">
        <f>'Scan to Sheets'!B187</f>
        <v>0</v>
      </c>
      <c r="C187" s="35">
        <f>'Scan to Sheets'!C187</f>
        <v>0</v>
      </c>
      <c r="D187" s="35">
        <f>'Scan to Sheets'!D187</f>
        <v>0</v>
      </c>
      <c r="E187" s="36" t="str">
        <f>IFERROR(VLOOKUP(C187,#REF!, 2, FALSE), "NO ENCONTRADO")</f>
        <v>NO ENCONTRADO</v>
      </c>
      <c r="F187" s="36" t="str">
        <f>IFERROR(VLOOKUP(C187,#REF!, 3, FALSE), "NO ENCONTRADO")</f>
        <v>NO ENCONTRADO</v>
      </c>
      <c r="G187" s="36" t="str">
        <f>IFERROR(VLOOKUP(C187,#REF!, 4, FALSE), "NO ENCONTRADO")</f>
        <v>NO ENCONTRADO</v>
      </c>
      <c r="H187" s="36" t="str">
        <f>IFERROR(VLOOKUP(C187,#REF!, 5, FALSE), "NO ENCONTRADO")</f>
        <v>NO ENCONTRADO</v>
      </c>
      <c r="I187" s="15"/>
      <c r="J187" s="36"/>
      <c r="K187" s="42"/>
      <c r="L187" s="15"/>
      <c r="M187" s="39">
        <f t="shared" ca="1" si="0"/>
        <v>46026</v>
      </c>
      <c r="N187" s="40" t="str">
        <f t="shared" ca="1" si="1"/>
        <v>✅</v>
      </c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spans="1:28" ht="13" x14ac:dyDescent="0.15">
      <c r="A188" s="24">
        <f>'Scan to Sheets'!A188</f>
        <v>0</v>
      </c>
      <c r="B188" s="26">
        <f>'Scan to Sheets'!B188</f>
        <v>0</v>
      </c>
      <c r="C188" s="26">
        <f>'Scan to Sheets'!C188</f>
        <v>0</v>
      </c>
      <c r="D188" s="26">
        <f>'Scan to Sheets'!D188</f>
        <v>0</v>
      </c>
      <c r="E188" s="27" t="str">
        <f>IFERROR(VLOOKUP(C188,#REF!, 2, FALSE), "NO ENCONTRADO")</f>
        <v>NO ENCONTRADO</v>
      </c>
      <c r="F188" s="27" t="str">
        <f>IFERROR(VLOOKUP(C188,#REF!, 3, FALSE), "NO ENCONTRADO")</f>
        <v>NO ENCONTRADO</v>
      </c>
      <c r="G188" s="27" t="str">
        <f>IFERROR(VLOOKUP(C188,#REF!, 4, FALSE), "NO ENCONTRADO")</f>
        <v>NO ENCONTRADO</v>
      </c>
      <c r="H188" s="27" t="str">
        <f>IFERROR(VLOOKUP(C188,#REF!, 5, FALSE), "NO ENCONTRADO")</f>
        <v>NO ENCONTRADO</v>
      </c>
      <c r="I188" s="14"/>
      <c r="J188" s="27"/>
      <c r="K188" s="41"/>
      <c r="L188" s="14"/>
      <c r="M188" s="30">
        <f t="shared" ca="1" si="0"/>
        <v>46026</v>
      </c>
      <c r="N188" s="31" t="str">
        <f t="shared" ca="1" si="1"/>
        <v>✅</v>
      </c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spans="1:28" ht="13" x14ac:dyDescent="0.15">
      <c r="A189" s="33">
        <f>'Scan to Sheets'!A189</f>
        <v>0</v>
      </c>
      <c r="B189" s="35">
        <f>'Scan to Sheets'!B189</f>
        <v>0</v>
      </c>
      <c r="C189" s="35">
        <f>'Scan to Sheets'!C189</f>
        <v>0</v>
      </c>
      <c r="D189" s="35">
        <f>'Scan to Sheets'!D189</f>
        <v>0</v>
      </c>
      <c r="E189" s="36" t="str">
        <f>IFERROR(VLOOKUP(C189,#REF!, 2, FALSE), "NO ENCONTRADO")</f>
        <v>NO ENCONTRADO</v>
      </c>
      <c r="F189" s="36" t="str">
        <f>IFERROR(VLOOKUP(C189,#REF!, 3, FALSE), "NO ENCONTRADO")</f>
        <v>NO ENCONTRADO</v>
      </c>
      <c r="G189" s="36" t="str">
        <f>IFERROR(VLOOKUP(C189,#REF!, 4, FALSE), "NO ENCONTRADO")</f>
        <v>NO ENCONTRADO</v>
      </c>
      <c r="H189" s="36" t="str">
        <f>IFERROR(VLOOKUP(C189,#REF!, 5, FALSE), "NO ENCONTRADO")</f>
        <v>NO ENCONTRADO</v>
      </c>
      <c r="I189" s="15"/>
      <c r="J189" s="36"/>
      <c r="K189" s="42"/>
      <c r="L189" s="15"/>
      <c r="M189" s="39">
        <f t="shared" ca="1" si="0"/>
        <v>46026</v>
      </c>
      <c r="N189" s="40" t="str">
        <f t="shared" ca="1" si="1"/>
        <v>✅</v>
      </c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spans="1:28" ht="13" x14ac:dyDescent="0.15">
      <c r="A190" s="24">
        <f>'Scan to Sheets'!A190</f>
        <v>0</v>
      </c>
      <c r="B190" s="26">
        <f>'Scan to Sheets'!B190</f>
        <v>0</v>
      </c>
      <c r="C190" s="26">
        <f>'Scan to Sheets'!C190</f>
        <v>0</v>
      </c>
      <c r="D190" s="26">
        <f>'Scan to Sheets'!D190</f>
        <v>0</v>
      </c>
      <c r="E190" s="27" t="str">
        <f>IFERROR(VLOOKUP(C190,#REF!, 2, FALSE), "NO ENCONTRADO")</f>
        <v>NO ENCONTRADO</v>
      </c>
      <c r="F190" s="27" t="str">
        <f>IFERROR(VLOOKUP(C190,#REF!, 3, FALSE), "NO ENCONTRADO")</f>
        <v>NO ENCONTRADO</v>
      </c>
      <c r="G190" s="27" t="str">
        <f>IFERROR(VLOOKUP(C190,#REF!, 4, FALSE), "NO ENCONTRADO")</f>
        <v>NO ENCONTRADO</v>
      </c>
      <c r="H190" s="27" t="str">
        <f>IFERROR(VLOOKUP(C190,#REF!, 5, FALSE), "NO ENCONTRADO")</f>
        <v>NO ENCONTRADO</v>
      </c>
      <c r="I190" s="14"/>
      <c r="J190" s="27"/>
      <c r="K190" s="41"/>
      <c r="L190" s="14"/>
      <c r="M190" s="30">
        <f t="shared" ca="1" si="0"/>
        <v>46026</v>
      </c>
      <c r="N190" s="31" t="str">
        <f t="shared" ca="1" si="1"/>
        <v>✅</v>
      </c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spans="1:28" ht="13" x14ac:dyDescent="0.15">
      <c r="A191" s="33">
        <f>'Scan to Sheets'!A191</f>
        <v>0</v>
      </c>
      <c r="B191" s="35">
        <f>'Scan to Sheets'!B191</f>
        <v>0</v>
      </c>
      <c r="C191" s="35">
        <f>'Scan to Sheets'!C191</f>
        <v>0</v>
      </c>
      <c r="D191" s="35">
        <f>'Scan to Sheets'!D191</f>
        <v>0</v>
      </c>
      <c r="E191" s="36" t="str">
        <f>IFERROR(VLOOKUP(C191,#REF!, 2, FALSE), "NO ENCONTRADO")</f>
        <v>NO ENCONTRADO</v>
      </c>
      <c r="F191" s="36" t="str">
        <f>IFERROR(VLOOKUP(C191,#REF!, 3, FALSE), "NO ENCONTRADO")</f>
        <v>NO ENCONTRADO</v>
      </c>
      <c r="G191" s="36" t="str">
        <f>IFERROR(VLOOKUP(C191,#REF!, 4, FALSE), "NO ENCONTRADO")</f>
        <v>NO ENCONTRADO</v>
      </c>
      <c r="H191" s="36" t="str">
        <f>IFERROR(VLOOKUP(C191,#REF!, 5, FALSE), "NO ENCONTRADO")</f>
        <v>NO ENCONTRADO</v>
      </c>
      <c r="I191" s="15"/>
      <c r="J191" s="36"/>
      <c r="K191" s="42"/>
      <c r="L191" s="15"/>
      <c r="M191" s="39">
        <f t="shared" ca="1" si="0"/>
        <v>46026</v>
      </c>
      <c r="N191" s="40" t="str">
        <f t="shared" ca="1" si="1"/>
        <v>✅</v>
      </c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 spans="1:28" ht="13" x14ac:dyDescent="0.15">
      <c r="A192" s="24">
        <f>'Scan to Sheets'!A192</f>
        <v>0</v>
      </c>
      <c r="B192" s="26">
        <f>'Scan to Sheets'!B192</f>
        <v>0</v>
      </c>
      <c r="C192" s="26">
        <f>'Scan to Sheets'!C192</f>
        <v>0</v>
      </c>
      <c r="D192" s="26">
        <f>'Scan to Sheets'!D192</f>
        <v>0</v>
      </c>
      <c r="E192" s="27" t="str">
        <f>IFERROR(VLOOKUP(C192,#REF!, 2, FALSE), "NO ENCONTRADO")</f>
        <v>NO ENCONTRADO</v>
      </c>
      <c r="F192" s="27" t="str">
        <f>IFERROR(VLOOKUP(C192,#REF!, 3, FALSE), "NO ENCONTRADO")</f>
        <v>NO ENCONTRADO</v>
      </c>
      <c r="G192" s="27" t="str">
        <f>IFERROR(VLOOKUP(C192,#REF!, 4, FALSE), "NO ENCONTRADO")</f>
        <v>NO ENCONTRADO</v>
      </c>
      <c r="H192" s="27" t="str">
        <f>IFERROR(VLOOKUP(C192,#REF!, 5, FALSE), "NO ENCONTRADO")</f>
        <v>NO ENCONTRADO</v>
      </c>
      <c r="I192" s="14"/>
      <c r="J192" s="27"/>
      <c r="K192" s="41"/>
      <c r="L192" s="14"/>
      <c r="M192" s="30">
        <f t="shared" ca="1" si="0"/>
        <v>46026</v>
      </c>
      <c r="N192" s="31" t="str">
        <f t="shared" ca="1" si="1"/>
        <v>✅</v>
      </c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 spans="1:28" ht="13" x14ac:dyDescent="0.15">
      <c r="A193" s="33">
        <f>'Scan to Sheets'!A193</f>
        <v>0</v>
      </c>
      <c r="B193" s="35">
        <f>'Scan to Sheets'!B193</f>
        <v>0</v>
      </c>
      <c r="C193" s="35">
        <f>'Scan to Sheets'!C193</f>
        <v>0</v>
      </c>
      <c r="D193" s="35">
        <f>'Scan to Sheets'!D193</f>
        <v>0</v>
      </c>
      <c r="E193" s="36" t="str">
        <f>IFERROR(VLOOKUP(C193,#REF!, 2, FALSE), "NO ENCONTRADO")</f>
        <v>NO ENCONTRADO</v>
      </c>
      <c r="F193" s="36" t="str">
        <f>IFERROR(VLOOKUP(C193,#REF!, 3, FALSE), "NO ENCONTRADO")</f>
        <v>NO ENCONTRADO</v>
      </c>
      <c r="G193" s="36" t="str">
        <f>IFERROR(VLOOKUP(C193,#REF!, 4, FALSE), "NO ENCONTRADO")</f>
        <v>NO ENCONTRADO</v>
      </c>
      <c r="H193" s="36" t="str">
        <f>IFERROR(VLOOKUP(C193,#REF!, 5, FALSE), "NO ENCONTRADO")</f>
        <v>NO ENCONTRADO</v>
      </c>
      <c r="I193" s="15"/>
      <c r="J193" s="36"/>
      <c r="K193" s="42"/>
      <c r="L193" s="15"/>
      <c r="M193" s="39">
        <f t="shared" ca="1" si="0"/>
        <v>46026</v>
      </c>
      <c r="N193" s="40" t="str">
        <f t="shared" ca="1" si="1"/>
        <v>✅</v>
      </c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 spans="1:28" ht="13" x14ac:dyDescent="0.15">
      <c r="A194" s="24">
        <f>'Scan to Sheets'!A194</f>
        <v>0</v>
      </c>
      <c r="B194" s="26">
        <f>'Scan to Sheets'!B194</f>
        <v>0</v>
      </c>
      <c r="C194" s="26">
        <f>'Scan to Sheets'!C194</f>
        <v>0</v>
      </c>
      <c r="D194" s="26">
        <f>'Scan to Sheets'!D194</f>
        <v>0</v>
      </c>
      <c r="E194" s="27" t="str">
        <f>IFERROR(VLOOKUP(C194,#REF!, 2, FALSE), "NO ENCONTRADO")</f>
        <v>NO ENCONTRADO</v>
      </c>
      <c r="F194" s="27" t="str">
        <f>IFERROR(VLOOKUP(C194,#REF!, 3, FALSE), "NO ENCONTRADO")</f>
        <v>NO ENCONTRADO</v>
      </c>
      <c r="G194" s="27" t="str">
        <f>IFERROR(VLOOKUP(C194,#REF!, 4, FALSE), "NO ENCONTRADO")</f>
        <v>NO ENCONTRADO</v>
      </c>
      <c r="H194" s="27" t="str">
        <f>IFERROR(VLOOKUP(C194,#REF!, 5, FALSE), "NO ENCONTRADO")</f>
        <v>NO ENCONTRADO</v>
      </c>
      <c r="I194" s="14"/>
      <c r="J194" s="27"/>
      <c r="K194" s="41"/>
      <c r="L194" s="14"/>
      <c r="M194" s="30">
        <f t="shared" ca="1" si="0"/>
        <v>46026</v>
      </c>
      <c r="N194" s="31" t="str">
        <f t="shared" ca="1" si="1"/>
        <v>✅</v>
      </c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 spans="1:28" ht="13" x14ac:dyDescent="0.15">
      <c r="A195" s="33">
        <f>'Scan to Sheets'!A195</f>
        <v>0</v>
      </c>
      <c r="B195" s="35">
        <f>'Scan to Sheets'!B195</f>
        <v>0</v>
      </c>
      <c r="C195" s="35">
        <f>'Scan to Sheets'!C195</f>
        <v>0</v>
      </c>
      <c r="D195" s="35">
        <f>'Scan to Sheets'!D195</f>
        <v>0</v>
      </c>
      <c r="E195" s="36" t="str">
        <f>IFERROR(VLOOKUP(C195,#REF!, 2, FALSE), "NO ENCONTRADO")</f>
        <v>NO ENCONTRADO</v>
      </c>
      <c r="F195" s="36" t="str">
        <f>IFERROR(VLOOKUP(C195,#REF!, 3, FALSE), "NO ENCONTRADO")</f>
        <v>NO ENCONTRADO</v>
      </c>
      <c r="G195" s="36" t="str">
        <f>IFERROR(VLOOKUP(C195,#REF!, 4, FALSE), "NO ENCONTRADO")</f>
        <v>NO ENCONTRADO</v>
      </c>
      <c r="H195" s="36" t="str">
        <f>IFERROR(VLOOKUP(C195,#REF!, 5, FALSE), "NO ENCONTRADO")</f>
        <v>NO ENCONTRADO</v>
      </c>
      <c r="I195" s="15"/>
      <c r="J195" s="36"/>
      <c r="K195" s="42"/>
      <c r="L195" s="15"/>
      <c r="M195" s="39">
        <f t="shared" ca="1" si="0"/>
        <v>46026</v>
      </c>
      <c r="N195" s="40" t="str">
        <f t="shared" ca="1" si="1"/>
        <v>✅</v>
      </c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spans="1:28" ht="13" x14ac:dyDescent="0.15">
      <c r="A196" s="24">
        <f>'Scan to Sheets'!A196</f>
        <v>0</v>
      </c>
      <c r="B196" s="26">
        <f>'Scan to Sheets'!B196</f>
        <v>0</v>
      </c>
      <c r="C196" s="26">
        <f>'Scan to Sheets'!C196</f>
        <v>0</v>
      </c>
      <c r="D196" s="26">
        <f>'Scan to Sheets'!D196</f>
        <v>0</v>
      </c>
      <c r="E196" s="27" t="str">
        <f>IFERROR(VLOOKUP(C196,#REF!, 2, FALSE), "NO ENCONTRADO")</f>
        <v>NO ENCONTRADO</v>
      </c>
      <c r="F196" s="27" t="str">
        <f>IFERROR(VLOOKUP(C196,#REF!, 3, FALSE), "NO ENCONTRADO")</f>
        <v>NO ENCONTRADO</v>
      </c>
      <c r="G196" s="27" t="str">
        <f>IFERROR(VLOOKUP(C196,#REF!, 4, FALSE), "NO ENCONTRADO")</f>
        <v>NO ENCONTRADO</v>
      </c>
      <c r="H196" s="27" t="str">
        <f>IFERROR(VLOOKUP(C196,#REF!, 5, FALSE), "NO ENCONTRADO")</f>
        <v>NO ENCONTRADO</v>
      </c>
      <c r="I196" s="14"/>
      <c r="J196" s="27"/>
      <c r="K196" s="41"/>
      <c r="L196" s="14"/>
      <c r="M196" s="30">
        <f t="shared" ca="1" si="0"/>
        <v>46026</v>
      </c>
      <c r="N196" s="31" t="str">
        <f t="shared" ca="1" si="1"/>
        <v>✅</v>
      </c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spans="1:28" ht="13" x14ac:dyDescent="0.15">
      <c r="A197" s="33">
        <f>'Scan to Sheets'!A197</f>
        <v>0</v>
      </c>
      <c r="B197" s="35">
        <f>'Scan to Sheets'!B197</f>
        <v>0</v>
      </c>
      <c r="C197" s="35">
        <f>'Scan to Sheets'!C197</f>
        <v>0</v>
      </c>
      <c r="D197" s="35">
        <f>'Scan to Sheets'!D197</f>
        <v>0</v>
      </c>
      <c r="E197" s="36" t="str">
        <f>IFERROR(VLOOKUP(C197,#REF!, 2, FALSE), "NO ENCONTRADO")</f>
        <v>NO ENCONTRADO</v>
      </c>
      <c r="F197" s="36" t="str">
        <f>IFERROR(VLOOKUP(C197,#REF!, 3, FALSE), "NO ENCONTRADO")</f>
        <v>NO ENCONTRADO</v>
      </c>
      <c r="G197" s="36" t="str">
        <f>IFERROR(VLOOKUP(C197,#REF!, 4, FALSE), "NO ENCONTRADO")</f>
        <v>NO ENCONTRADO</v>
      </c>
      <c r="H197" s="36" t="str">
        <f>IFERROR(VLOOKUP(C197,#REF!, 5, FALSE), "NO ENCONTRADO")</f>
        <v>NO ENCONTRADO</v>
      </c>
      <c r="I197" s="15"/>
      <c r="J197" s="36"/>
      <c r="K197" s="42"/>
      <c r="L197" s="15"/>
      <c r="M197" s="39">
        <f t="shared" ca="1" si="0"/>
        <v>46026</v>
      </c>
      <c r="N197" s="40" t="str">
        <f t="shared" ca="1" si="1"/>
        <v>✅</v>
      </c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spans="1:28" ht="13" x14ac:dyDescent="0.15">
      <c r="A198" s="24">
        <f>'Scan to Sheets'!A198</f>
        <v>0</v>
      </c>
      <c r="B198" s="26">
        <f>'Scan to Sheets'!B198</f>
        <v>0</v>
      </c>
      <c r="C198" s="26">
        <f>'Scan to Sheets'!C198</f>
        <v>0</v>
      </c>
      <c r="D198" s="26">
        <f>'Scan to Sheets'!D198</f>
        <v>0</v>
      </c>
      <c r="E198" s="27" t="str">
        <f>IFERROR(VLOOKUP(C198,#REF!, 2, FALSE), "NO ENCONTRADO")</f>
        <v>NO ENCONTRADO</v>
      </c>
      <c r="F198" s="27" t="str">
        <f>IFERROR(VLOOKUP(C198,#REF!, 3, FALSE), "NO ENCONTRADO")</f>
        <v>NO ENCONTRADO</v>
      </c>
      <c r="G198" s="27" t="str">
        <f>IFERROR(VLOOKUP(C198,#REF!, 4, FALSE), "NO ENCONTRADO")</f>
        <v>NO ENCONTRADO</v>
      </c>
      <c r="H198" s="27" t="str">
        <f>IFERROR(VLOOKUP(C198,#REF!, 5, FALSE), "NO ENCONTRADO")</f>
        <v>NO ENCONTRADO</v>
      </c>
      <c r="I198" s="14"/>
      <c r="J198" s="27"/>
      <c r="K198" s="41"/>
      <c r="L198" s="14"/>
      <c r="M198" s="30">
        <f t="shared" ca="1" si="0"/>
        <v>46026</v>
      </c>
      <c r="N198" s="31" t="str">
        <f t="shared" ca="1" si="1"/>
        <v>✅</v>
      </c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spans="1:28" ht="13" x14ac:dyDescent="0.15">
      <c r="A199" s="33">
        <f>'Scan to Sheets'!A199</f>
        <v>0</v>
      </c>
      <c r="B199" s="35">
        <f>'Scan to Sheets'!B199</f>
        <v>0</v>
      </c>
      <c r="C199" s="35">
        <f>'Scan to Sheets'!C199</f>
        <v>0</v>
      </c>
      <c r="D199" s="35">
        <f>'Scan to Sheets'!D199</f>
        <v>0</v>
      </c>
      <c r="E199" s="36" t="str">
        <f>IFERROR(VLOOKUP(C199,#REF!, 2, FALSE), "NO ENCONTRADO")</f>
        <v>NO ENCONTRADO</v>
      </c>
      <c r="F199" s="36" t="str">
        <f>IFERROR(VLOOKUP(C199,#REF!, 3, FALSE), "NO ENCONTRADO")</f>
        <v>NO ENCONTRADO</v>
      </c>
      <c r="G199" s="36" t="str">
        <f>IFERROR(VLOOKUP(C199,#REF!, 4, FALSE), "NO ENCONTRADO")</f>
        <v>NO ENCONTRADO</v>
      </c>
      <c r="H199" s="36" t="str">
        <f>IFERROR(VLOOKUP(C199,#REF!, 5, FALSE), "NO ENCONTRADO")</f>
        <v>NO ENCONTRADO</v>
      </c>
      <c r="I199" s="15"/>
      <c r="J199" s="36"/>
      <c r="K199" s="42"/>
      <c r="L199" s="15"/>
      <c r="M199" s="39">
        <f t="shared" ca="1" si="0"/>
        <v>46026</v>
      </c>
      <c r="N199" s="40" t="str">
        <f t="shared" ca="1" si="1"/>
        <v>✅</v>
      </c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spans="1:28" ht="13" x14ac:dyDescent="0.15">
      <c r="A200" s="24">
        <f>'Scan to Sheets'!A200</f>
        <v>0</v>
      </c>
      <c r="B200" s="26">
        <f>'Scan to Sheets'!B200</f>
        <v>0</v>
      </c>
      <c r="C200" s="26">
        <f>'Scan to Sheets'!C200</f>
        <v>0</v>
      </c>
      <c r="D200" s="26">
        <f>'Scan to Sheets'!D200</f>
        <v>0</v>
      </c>
      <c r="E200" s="27" t="str">
        <f>IFERROR(VLOOKUP(C200,#REF!, 2, FALSE), "NO ENCONTRADO")</f>
        <v>NO ENCONTRADO</v>
      </c>
      <c r="F200" s="27" t="str">
        <f>IFERROR(VLOOKUP(C200,#REF!, 3, FALSE), "NO ENCONTRADO")</f>
        <v>NO ENCONTRADO</v>
      </c>
      <c r="G200" s="27" t="str">
        <f>IFERROR(VLOOKUP(C200,#REF!, 4, FALSE), "NO ENCONTRADO")</f>
        <v>NO ENCONTRADO</v>
      </c>
      <c r="H200" s="27" t="str">
        <f>IFERROR(VLOOKUP(C200,#REF!, 5, FALSE), "NO ENCONTRADO")</f>
        <v>NO ENCONTRADO</v>
      </c>
      <c r="I200" s="14"/>
      <c r="J200" s="27"/>
      <c r="K200" s="41"/>
      <c r="L200" s="14"/>
      <c r="M200" s="30">
        <f t="shared" ca="1" si="0"/>
        <v>46026</v>
      </c>
      <c r="N200" s="31" t="str">
        <f t="shared" ca="1" si="1"/>
        <v>✅</v>
      </c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spans="1:28" ht="13" x14ac:dyDescent="0.15">
      <c r="A201" s="33">
        <f>'Scan to Sheets'!A201</f>
        <v>0</v>
      </c>
      <c r="B201" s="35">
        <f>'Scan to Sheets'!B201</f>
        <v>0</v>
      </c>
      <c r="C201" s="35">
        <f>'Scan to Sheets'!C201</f>
        <v>0</v>
      </c>
      <c r="D201" s="35">
        <f>'Scan to Sheets'!D201</f>
        <v>0</v>
      </c>
      <c r="E201" s="36" t="str">
        <f>IFERROR(VLOOKUP(C201,#REF!, 2, FALSE), "NO ENCONTRADO")</f>
        <v>NO ENCONTRADO</v>
      </c>
      <c r="F201" s="36" t="str">
        <f>IFERROR(VLOOKUP(C201,#REF!, 3, FALSE), "NO ENCONTRADO")</f>
        <v>NO ENCONTRADO</v>
      </c>
      <c r="G201" s="36" t="str">
        <f>IFERROR(VLOOKUP(C201,#REF!, 4, FALSE), "NO ENCONTRADO")</f>
        <v>NO ENCONTRADO</v>
      </c>
      <c r="H201" s="36" t="str">
        <f>IFERROR(VLOOKUP(C201,#REF!, 5, FALSE), "NO ENCONTRADO")</f>
        <v>NO ENCONTRADO</v>
      </c>
      <c r="I201" s="15"/>
      <c r="J201" s="36"/>
      <c r="K201" s="42"/>
      <c r="L201" s="15"/>
      <c r="M201" s="39">
        <f t="shared" ca="1" si="0"/>
        <v>46026</v>
      </c>
      <c r="N201" s="40" t="str">
        <f t="shared" ca="1" si="1"/>
        <v>✅</v>
      </c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spans="1:28" ht="13" x14ac:dyDescent="0.15">
      <c r="A202" s="24">
        <f>'Scan to Sheets'!A202</f>
        <v>0</v>
      </c>
      <c r="B202" s="26">
        <f>'Scan to Sheets'!B202</f>
        <v>0</v>
      </c>
      <c r="C202" s="26">
        <f>'Scan to Sheets'!C202</f>
        <v>0</v>
      </c>
      <c r="D202" s="26">
        <f>'Scan to Sheets'!D202</f>
        <v>0</v>
      </c>
      <c r="E202" s="27" t="str">
        <f>IFERROR(VLOOKUP(C202,#REF!, 2, FALSE), "NO ENCONTRADO")</f>
        <v>NO ENCONTRADO</v>
      </c>
      <c r="F202" s="27" t="str">
        <f>IFERROR(VLOOKUP(C202,#REF!, 3, FALSE), "NO ENCONTRADO")</f>
        <v>NO ENCONTRADO</v>
      </c>
      <c r="G202" s="27" t="str">
        <f>IFERROR(VLOOKUP(C202,#REF!, 4, FALSE), "NO ENCONTRADO")</f>
        <v>NO ENCONTRADO</v>
      </c>
      <c r="H202" s="27" t="str">
        <f>IFERROR(VLOOKUP(C202,#REF!, 5, FALSE), "NO ENCONTRADO")</f>
        <v>NO ENCONTRADO</v>
      </c>
      <c r="I202" s="14"/>
      <c r="J202" s="27"/>
      <c r="K202" s="41"/>
      <c r="L202" s="14"/>
      <c r="M202" s="30">
        <f t="shared" ca="1" si="0"/>
        <v>46026</v>
      </c>
      <c r="N202" s="31" t="str">
        <f t="shared" ca="1" si="1"/>
        <v>✅</v>
      </c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spans="1:28" ht="13" x14ac:dyDescent="0.15">
      <c r="A203" s="33">
        <f>'Scan to Sheets'!A203</f>
        <v>0</v>
      </c>
      <c r="B203" s="35">
        <f>'Scan to Sheets'!B203</f>
        <v>0</v>
      </c>
      <c r="C203" s="35">
        <f>'Scan to Sheets'!C203</f>
        <v>0</v>
      </c>
      <c r="D203" s="35">
        <f>'Scan to Sheets'!D203</f>
        <v>0</v>
      </c>
      <c r="E203" s="36" t="str">
        <f>IFERROR(VLOOKUP(C203,#REF!, 2, FALSE), "NO ENCONTRADO")</f>
        <v>NO ENCONTRADO</v>
      </c>
      <c r="F203" s="36" t="str">
        <f>IFERROR(VLOOKUP(C203,#REF!, 3, FALSE), "NO ENCONTRADO")</f>
        <v>NO ENCONTRADO</v>
      </c>
      <c r="G203" s="36" t="str">
        <f>IFERROR(VLOOKUP(C203,#REF!, 4, FALSE), "NO ENCONTRADO")</f>
        <v>NO ENCONTRADO</v>
      </c>
      <c r="H203" s="36" t="str">
        <f>IFERROR(VLOOKUP(C203,#REF!, 5, FALSE), "NO ENCONTRADO")</f>
        <v>NO ENCONTRADO</v>
      </c>
      <c r="I203" s="15"/>
      <c r="J203" s="36"/>
      <c r="K203" s="42"/>
      <c r="L203" s="15"/>
      <c r="M203" s="39">
        <f t="shared" ca="1" si="0"/>
        <v>46026</v>
      </c>
      <c r="N203" s="40" t="str">
        <f t="shared" ca="1" si="1"/>
        <v>✅</v>
      </c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spans="1:28" ht="13" x14ac:dyDescent="0.15">
      <c r="A204" s="24">
        <f>'Scan to Sheets'!A204</f>
        <v>0</v>
      </c>
      <c r="B204" s="26">
        <f>'Scan to Sheets'!B204</f>
        <v>0</v>
      </c>
      <c r="C204" s="26">
        <f>'Scan to Sheets'!C204</f>
        <v>0</v>
      </c>
      <c r="D204" s="26">
        <f>'Scan to Sheets'!D204</f>
        <v>0</v>
      </c>
      <c r="E204" s="27" t="str">
        <f>IFERROR(VLOOKUP(C204,#REF!, 2, FALSE), "NO ENCONTRADO")</f>
        <v>NO ENCONTRADO</v>
      </c>
      <c r="F204" s="27" t="str">
        <f>IFERROR(VLOOKUP(C204,#REF!, 3, FALSE), "NO ENCONTRADO")</f>
        <v>NO ENCONTRADO</v>
      </c>
      <c r="G204" s="27" t="str">
        <f>IFERROR(VLOOKUP(C204,#REF!, 4, FALSE), "NO ENCONTRADO")</f>
        <v>NO ENCONTRADO</v>
      </c>
      <c r="H204" s="27" t="str">
        <f>IFERROR(VLOOKUP(C204,#REF!, 5, FALSE), "NO ENCONTRADO")</f>
        <v>NO ENCONTRADO</v>
      </c>
      <c r="I204" s="14"/>
      <c r="J204" s="27"/>
      <c r="K204" s="41"/>
      <c r="L204" s="14"/>
      <c r="M204" s="30">
        <f t="shared" ca="1" si="0"/>
        <v>46026</v>
      </c>
      <c r="N204" s="31" t="str">
        <f t="shared" ca="1" si="1"/>
        <v>✅</v>
      </c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spans="1:28" ht="13" x14ac:dyDescent="0.15">
      <c r="A205" s="33">
        <f>'Scan to Sheets'!A205</f>
        <v>0</v>
      </c>
      <c r="B205" s="35">
        <f>'Scan to Sheets'!B205</f>
        <v>0</v>
      </c>
      <c r="C205" s="35">
        <f>'Scan to Sheets'!C205</f>
        <v>0</v>
      </c>
      <c r="D205" s="35">
        <f>'Scan to Sheets'!D205</f>
        <v>0</v>
      </c>
      <c r="E205" s="36" t="str">
        <f>IFERROR(VLOOKUP(C205,#REF!, 2, FALSE), "NO ENCONTRADO")</f>
        <v>NO ENCONTRADO</v>
      </c>
      <c r="F205" s="36" t="str">
        <f>IFERROR(VLOOKUP(C205,#REF!, 3, FALSE), "NO ENCONTRADO")</f>
        <v>NO ENCONTRADO</v>
      </c>
      <c r="G205" s="36" t="str">
        <f>IFERROR(VLOOKUP(C205,#REF!, 4, FALSE), "NO ENCONTRADO")</f>
        <v>NO ENCONTRADO</v>
      </c>
      <c r="H205" s="36" t="str">
        <f>IFERROR(VLOOKUP(C205,#REF!, 5, FALSE), "NO ENCONTRADO")</f>
        <v>NO ENCONTRADO</v>
      </c>
      <c r="I205" s="15"/>
      <c r="J205" s="36"/>
      <c r="K205" s="42"/>
      <c r="L205" s="15"/>
      <c r="M205" s="39">
        <f t="shared" ca="1" si="0"/>
        <v>46026</v>
      </c>
      <c r="N205" s="40" t="str">
        <f t="shared" ca="1" si="1"/>
        <v>✅</v>
      </c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spans="1:28" ht="13" x14ac:dyDescent="0.15">
      <c r="A206" s="24">
        <f>'Scan to Sheets'!A206</f>
        <v>0</v>
      </c>
      <c r="B206" s="26">
        <f>'Scan to Sheets'!B206</f>
        <v>0</v>
      </c>
      <c r="C206" s="26">
        <f>'Scan to Sheets'!C206</f>
        <v>0</v>
      </c>
      <c r="D206" s="26">
        <f>'Scan to Sheets'!D206</f>
        <v>0</v>
      </c>
      <c r="E206" s="27" t="str">
        <f>IFERROR(VLOOKUP(C206,#REF!, 2, FALSE), "NO ENCONTRADO")</f>
        <v>NO ENCONTRADO</v>
      </c>
      <c r="F206" s="27" t="str">
        <f>IFERROR(VLOOKUP(C206,#REF!, 3, FALSE), "NO ENCONTRADO")</f>
        <v>NO ENCONTRADO</v>
      </c>
      <c r="G206" s="27" t="str">
        <f>IFERROR(VLOOKUP(C206,#REF!, 4, FALSE), "NO ENCONTRADO")</f>
        <v>NO ENCONTRADO</v>
      </c>
      <c r="H206" s="27" t="str">
        <f>IFERROR(VLOOKUP(C206,#REF!, 5, FALSE), "NO ENCONTRADO")</f>
        <v>NO ENCONTRADO</v>
      </c>
      <c r="I206" s="14"/>
      <c r="J206" s="27"/>
      <c r="K206" s="41"/>
      <c r="L206" s="14"/>
      <c r="M206" s="30">
        <f t="shared" ca="1" si="0"/>
        <v>46026</v>
      </c>
      <c r="N206" s="31" t="str">
        <f t="shared" ca="1" si="1"/>
        <v>✅</v>
      </c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 ht="13" x14ac:dyDescent="0.15">
      <c r="A207" s="33">
        <f>'Scan to Sheets'!A207</f>
        <v>0</v>
      </c>
      <c r="B207" s="35">
        <f>'Scan to Sheets'!B207</f>
        <v>0</v>
      </c>
      <c r="C207" s="35">
        <f>'Scan to Sheets'!C207</f>
        <v>0</v>
      </c>
      <c r="D207" s="35">
        <f>'Scan to Sheets'!D207</f>
        <v>0</v>
      </c>
      <c r="E207" s="36" t="str">
        <f>IFERROR(VLOOKUP(C207,#REF!, 2, FALSE), "NO ENCONTRADO")</f>
        <v>NO ENCONTRADO</v>
      </c>
      <c r="F207" s="36" t="str">
        <f>IFERROR(VLOOKUP(C207,#REF!, 3, FALSE), "NO ENCONTRADO")</f>
        <v>NO ENCONTRADO</v>
      </c>
      <c r="G207" s="36" t="str">
        <f>IFERROR(VLOOKUP(C207,#REF!, 4, FALSE), "NO ENCONTRADO")</f>
        <v>NO ENCONTRADO</v>
      </c>
      <c r="H207" s="36" t="str">
        <f>IFERROR(VLOOKUP(C207,#REF!, 5, FALSE), "NO ENCONTRADO")</f>
        <v>NO ENCONTRADO</v>
      </c>
      <c r="I207" s="15"/>
      <c r="J207" s="36"/>
      <c r="K207" s="42"/>
      <c r="L207" s="15"/>
      <c r="M207" s="39">
        <f t="shared" ca="1" si="0"/>
        <v>46026</v>
      </c>
      <c r="N207" s="40" t="str">
        <f t="shared" ca="1" si="1"/>
        <v>✅</v>
      </c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spans="1:28" ht="13" x14ac:dyDescent="0.15">
      <c r="A208" s="24">
        <f>'Scan to Sheets'!A208</f>
        <v>0</v>
      </c>
      <c r="B208" s="26">
        <f>'Scan to Sheets'!B208</f>
        <v>0</v>
      </c>
      <c r="C208" s="26">
        <f>'Scan to Sheets'!C208</f>
        <v>0</v>
      </c>
      <c r="D208" s="26">
        <f>'Scan to Sheets'!D208</f>
        <v>0</v>
      </c>
      <c r="E208" s="27" t="str">
        <f>IFERROR(VLOOKUP(C208,#REF!, 2, FALSE), "NO ENCONTRADO")</f>
        <v>NO ENCONTRADO</v>
      </c>
      <c r="F208" s="27" t="str">
        <f>IFERROR(VLOOKUP(C208,#REF!, 3, FALSE), "NO ENCONTRADO")</f>
        <v>NO ENCONTRADO</v>
      </c>
      <c r="G208" s="27" t="str">
        <f>IFERROR(VLOOKUP(C208,#REF!, 4, FALSE), "NO ENCONTRADO")</f>
        <v>NO ENCONTRADO</v>
      </c>
      <c r="H208" s="27" t="str">
        <f>IFERROR(VLOOKUP(C208,#REF!, 5, FALSE), "NO ENCONTRADO")</f>
        <v>NO ENCONTRADO</v>
      </c>
      <c r="I208" s="14"/>
      <c r="J208" s="27"/>
      <c r="K208" s="41"/>
      <c r="L208" s="14"/>
      <c r="M208" s="30">
        <f t="shared" ca="1" si="0"/>
        <v>46026</v>
      </c>
      <c r="N208" s="31" t="str">
        <f t="shared" ca="1" si="1"/>
        <v>✅</v>
      </c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 spans="1:28" ht="13" x14ac:dyDescent="0.15">
      <c r="A209" s="33">
        <f>'Scan to Sheets'!A209</f>
        <v>0</v>
      </c>
      <c r="B209" s="35">
        <f>'Scan to Sheets'!B209</f>
        <v>0</v>
      </c>
      <c r="C209" s="35">
        <f>'Scan to Sheets'!C209</f>
        <v>0</v>
      </c>
      <c r="D209" s="35">
        <f>'Scan to Sheets'!D209</f>
        <v>0</v>
      </c>
      <c r="E209" s="36" t="str">
        <f>IFERROR(VLOOKUP(C209,#REF!, 2, FALSE), "NO ENCONTRADO")</f>
        <v>NO ENCONTRADO</v>
      </c>
      <c r="F209" s="36" t="str">
        <f>IFERROR(VLOOKUP(C209,#REF!, 3, FALSE), "NO ENCONTRADO")</f>
        <v>NO ENCONTRADO</v>
      </c>
      <c r="G209" s="36" t="str">
        <f>IFERROR(VLOOKUP(C209,#REF!, 4, FALSE), "NO ENCONTRADO")</f>
        <v>NO ENCONTRADO</v>
      </c>
      <c r="H209" s="36" t="str">
        <f>IFERROR(VLOOKUP(C209,#REF!, 5, FALSE), "NO ENCONTRADO")</f>
        <v>NO ENCONTRADO</v>
      </c>
      <c r="I209" s="15"/>
      <c r="J209" s="36"/>
      <c r="K209" s="42"/>
      <c r="L209" s="15"/>
      <c r="M209" s="39">
        <f t="shared" ca="1" si="0"/>
        <v>46026</v>
      </c>
      <c r="N209" s="40" t="str">
        <f t="shared" ca="1" si="1"/>
        <v>✅</v>
      </c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 spans="1:28" ht="13" x14ac:dyDescent="0.15">
      <c r="A210" s="24">
        <f>'Scan to Sheets'!A210</f>
        <v>0</v>
      </c>
      <c r="B210" s="26">
        <f>'Scan to Sheets'!B210</f>
        <v>0</v>
      </c>
      <c r="C210" s="26">
        <f>'Scan to Sheets'!C210</f>
        <v>0</v>
      </c>
      <c r="D210" s="26">
        <f>'Scan to Sheets'!D210</f>
        <v>0</v>
      </c>
      <c r="E210" s="27" t="str">
        <f>IFERROR(VLOOKUP(C210,#REF!, 2, FALSE), "NO ENCONTRADO")</f>
        <v>NO ENCONTRADO</v>
      </c>
      <c r="F210" s="27" t="str">
        <f>IFERROR(VLOOKUP(C210,#REF!, 3, FALSE), "NO ENCONTRADO")</f>
        <v>NO ENCONTRADO</v>
      </c>
      <c r="G210" s="27" t="str">
        <f>IFERROR(VLOOKUP(C210,#REF!, 4, FALSE), "NO ENCONTRADO")</f>
        <v>NO ENCONTRADO</v>
      </c>
      <c r="H210" s="27" t="str">
        <f>IFERROR(VLOOKUP(C210,#REF!, 5, FALSE), "NO ENCONTRADO")</f>
        <v>NO ENCONTRADO</v>
      </c>
      <c r="I210" s="14"/>
      <c r="J210" s="27"/>
      <c r="K210" s="41"/>
      <c r="L210" s="14"/>
      <c r="M210" s="30">
        <f t="shared" ca="1" si="0"/>
        <v>46026</v>
      </c>
      <c r="N210" s="31" t="str">
        <f t="shared" ca="1" si="1"/>
        <v>✅</v>
      </c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 spans="1:28" ht="13" x14ac:dyDescent="0.15">
      <c r="A211" s="33">
        <f>'Scan to Sheets'!A211</f>
        <v>0</v>
      </c>
      <c r="B211" s="35">
        <f>'Scan to Sheets'!B211</f>
        <v>0</v>
      </c>
      <c r="C211" s="35">
        <f>'Scan to Sheets'!C211</f>
        <v>0</v>
      </c>
      <c r="D211" s="35">
        <f>'Scan to Sheets'!D211</f>
        <v>0</v>
      </c>
      <c r="E211" s="36" t="str">
        <f>IFERROR(VLOOKUP(C211,#REF!, 2, FALSE), "NO ENCONTRADO")</f>
        <v>NO ENCONTRADO</v>
      </c>
      <c r="F211" s="36" t="str">
        <f>IFERROR(VLOOKUP(C211,#REF!, 3, FALSE), "NO ENCONTRADO")</f>
        <v>NO ENCONTRADO</v>
      </c>
      <c r="G211" s="36" t="str">
        <f>IFERROR(VLOOKUP(C211,#REF!, 4, FALSE), "NO ENCONTRADO")</f>
        <v>NO ENCONTRADO</v>
      </c>
      <c r="H211" s="36" t="str">
        <f>IFERROR(VLOOKUP(C211,#REF!, 5, FALSE), "NO ENCONTRADO")</f>
        <v>NO ENCONTRADO</v>
      </c>
      <c r="I211" s="15"/>
      <c r="J211" s="36"/>
      <c r="K211" s="42"/>
      <c r="L211" s="15"/>
      <c r="M211" s="39">
        <f t="shared" ca="1" si="0"/>
        <v>46026</v>
      </c>
      <c r="N211" s="40" t="str">
        <f t="shared" ca="1" si="1"/>
        <v>✅</v>
      </c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 spans="1:28" ht="13" x14ac:dyDescent="0.15">
      <c r="A212" s="24">
        <f>'Scan to Sheets'!A212</f>
        <v>0</v>
      </c>
      <c r="B212" s="26">
        <f>'Scan to Sheets'!B212</f>
        <v>0</v>
      </c>
      <c r="C212" s="26">
        <f>'Scan to Sheets'!C212</f>
        <v>0</v>
      </c>
      <c r="D212" s="26">
        <f>'Scan to Sheets'!D212</f>
        <v>0</v>
      </c>
      <c r="E212" s="27" t="str">
        <f>IFERROR(VLOOKUP(C212,#REF!, 2, FALSE), "NO ENCONTRADO")</f>
        <v>NO ENCONTRADO</v>
      </c>
      <c r="F212" s="27" t="str">
        <f>IFERROR(VLOOKUP(C212,#REF!, 3, FALSE), "NO ENCONTRADO")</f>
        <v>NO ENCONTRADO</v>
      </c>
      <c r="G212" s="27" t="str">
        <f>IFERROR(VLOOKUP(C212,#REF!, 4, FALSE), "NO ENCONTRADO")</f>
        <v>NO ENCONTRADO</v>
      </c>
      <c r="H212" s="27" t="str">
        <f>IFERROR(VLOOKUP(C212,#REF!, 5, FALSE), "NO ENCONTRADO")</f>
        <v>NO ENCONTRADO</v>
      </c>
      <c r="I212" s="14"/>
      <c r="J212" s="27"/>
      <c r="K212" s="41"/>
      <c r="L212" s="14"/>
      <c r="M212" s="30">
        <f t="shared" ca="1" si="0"/>
        <v>46026</v>
      </c>
      <c r="N212" s="31" t="str">
        <f t="shared" ca="1" si="1"/>
        <v>✅</v>
      </c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 spans="1:28" ht="13" x14ac:dyDescent="0.15">
      <c r="A213" s="33">
        <f>'Scan to Sheets'!A213</f>
        <v>0</v>
      </c>
      <c r="B213" s="35">
        <f>'Scan to Sheets'!B213</f>
        <v>0</v>
      </c>
      <c r="C213" s="35">
        <f>'Scan to Sheets'!C213</f>
        <v>0</v>
      </c>
      <c r="D213" s="35">
        <f>'Scan to Sheets'!D213</f>
        <v>0</v>
      </c>
      <c r="E213" s="36" t="str">
        <f>IFERROR(VLOOKUP(C213,#REF!, 2, FALSE), "NO ENCONTRADO")</f>
        <v>NO ENCONTRADO</v>
      </c>
      <c r="F213" s="36" t="str">
        <f>IFERROR(VLOOKUP(C213,#REF!, 3, FALSE), "NO ENCONTRADO")</f>
        <v>NO ENCONTRADO</v>
      </c>
      <c r="G213" s="36" t="str">
        <f>IFERROR(VLOOKUP(C213,#REF!, 4, FALSE), "NO ENCONTRADO")</f>
        <v>NO ENCONTRADO</v>
      </c>
      <c r="H213" s="36" t="str">
        <f>IFERROR(VLOOKUP(C213,#REF!, 5, FALSE), "NO ENCONTRADO")</f>
        <v>NO ENCONTRADO</v>
      </c>
      <c r="I213" s="15"/>
      <c r="J213" s="36"/>
      <c r="K213" s="42"/>
      <c r="L213" s="15"/>
      <c r="M213" s="39">
        <f t="shared" ca="1" si="0"/>
        <v>46026</v>
      </c>
      <c r="N213" s="40" t="str">
        <f t="shared" ca="1" si="1"/>
        <v>✅</v>
      </c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 spans="1:28" ht="13" x14ac:dyDescent="0.15">
      <c r="A214" s="24">
        <f>'Scan to Sheets'!A214</f>
        <v>0</v>
      </c>
      <c r="B214" s="26">
        <f>'Scan to Sheets'!B214</f>
        <v>0</v>
      </c>
      <c r="C214" s="26">
        <f>'Scan to Sheets'!C214</f>
        <v>0</v>
      </c>
      <c r="D214" s="26">
        <f>'Scan to Sheets'!D214</f>
        <v>0</v>
      </c>
      <c r="E214" s="27" t="str">
        <f>IFERROR(VLOOKUP(C214,#REF!, 2, FALSE), "NO ENCONTRADO")</f>
        <v>NO ENCONTRADO</v>
      </c>
      <c r="F214" s="27" t="str">
        <f>IFERROR(VLOOKUP(C214,#REF!, 3, FALSE), "NO ENCONTRADO")</f>
        <v>NO ENCONTRADO</v>
      </c>
      <c r="G214" s="27" t="str">
        <f>IFERROR(VLOOKUP(C214,#REF!, 4, FALSE), "NO ENCONTRADO")</f>
        <v>NO ENCONTRADO</v>
      </c>
      <c r="H214" s="27" t="str">
        <f>IFERROR(VLOOKUP(C214,#REF!, 5, FALSE), "NO ENCONTRADO")</f>
        <v>NO ENCONTRADO</v>
      </c>
      <c r="I214" s="14"/>
      <c r="J214" s="27"/>
      <c r="K214" s="41"/>
      <c r="L214" s="14"/>
      <c r="M214" s="30">
        <f t="shared" ca="1" si="0"/>
        <v>46026</v>
      </c>
      <c r="N214" s="31" t="str">
        <f t="shared" ca="1" si="1"/>
        <v>✅</v>
      </c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 spans="1:28" ht="13" x14ac:dyDescent="0.15">
      <c r="A215" s="33">
        <f>'Scan to Sheets'!A215</f>
        <v>0</v>
      </c>
      <c r="B215" s="35">
        <f>'Scan to Sheets'!B215</f>
        <v>0</v>
      </c>
      <c r="C215" s="35">
        <f>'Scan to Sheets'!C215</f>
        <v>0</v>
      </c>
      <c r="D215" s="35">
        <f>'Scan to Sheets'!D215</f>
        <v>0</v>
      </c>
      <c r="E215" s="36" t="str">
        <f>IFERROR(VLOOKUP(C215,#REF!, 2, FALSE), "NO ENCONTRADO")</f>
        <v>NO ENCONTRADO</v>
      </c>
      <c r="F215" s="36" t="str">
        <f>IFERROR(VLOOKUP(C215,#REF!, 3, FALSE), "NO ENCONTRADO")</f>
        <v>NO ENCONTRADO</v>
      </c>
      <c r="G215" s="36" t="str">
        <f>IFERROR(VLOOKUP(C215,#REF!, 4, FALSE), "NO ENCONTRADO")</f>
        <v>NO ENCONTRADO</v>
      </c>
      <c r="H215" s="36" t="str">
        <f>IFERROR(VLOOKUP(C215,#REF!, 5, FALSE), "NO ENCONTRADO")</f>
        <v>NO ENCONTRADO</v>
      </c>
      <c r="I215" s="15"/>
      <c r="J215" s="36"/>
      <c r="K215" s="42"/>
      <c r="L215" s="15"/>
      <c r="M215" s="39">
        <f t="shared" ca="1" si="0"/>
        <v>46026</v>
      </c>
      <c r="N215" s="40" t="str">
        <f t="shared" ca="1" si="1"/>
        <v>✅</v>
      </c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 spans="1:28" ht="13" x14ac:dyDescent="0.15">
      <c r="A216" s="24">
        <f>'Scan to Sheets'!A216</f>
        <v>0</v>
      </c>
      <c r="B216" s="26">
        <f>'Scan to Sheets'!B216</f>
        <v>0</v>
      </c>
      <c r="C216" s="26">
        <f>'Scan to Sheets'!C216</f>
        <v>0</v>
      </c>
      <c r="D216" s="26">
        <f>'Scan to Sheets'!D216</f>
        <v>0</v>
      </c>
      <c r="E216" s="27" t="str">
        <f>IFERROR(VLOOKUP(C216,#REF!, 2, FALSE), "NO ENCONTRADO")</f>
        <v>NO ENCONTRADO</v>
      </c>
      <c r="F216" s="27" t="str">
        <f>IFERROR(VLOOKUP(C216,#REF!, 3, FALSE), "NO ENCONTRADO")</f>
        <v>NO ENCONTRADO</v>
      </c>
      <c r="G216" s="27" t="str">
        <f>IFERROR(VLOOKUP(C216,#REF!, 4, FALSE), "NO ENCONTRADO")</f>
        <v>NO ENCONTRADO</v>
      </c>
      <c r="H216" s="27" t="str">
        <f>IFERROR(VLOOKUP(C216,#REF!, 5, FALSE), "NO ENCONTRADO")</f>
        <v>NO ENCONTRADO</v>
      </c>
      <c r="I216" s="14"/>
      <c r="J216" s="27"/>
      <c r="K216" s="41"/>
      <c r="L216" s="14"/>
      <c r="M216" s="30">
        <f t="shared" ca="1" si="0"/>
        <v>46026</v>
      </c>
      <c r="N216" s="31" t="str">
        <f t="shared" ca="1" si="1"/>
        <v>✅</v>
      </c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 spans="1:28" ht="13" x14ac:dyDescent="0.15">
      <c r="A217" s="33">
        <f>'Scan to Sheets'!A217</f>
        <v>0</v>
      </c>
      <c r="B217" s="35">
        <f>'Scan to Sheets'!B217</f>
        <v>0</v>
      </c>
      <c r="C217" s="35">
        <f>'Scan to Sheets'!C217</f>
        <v>0</v>
      </c>
      <c r="D217" s="35">
        <f>'Scan to Sheets'!D217</f>
        <v>0</v>
      </c>
      <c r="E217" s="36" t="str">
        <f>IFERROR(VLOOKUP(C217,#REF!, 2, FALSE), "NO ENCONTRADO")</f>
        <v>NO ENCONTRADO</v>
      </c>
      <c r="F217" s="36" t="str">
        <f>IFERROR(VLOOKUP(C217,#REF!, 3, FALSE), "NO ENCONTRADO")</f>
        <v>NO ENCONTRADO</v>
      </c>
      <c r="G217" s="36" t="str">
        <f>IFERROR(VLOOKUP(C217,#REF!, 4, FALSE), "NO ENCONTRADO")</f>
        <v>NO ENCONTRADO</v>
      </c>
      <c r="H217" s="36" t="str">
        <f>IFERROR(VLOOKUP(C217,#REF!, 5, FALSE), "NO ENCONTRADO")</f>
        <v>NO ENCONTRADO</v>
      </c>
      <c r="I217" s="15"/>
      <c r="J217" s="36"/>
      <c r="K217" s="42"/>
      <c r="L217" s="15"/>
      <c r="M217" s="39">
        <f t="shared" ca="1" si="0"/>
        <v>46026</v>
      </c>
      <c r="N217" s="40" t="str">
        <f t="shared" ca="1" si="1"/>
        <v>✅</v>
      </c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 spans="1:28" ht="13" x14ac:dyDescent="0.15">
      <c r="A218" s="24">
        <f>'Scan to Sheets'!A218</f>
        <v>0</v>
      </c>
      <c r="B218" s="26">
        <f>'Scan to Sheets'!B218</f>
        <v>0</v>
      </c>
      <c r="C218" s="26">
        <f>'Scan to Sheets'!C218</f>
        <v>0</v>
      </c>
      <c r="D218" s="26">
        <f>'Scan to Sheets'!D218</f>
        <v>0</v>
      </c>
      <c r="E218" s="27" t="str">
        <f>IFERROR(VLOOKUP(C218,#REF!, 2, FALSE), "NO ENCONTRADO")</f>
        <v>NO ENCONTRADO</v>
      </c>
      <c r="F218" s="27" t="str">
        <f>IFERROR(VLOOKUP(C218,#REF!, 3, FALSE), "NO ENCONTRADO")</f>
        <v>NO ENCONTRADO</v>
      </c>
      <c r="G218" s="27" t="str">
        <f>IFERROR(VLOOKUP(C218,#REF!, 4, FALSE), "NO ENCONTRADO")</f>
        <v>NO ENCONTRADO</v>
      </c>
      <c r="H218" s="27" t="str">
        <f>IFERROR(VLOOKUP(C218,#REF!, 5, FALSE), "NO ENCONTRADO")</f>
        <v>NO ENCONTRADO</v>
      </c>
      <c r="I218" s="14"/>
      <c r="J218" s="27"/>
      <c r="K218" s="41"/>
      <c r="L218" s="14"/>
      <c r="M218" s="30">
        <f t="shared" ca="1" si="0"/>
        <v>46026</v>
      </c>
      <c r="N218" s="31" t="str">
        <f t="shared" ca="1" si="1"/>
        <v>✅</v>
      </c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 spans="1:28" ht="13" x14ac:dyDescent="0.15">
      <c r="A219" s="33">
        <f>'Scan to Sheets'!A219</f>
        <v>0</v>
      </c>
      <c r="B219" s="35">
        <f>'Scan to Sheets'!B219</f>
        <v>0</v>
      </c>
      <c r="C219" s="35">
        <f>'Scan to Sheets'!C219</f>
        <v>0</v>
      </c>
      <c r="D219" s="35">
        <f>'Scan to Sheets'!D219</f>
        <v>0</v>
      </c>
      <c r="E219" s="36" t="str">
        <f>IFERROR(VLOOKUP(C219,#REF!, 2, FALSE), "NO ENCONTRADO")</f>
        <v>NO ENCONTRADO</v>
      </c>
      <c r="F219" s="36" t="str">
        <f>IFERROR(VLOOKUP(C219,#REF!, 3, FALSE), "NO ENCONTRADO")</f>
        <v>NO ENCONTRADO</v>
      </c>
      <c r="G219" s="36" t="str">
        <f>IFERROR(VLOOKUP(C219,#REF!, 4, FALSE), "NO ENCONTRADO")</f>
        <v>NO ENCONTRADO</v>
      </c>
      <c r="H219" s="36" t="str">
        <f>IFERROR(VLOOKUP(C219,#REF!, 5, FALSE), "NO ENCONTRADO")</f>
        <v>NO ENCONTRADO</v>
      </c>
      <c r="I219" s="15"/>
      <c r="J219" s="36"/>
      <c r="K219" s="42"/>
      <c r="L219" s="15"/>
      <c r="M219" s="39">
        <f t="shared" ca="1" si="0"/>
        <v>46026</v>
      </c>
      <c r="N219" s="40" t="str">
        <f t="shared" ca="1" si="1"/>
        <v>✅</v>
      </c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spans="1:28" ht="13" x14ac:dyDescent="0.15">
      <c r="A220" s="24">
        <f>'Scan to Sheets'!A220</f>
        <v>0</v>
      </c>
      <c r="B220" s="26">
        <f>'Scan to Sheets'!B220</f>
        <v>0</v>
      </c>
      <c r="C220" s="26">
        <f>'Scan to Sheets'!C220</f>
        <v>0</v>
      </c>
      <c r="D220" s="26">
        <f>'Scan to Sheets'!D220</f>
        <v>0</v>
      </c>
      <c r="E220" s="27" t="str">
        <f>IFERROR(VLOOKUP(C220,#REF!, 2, FALSE), "NO ENCONTRADO")</f>
        <v>NO ENCONTRADO</v>
      </c>
      <c r="F220" s="27" t="str">
        <f>IFERROR(VLOOKUP(C220,#REF!, 3, FALSE), "NO ENCONTRADO")</f>
        <v>NO ENCONTRADO</v>
      </c>
      <c r="G220" s="27" t="str">
        <f>IFERROR(VLOOKUP(C220,#REF!, 4, FALSE), "NO ENCONTRADO")</f>
        <v>NO ENCONTRADO</v>
      </c>
      <c r="H220" s="27" t="str">
        <f>IFERROR(VLOOKUP(C220,#REF!, 5, FALSE), "NO ENCONTRADO")</f>
        <v>NO ENCONTRADO</v>
      </c>
      <c r="I220" s="14"/>
      <c r="J220" s="27"/>
      <c r="K220" s="41"/>
      <c r="L220" s="14"/>
      <c r="M220" s="30">
        <f t="shared" ca="1" si="0"/>
        <v>46026</v>
      </c>
      <c r="N220" s="31" t="str">
        <f t="shared" ca="1" si="1"/>
        <v>✅</v>
      </c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spans="1:28" ht="13" x14ac:dyDescent="0.15">
      <c r="A221" s="33">
        <f>'Scan to Sheets'!A221</f>
        <v>0</v>
      </c>
      <c r="B221" s="35">
        <f>'Scan to Sheets'!B221</f>
        <v>0</v>
      </c>
      <c r="C221" s="35">
        <f>'Scan to Sheets'!C221</f>
        <v>0</v>
      </c>
      <c r="D221" s="35">
        <f>'Scan to Sheets'!D221</f>
        <v>0</v>
      </c>
      <c r="E221" s="36" t="str">
        <f>IFERROR(VLOOKUP(C221,#REF!, 2, FALSE), "NO ENCONTRADO")</f>
        <v>NO ENCONTRADO</v>
      </c>
      <c r="F221" s="36" t="str">
        <f>IFERROR(VLOOKUP(C221,#REF!, 3, FALSE), "NO ENCONTRADO")</f>
        <v>NO ENCONTRADO</v>
      </c>
      <c r="G221" s="36" t="str">
        <f>IFERROR(VLOOKUP(C221,#REF!, 4, FALSE), "NO ENCONTRADO")</f>
        <v>NO ENCONTRADO</v>
      </c>
      <c r="H221" s="36" t="str">
        <f>IFERROR(VLOOKUP(C221,#REF!, 5, FALSE), "NO ENCONTRADO")</f>
        <v>NO ENCONTRADO</v>
      </c>
      <c r="I221" s="15"/>
      <c r="J221" s="36"/>
      <c r="K221" s="42"/>
      <c r="L221" s="15"/>
      <c r="M221" s="39">
        <f t="shared" ca="1" si="0"/>
        <v>46026</v>
      </c>
      <c r="N221" s="40" t="str">
        <f t="shared" ca="1" si="1"/>
        <v>✅</v>
      </c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spans="1:28" ht="13" x14ac:dyDescent="0.15">
      <c r="A222" s="24">
        <f>'Scan to Sheets'!A222</f>
        <v>0</v>
      </c>
      <c r="B222" s="26">
        <f>'Scan to Sheets'!B222</f>
        <v>0</v>
      </c>
      <c r="C222" s="26">
        <f>'Scan to Sheets'!C222</f>
        <v>0</v>
      </c>
      <c r="D222" s="26">
        <f>'Scan to Sheets'!D222</f>
        <v>0</v>
      </c>
      <c r="E222" s="27" t="str">
        <f>IFERROR(VLOOKUP(C222,#REF!, 2, FALSE), "NO ENCONTRADO")</f>
        <v>NO ENCONTRADO</v>
      </c>
      <c r="F222" s="27" t="str">
        <f>IFERROR(VLOOKUP(C222,#REF!, 3, FALSE), "NO ENCONTRADO")</f>
        <v>NO ENCONTRADO</v>
      </c>
      <c r="G222" s="27" t="str">
        <f>IFERROR(VLOOKUP(C222,#REF!, 4, FALSE), "NO ENCONTRADO")</f>
        <v>NO ENCONTRADO</v>
      </c>
      <c r="H222" s="27" t="str">
        <f>IFERROR(VLOOKUP(C222,#REF!, 5, FALSE), "NO ENCONTRADO")</f>
        <v>NO ENCONTRADO</v>
      </c>
      <c r="I222" s="14"/>
      <c r="J222" s="27"/>
      <c r="K222" s="41"/>
      <c r="L222" s="14"/>
      <c r="M222" s="30">
        <f t="shared" ca="1" si="0"/>
        <v>46026</v>
      </c>
      <c r="N222" s="31" t="str">
        <f t="shared" ca="1" si="1"/>
        <v>✅</v>
      </c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spans="1:28" ht="13" x14ac:dyDescent="0.15">
      <c r="A223" s="33">
        <f>'Scan to Sheets'!A223</f>
        <v>0</v>
      </c>
      <c r="B223" s="35">
        <f>'Scan to Sheets'!B223</f>
        <v>0</v>
      </c>
      <c r="C223" s="35">
        <f>'Scan to Sheets'!C223</f>
        <v>0</v>
      </c>
      <c r="D223" s="35">
        <f>'Scan to Sheets'!D223</f>
        <v>0</v>
      </c>
      <c r="E223" s="36" t="str">
        <f>IFERROR(VLOOKUP(C223,#REF!, 2, FALSE), "NO ENCONTRADO")</f>
        <v>NO ENCONTRADO</v>
      </c>
      <c r="F223" s="36" t="str">
        <f>IFERROR(VLOOKUP(C223,#REF!, 3, FALSE), "NO ENCONTRADO")</f>
        <v>NO ENCONTRADO</v>
      </c>
      <c r="G223" s="36" t="str">
        <f>IFERROR(VLOOKUP(C223,#REF!, 4, FALSE), "NO ENCONTRADO")</f>
        <v>NO ENCONTRADO</v>
      </c>
      <c r="H223" s="36" t="str">
        <f>IFERROR(VLOOKUP(C223,#REF!, 5, FALSE), "NO ENCONTRADO")</f>
        <v>NO ENCONTRADO</v>
      </c>
      <c r="I223" s="15"/>
      <c r="J223" s="36"/>
      <c r="K223" s="42"/>
      <c r="L223" s="15"/>
      <c r="M223" s="39">
        <f t="shared" ca="1" si="0"/>
        <v>46026</v>
      </c>
      <c r="N223" s="40" t="str">
        <f t="shared" ca="1" si="1"/>
        <v>✅</v>
      </c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spans="1:28" ht="13" x14ac:dyDescent="0.15">
      <c r="A224" s="24">
        <f>'Scan to Sheets'!A224</f>
        <v>0</v>
      </c>
      <c r="B224" s="26">
        <f>'Scan to Sheets'!B224</f>
        <v>0</v>
      </c>
      <c r="C224" s="26">
        <f>'Scan to Sheets'!C224</f>
        <v>0</v>
      </c>
      <c r="D224" s="26">
        <f>'Scan to Sheets'!D224</f>
        <v>0</v>
      </c>
      <c r="E224" s="27" t="str">
        <f>IFERROR(VLOOKUP(C224,#REF!, 2, FALSE), "NO ENCONTRADO")</f>
        <v>NO ENCONTRADO</v>
      </c>
      <c r="F224" s="27" t="str">
        <f>IFERROR(VLOOKUP(C224,#REF!, 3, FALSE), "NO ENCONTRADO")</f>
        <v>NO ENCONTRADO</v>
      </c>
      <c r="G224" s="27" t="str">
        <f>IFERROR(VLOOKUP(C224,#REF!, 4, FALSE), "NO ENCONTRADO")</f>
        <v>NO ENCONTRADO</v>
      </c>
      <c r="H224" s="27" t="str">
        <f>IFERROR(VLOOKUP(C224,#REF!, 5, FALSE), "NO ENCONTRADO")</f>
        <v>NO ENCONTRADO</v>
      </c>
      <c r="I224" s="14"/>
      <c r="J224" s="27"/>
      <c r="K224" s="41"/>
      <c r="L224" s="14"/>
      <c r="M224" s="30">
        <f t="shared" ca="1" si="0"/>
        <v>46026</v>
      </c>
      <c r="N224" s="31" t="str">
        <f t="shared" ca="1" si="1"/>
        <v>✅</v>
      </c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spans="1:28" ht="13" x14ac:dyDescent="0.15">
      <c r="A225" s="33">
        <f>'Scan to Sheets'!A225</f>
        <v>0</v>
      </c>
      <c r="B225" s="35">
        <f>'Scan to Sheets'!B225</f>
        <v>0</v>
      </c>
      <c r="C225" s="35">
        <f>'Scan to Sheets'!C225</f>
        <v>0</v>
      </c>
      <c r="D225" s="35">
        <f>'Scan to Sheets'!D225</f>
        <v>0</v>
      </c>
      <c r="E225" s="36" t="str">
        <f>IFERROR(VLOOKUP(C225,#REF!, 2, FALSE), "NO ENCONTRADO")</f>
        <v>NO ENCONTRADO</v>
      </c>
      <c r="F225" s="36" t="str">
        <f>IFERROR(VLOOKUP(C225,#REF!, 3, FALSE), "NO ENCONTRADO")</f>
        <v>NO ENCONTRADO</v>
      </c>
      <c r="G225" s="36" t="str">
        <f>IFERROR(VLOOKUP(C225,#REF!, 4, FALSE), "NO ENCONTRADO")</f>
        <v>NO ENCONTRADO</v>
      </c>
      <c r="H225" s="36" t="str">
        <f>IFERROR(VLOOKUP(C225,#REF!, 5, FALSE), "NO ENCONTRADO")</f>
        <v>NO ENCONTRADO</v>
      </c>
      <c r="I225" s="15"/>
      <c r="J225" s="36"/>
      <c r="K225" s="42"/>
      <c r="L225" s="15"/>
      <c r="M225" s="39">
        <f t="shared" ca="1" si="0"/>
        <v>46026</v>
      </c>
      <c r="N225" s="40" t="str">
        <f t="shared" ca="1" si="1"/>
        <v>✅</v>
      </c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spans="1:28" ht="13" x14ac:dyDescent="0.15">
      <c r="A226" s="24">
        <f>'Scan to Sheets'!A226</f>
        <v>0</v>
      </c>
      <c r="B226" s="26">
        <f>'Scan to Sheets'!B226</f>
        <v>0</v>
      </c>
      <c r="C226" s="26">
        <f>'Scan to Sheets'!C226</f>
        <v>0</v>
      </c>
      <c r="D226" s="26">
        <f>'Scan to Sheets'!D226</f>
        <v>0</v>
      </c>
      <c r="E226" s="27" t="str">
        <f>IFERROR(VLOOKUP(C226,#REF!, 2, FALSE), "NO ENCONTRADO")</f>
        <v>NO ENCONTRADO</v>
      </c>
      <c r="F226" s="27" t="str">
        <f>IFERROR(VLOOKUP(C226,#REF!, 3, FALSE), "NO ENCONTRADO")</f>
        <v>NO ENCONTRADO</v>
      </c>
      <c r="G226" s="27" t="str">
        <f>IFERROR(VLOOKUP(C226,#REF!, 4, FALSE), "NO ENCONTRADO")</f>
        <v>NO ENCONTRADO</v>
      </c>
      <c r="H226" s="27" t="str">
        <f>IFERROR(VLOOKUP(C226,#REF!, 5, FALSE), "NO ENCONTRADO")</f>
        <v>NO ENCONTRADO</v>
      </c>
      <c r="I226" s="14"/>
      <c r="J226" s="27"/>
      <c r="K226" s="41"/>
      <c r="L226" s="14"/>
      <c r="M226" s="30">
        <f t="shared" ca="1" si="0"/>
        <v>46026</v>
      </c>
      <c r="N226" s="31" t="str">
        <f t="shared" ca="1" si="1"/>
        <v>✅</v>
      </c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spans="1:28" ht="13" x14ac:dyDescent="0.15">
      <c r="A227" s="33">
        <f>'Scan to Sheets'!A227</f>
        <v>0</v>
      </c>
      <c r="B227" s="35">
        <f>'Scan to Sheets'!B227</f>
        <v>0</v>
      </c>
      <c r="C227" s="35">
        <f>'Scan to Sheets'!C227</f>
        <v>0</v>
      </c>
      <c r="D227" s="35">
        <f>'Scan to Sheets'!D227</f>
        <v>0</v>
      </c>
      <c r="E227" s="36" t="str">
        <f>IFERROR(VLOOKUP(C227,#REF!, 2, FALSE), "NO ENCONTRADO")</f>
        <v>NO ENCONTRADO</v>
      </c>
      <c r="F227" s="36" t="str">
        <f>IFERROR(VLOOKUP(C227,#REF!, 3, FALSE), "NO ENCONTRADO")</f>
        <v>NO ENCONTRADO</v>
      </c>
      <c r="G227" s="36" t="str">
        <f>IFERROR(VLOOKUP(C227,#REF!, 4, FALSE), "NO ENCONTRADO")</f>
        <v>NO ENCONTRADO</v>
      </c>
      <c r="H227" s="36" t="str">
        <f>IFERROR(VLOOKUP(C227,#REF!, 5, FALSE), "NO ENCONTRADO")</f>
        <v>NO ENCONTRADO</v>
      </c>
      <c r="I227" s="15"/>
      <c r="J227" s="36"/>
      <c r="K227" s="42"/>
      <c r="L227" s="15"/>
      <c r="M227" s="39">
        <f t="shared" ca="1" si="0"/>
        <v>46026</v>
      </c>
      <c r="N227" s="40" t="str">
        <f t="shared" ca="1" si="1"/>
        <v>✅</v>
      </c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spans="1:28" ht="13" x14ac:dyDescent="0.15">
      <c r="A228" s="24">
        <f>'Scan to Sheets'!A228</f>
        <v>0</v>
      </c>
      <c r="B228" s="26">
        <f>'Scan to Sheets'!B228</f>
        <v>0</v>
      </c>
      <c r="C228" s="26">
        <f>'Scan to Sheets'!C228</f>
        <v>0</v>
      </c>
      <c r="D228" s="26">
        <f>'Scan to Sheets'!D228</f>
        <v>0</v>
      </c>
      <c r="E228" s="27" t="str">
        <f>IFERROR(VLOOKUP(C228,#REF!, 2, FALSE), "NO ENCONTRADO")</f>
        <v>NO ENCONTRADO</v>
      </c>
      <c r="F228" s="27" t="str">
        <f>IFERROR(VLOOKUP(C228,#REF!, 3, FALSE), "NO ENCONTRADO")</f>
        <v>NO ENCONTRADO</v>
      </c>
      <c r="G228" s="27" t="str">
        <f>IFERROR(VLOOKUP(C228,#REF!, 4, FALSE), "NO ENCONTRADO")</f>
        <v>NO ENCONTRADO</v>
      </c>
      <c r="H228" s="27" t="str">
        <f>IFERROR(VLOOKUP(C228,#REF!, 5, FALSE), "NO ENCONTRADO")</f>
        <v>NO ENCONTRADO</v>
      </c>
      <c r="I228" s="14"/>
      <c r="J228" s="27"/>
      <c r="K228" s="41"/>
      <c r="L228" s="14"/>
      <c r="M228" s="30">
        <f t="shared" ca="1" si="0"/>
        <v>46026</v>
      </c>
      <c r="N228" s="31" t="str">
        <f t="shared" ca="1" si="1"/>
        <v>✅</v>
      </c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spans="1:28" ht="13" x14ac:dyDescent="0.15">
      <c r="A229" s="33">
        <f>'Scan to Sheets'!A229</f>
        <v>0</v>
      </c>
      <c r="B229" s="35">
        <f>'Scan to Sheets'!B229</f>
        <v>0</v>
      </c>
      <c r="C229" s="35">
        <f>'Scan to Sheets'!C229</f>
        <v>0</v>
      </c>
      <c r="D229" s="35">
        <f>'Scan to Sheets'!D229</f>
        <v>0</v>
      </c>
      <c r="E229" s="36" t="str">
        <f>IFERROR(VLOOKUP(C229,#REF!, 2, FALSE), "NO ENCONTRADO")</f>
        <v>NO ENCONTRADO</v>
      </c>
      <c r="F229" s="36" t="str">
        <f>IFERROR(VLOOKUP(C229,#REF!, 3, FALSE), "NO ENCONTRADO")</f>
        <v>NO ENCONTRADO</v>
      </c>
      <c r="G229" s="36" t="str">
        <f>IFERROR(VLOOKUP(C229,#REF!, 4, FALSE), "NO ENCONTRADO")</f>
        <v>NO ENCONTRADO</v>
      </c>
      <c r="H229" s="36" t="str">
        <f>IFERROR(VLOOKUP(C229,#REF!, 5, FALSE), "NO ENCONTRADO")</f>
        <v>NO ENCONTRADO</v>
      </c>
      <c r="I229" s="15"/>
      <c r="J229" s="36"/>
      <c r="K229" s="42"/>
      <c r="L229" s="15"/>
      <c r="M229" s="39">
        <f t="shared" ca="1" si="0"/>
        <v>46026</v>
      </c>
      <c r="N229" s="40" t="str">
        <f t="shared" ca="1" si="1"/>
        <v>✅</v>
      </c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spans="1:28" ht="13" x14ac:dyDescent="0.15">
      <c r="A230" s="24">
        <f>'Scan to Sheets'!A230</f>
        <v>0</v>
      </c>
      <c r="B230" s="26">
        <f>'Scan to Sheets'!B230</f>
        <v>0</v>
      </c>
      <c r="C230" s="26">
        <f>'Scan to Sheets'!C230</f>
        <v>0</v>
      </c>
      <c r="D230" s="26">
        <f>'Scan to Sheets'!D230</f>
        <v>0</v>
      </c>
      <c r="E230" s="27" t="str">
        <f>IFERROR(VLOOKUP(C230,#REF!, 2, FALSE), "NO ENCONTRADO")</f>
        <v>NO ENCONTRADO</v>
      </c>
      <c r="F230" s="27" t="str">
        <f>IFERROR(VLOOKUP(C230,#REF!, 3, FALSE), "NO ENCONTRADO")</f>
        <v>NO ENCONTRADO</v>
      </c>
      <c r="G230" s="27" t="str">
        <f>IFERROR(VLOOKUP(C230,#REF!, 4, FALSE), "NO ENCONTRADO")</f>
        <v>NO ENCONTRADO</v>
      </c>
      <c r="H230" s="27" t="str">
        <f>IFERROR(VLOOKUP(C230,#REF!, 5, FALSE), "NO ENCONTRADO")</f>
        <v>NO ENCONTRADO</v>
      </c>
      <c r="I230" s="14"/>
      <c r="J230" s="27"/>
      <c r="K230" s="41"/>
      <c r="L230" s="14"/>
      <c r="M230" s="30">
        <f t="shared" ca="1" si="0"/>
        <v>46026</v>
      </c>
      <c r="N230" s="31" t="str">
        <f t="shared" ca="1" si="1"/>
        <v>✅</v>
      </c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spans="1:28" ht="13" x14ac:dyDescent="0.15">
      <c r="A231" s="33">
        <f>'Scan to Sheets'!A231</f>
        <v>0</v>
      </c>
      <c r="B231" s="35">
        <f>'Scan to Sheets'!B231</f>
        <v>0</v>
      </c>
      <c r="C231" s="35">
        <f>'Scan to Sheets'!C231</f>
        <v>0</v>
      </c>
      <c r="D231" s="35">
        <f>'Scan to Sheets'!D231</f>
        <v>0</v>
      </c>
      <c r="E231" s="36" t="str">
        <f>IFERROR(VLOOKUP(C231,#REF!, 2, FALSE), "NO ENCONTRADO")</f>
        <v>NO ENCONTRADO</v>
      </c>
      <c r="F231" s="36" t="str">
        <f>IFERROR(VLOOKUP(C231,#REF!, 3, FALSE), "NO ENCONTRADO")</f>
        <v>NO ENCONTRADO</v>
      </c>
      <c r="G231" s="36" t="str">
        <f>IFERROR(VLOOKUP(C231,#REF!, 4, FALSE), "NO ENCONTRADO")</f>
        <v>NO ENCONTRADO</v>
      </c>
      <c r="H231" s="36" t="str">
        <f>IFERROR(VLOOKUP(C231,#REF!, 5, FALSE), "NO ENCONTRADO")</f>
        <v>NO ENCONTRADO</v>
      </c>
      <c r="I231" s="15"/>
      <c r="J231" s="36"/>
      <c r="K231" s="42"/>
      <c r="L231" s="15"/>
      <c r="M231" s="39">
        <f t="shared" ca="1" si="0"/>
        <v>46026</v>
      </c>
      <c r="N231" s="40" t="str">
        <f t="shared" ca="1" si="1"/>
        <v>✅</v>
      </c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spans="1:28" ht="13" x14ac:dyDescent="0.15">
      <c r="A232" s="24">
        <f>'Scan to Sheets'!A232</f>
        <v>0</v>
      </c>
      <c r="B232" s="26">
        <f>'Scan to Sheets'!B232</f>
        <v>0</v>
      </c>
      <c r="C232" s="26">
        <f>'Scan to Sheets'!C232</f>
        <v>0</v>
      </c>
      <c r="D232" s="26">
        <f>'Scan to Sheets'!D232</f>
        <v>0</v>
      </c>
      <c r="E232" s="27" t="str">
        <f>IFERROR(VLOOKUP(C232,#REF!, 2, FALSE), "NO ENCONTRADO")</f>
        <v>NO ENCONTRADO</v>
      </c>
      <c r="F232" s="27" t="str">
        <f>IFERROR(VLOOKUP(C232,#REF!, 3, FALSE), "NO ENCONTRADO")</f>
        <v>NO ENCONTRADO</v>
      </c>
      <c r="G232" s="27" t="str">
        <f>IFERROR(VLOOKUP(C232,#REF!, 4, FALSE), "NO ENCONTRADO")</f>
        <v>NO ENCONTRADO</v>
      </c>
      <c r="H232" s="27" t="str">
        <f>IFERROR(VLOOKUP(C232,#REF!, 5, FALSE), "NO ENCONTRADO")</f>
        <v>NO ENCONTRADO</v>
      </c>
      <c r="I232" s="14"/>
      <c r="J232" s="27"/>
      <c r="K232" s="41"/>
      <c r="L232" s="14"/>
      <c r="M232" s="30">
        <f t="shared" ca="1" si="0"/>
        <v>46026</v>
      </c>
      <c r="N232" s="31" t="str">
        <f t="shared" ca="1" si="1"/>
        <v>✅</v>
      </c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 spans="1:28" ht="13" x14ac:dyDescent="0.15">
      <c r="A233" s="33">
        <f>'Scan to Sheets'!A233</f>
        <v>0</v>
      </c>
      <c r="B233" s="35">
        <f>'Scan to Sheets'!B233</f>
        <v>0</v>
      </c>
      <c r="C233" s="35">
        <f>'Scan to Sheets'!C233</f>
        <v>0</v>
      </c>
      <c r="D233" s="35">
        <f>'Scan to Sheets'!D233</f>
        <v>0</v>
      </c>
      <c r="E233" s="36" t="str">
        <f>IFERROR(VLOOKUP(C233,#REF!, 2, FALSE), "NO ENCONTRADO")</f>
        <v>NO ENCONTRADO</v>
      </c>
      <c r="F233" s="36" t="str">
        <f>IFERROR(VLOOKUP(C233,#REF!, 3, FALSE), "NO ENCONTRADO")</f>
        <v>NO ENCONTRADO</v>
      </c>
      <c r="G233" s="36" t="str">
        <f>IFERROR(VLOOKUP(C233,#REF!, 4, FALSE), "NO ENCONTRADO")</f>
        <v>NO ENCONTRADO</v>
      </c>
      <c r="H233" s="36" t="str">
        <f>IFERROR(VLOOKUP(C233,#REF!, 5, FALSE), "NO ENCONTRADO")</f>
        <v>NO ENCONTRADO</v>
      </c>
      <c r="I233" s="15"/>
      <c r="J233" s="36"/>
      <c r="K233" s="42"/>
      <c r="L233" s="15"/>
      <c r="M233" s="39">
        <f t="shared" ca="1" si="0"/>
        <v>46026</v>
      </c>
      <c r="N233" s="40" t="str">
        <f t="shared" ca="1" si="1"/>
        <v>✅</v>
      </c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 spans="1:28" ht="13" x14ac:dyDescent="0.15">
      <c r="A234" s="24">
        <f>'Scan to Sheets'!A234</f>
        <v>0</v>
      </c>
      <c r="B234" s="26">
        <f>'Scan to Sheets'!B234</f>
        <v>0</v>
      </c>
      <c r="C234" s="26">
        <f>'Scan to Sheets'!C234</f>
        <v>0</v>
      </c>
      <c r="D234" s="26">
        <f>'Scan to Sheets'!D234</f>
        <v>0</v>
      </c>
      <c r="E234" s="27" t="str">
        <f>IFERROR(VLOOKUP(C234,#REF!, 2, FALSE), "NO ENCONTRADO")</f>
        <v>NO ENCONTRADO</v>
      </c>
      <c r="F234" s="27" t="str">
        <f>IFERROR(VLOOKUP(C234,#REF!, 3, FALSE), "NO ENCONTRADO")</f>
        <v>NO ENCONTRADO</v>
      </c>
      <c r="G234" s="27" t="str">
        <f>IFERROR(VLOOKUP(C234,#REF!, 4, FALSE), "NO ENCONTRADO")</f>
        <v>NO ENCONTRADO</v>
      </c>
      <c r="H234" s="27" t="str">
        <f>IFERROR(VLOOKUP(C234,#REF!, 5, FALSE), "NO ENCONTRADO")</f>
        <v>NO ENCONTRADO</v>
      </c>
      <c r="I234" s="14"/>
      <c r="J234" s="27"/>
      <c r="K234" s="41"/>
      <c r="L234" s="14"/>
      <c r="M234" s="30">
        <f t="shared" ca="1" si="0"/>
        <v>46026</v>
      </c>
      <c r="N234" s="31" t="str">
        <f t="shared" ca="1" si="1"/>
        <v>✅</v>
      </c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 spans="1:28" ht="13" x14ac:dyDescent="0.15">
      <c r="A235" s="33">
        <f>'Scan to Sheets'!A235</f>
        <v>0</v>
      </c>
      <c r="B235" s="35">
        <f>'Scan to Sheets'!B235</f>
        <v>0</v>
      </c>
      <c r="C235" s="35">
        <f>'Scan to Sheets'!C235</f>
        <v>0</v>
      </c>
      <c r="D235" s="35">
        <f>'Scan to Sheets'!D235</f>
        <v>0</v>
      </c>
      <c r="E235" s="36" t="str">
        <f>IFERROR(VLOOKUP(C235,#REF!, 2, FALSE), "NO ENCONTRADO")</f>
        <v>NO ENCONTRADO</v>
      </c>
      <c r="F235" s="36" t="str">
        <f>IFERROR(VLOOKUP(C235,#REF!, 3, FALSE), "NO ENCONTRADO")</f>
        <v>NO ENCONTRADO</v>
      </c>
      <c r="G235" s="36" t="str">
        <f>IFERROR(VLOOKUP(C235,#REF!, 4, FALSE), "NO ENCONTRADO")</f>
        <v>NO ENCONTRADO</v>
      </c>
      <c r="H235" s="36" t="str">
        <f>IFERROR(VLOOKUP(C235,#REF!, 5, FALSE), "NO ENCONTRADO")</f>
        <v>NO ENCONTRADO</v>
      </c>
      <c r="I235" s="15"/>
      <c r="J235" s="36"/>
      <c r="K235" s="42"/>
      <c r="L235" s="15"/>
      <c r="M235" s="39">
        <f t="shared" ca="1" si="0"/>
        <v>46026</v>
      </c>
      <c r="N235" s="40" t="str">
        <f t="shared" ca="1" si="1"/>
        <v>✅</v>
      </c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 spans="1:28" ht="13" x14ac:dyDescent="0.15">
      <c r="A236" s="24">
        <f>'Scan to Sheets'!A236</f>
        <v>0</v>
      </c>
      <c r="B236" s="26">
        <f>'Scan to Sheets'!B236</f>
        <v>0</v>
      </c>
      <c r="C236" s="26">
        <f>'Scan to Sheets'!C236</f>
        <v>0</v>
      </c>
      <c r="D236" s="26">
        <f>'Scan to Sheets'!D236</f>
        <v>0</v>
      </c>
      <c r="E236" s="27" t="str">
        <f>IFERROR(VLOOKUP(C236,#REF!, 2, FALSE), "NO ENCONTRADO")</f>
        <v>NO ENCONTRADO</v>
      </c>
      <c r="F236" s="27" t="str">
        <f>IFERROR(VLOOKUP(C236,#REF!, 3, FALSE), "NO ENCONTRADO")</f>
        <v>NO ENCONTRADO</v>
      </c>
      <c r="G236" s="27" t="str">
        <f>IFERROR(VLOOKUP(C236,#REF!, 4, FALSE), "NO ENCONTRADO")</f>
        <v>NO ENCONTRADO</v>
      </c>
      <c r="H236" s="27" t="str">
        <f>IFERROR(VLOOKUP(C236,#REF!, 5, FALSE), "NO ENCONTRADO")</f>
        <v>NO ENCONTRADO</v>
      </c>
      <c r="I236" s="14"/>
      <c r="J236" s="27"/>
      <c r="K236" s="41"/>
      <c r="L236" s="14"/>
      <c r="M236" s="30">
        <f t="shared" ca="1" si="0"/>
        <v>46026</v>
      </c>
      <c r="N236" s="31" t="str">
        <f t="shared" ca="1" si="1"/>
        <v>✅</v>
      </c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 spans="1:28" ht="13" x14ac:dyDescent="0.15">
      <c r="A237" s="33">
        <f>'Scan to Sheets'!A237</f>
        <v>0</v>
      </c>
      <c r="B237" s="35">
        <f>'Scan to Sheets'!B237</f>
        <v>0</v>
      </c>
      <c r="C237" s="35">
        <f>'Scan to Sheets'!C237</f>
        <v>0</v>
      </c>
      <c r="D237" s="35">
        <f>'Scan to Sheets'!D237</f>
        <v>0</v>
      </c>
      <c r="E237" s="36" t="str">
        <f>IFERROR(VLOOKUP(C237,#REF!, 2, FALSE), "NO ENCONTRADO")</f>
        <v>NO ENCONTRADO</v>
      </c>
      <c r="F237" s="36" t="str">
        <f>IFERROR(VLOOKUP(C237,#REF!, 3, FALSE), "NO ENCONTRADO")</f>
        <v>NO ENCONTRADO</v>
      </c>
      <c r="G237" s="36" t="str">
        <f>IFERROR(VLOOKUP(C237,#REF!, 4, FALSE), "NO ENCONTRADO")</f>
        <v>NO ENCONTRADO</v>
      </c>
      <c r="H237" s="36" t="str">
        <f>IFERROR(VLOOKUP(C237,#REF!, 5, FALSE), "NO ENCONTRADO")</f>
        <v>NO ENCONTRADO</v>
      </c>
      <c r="I237" s="15"/>
      <c r="J237" s="36"/>
      <c r="K237" s="42"/>
      <c r="L237" s="15"/>
      <c r="M237" s="39">
        <f t="shared" ca="1" si="0"/>
        <v>46026</v>
      </c>
      <c r="N237" s="40" t="str">
        <f t="shared" ca="1" si="1"/>
        <v>✅</v>
      </c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 spans="1:28" ht="13" x14ac:dyDescent="0.15">
      <c r="A238" s="24">
        <f>'Scan to Sheets'!A238</f>
        <v>0</v>
      </c>
      <c r="B238" s="26">
        <f>'Scan to Sheets'!B238</f>
        <v>0</v>
      </c>
      <c r="C238" s="26">
        <f>'Scan to Sheets'!C238</f>
        <v>0</v>
      </c>
      <c r="D238" s="26">
        <f>'Scan to Sheets'!D238</f>
        <v>0</v>
      </c>
      <c r="E238" s="27" t="str">
        <f>IFERROR(VLOOKUP(C238,#REF!, 2, FALSE), "NO ENCONTRADO")</f>
        <v>NO ENCONTRADO</v>
      </c>
      <c r="F238" s="27" t="str">
        <f>IFERROR(VLOOKUP(C238,#REF!, 3, FALSE), "NO ENCONTRADO")</f>
        <v>NO ENCONTRADO</v>
      </c>
      <c r="G238" s="27" t="str">
        <f>IFERROR(VLOOKUP(C238,#REF!, 4, FALSE), "NO ENCONTRADO")</f>
        <v>NO ENCONTRADO</v>
      </c>
      <c r="H238" s="27" t="str">
        <f>IFERROR(VLOOKUP(C238,#REF!, 5, FALSE), "NO ENCONTRADO")</f>
        <v>NO ENCONTRADO</v>
      </c>
      <c r="I238" s="14"/>
      <c r="J238" s="27"/>
      <c r="K238" s="41"/>
      <c r="L238" s="14"/>
      <c r="M238" s="30">
        <f t="shared" ca="1" si="0"/>
        <v>46026</v>
      </c>
      <c r="N238" s="31" t="str">
        <f t="shared" ca="1" si="1"/>
        <v>✅</v>
      </c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 spans="1:28" ht="13" x14ac:dyDescent="0.15">
      <c r="A239" s="33">
        <f>'Scan to Sheets'!A239</f>
        <v>0</v>
      </c>
      <c r="B239" s="35">
        <f>'Scan to Sheets'!B239</f>
        <v>0</v>
      </c>
      <c r="C239" s="35">
        <f>'Scan to Sheets'!C239</f>
        <v>0</v>
      </c>
      <c r="D239" s="35">
        <f>'Scan to Sheets'!D239</f>
        <v>0</v>
      </c>
      <c r="E239" s="36" t="str">
        <f>IFERROR(VLOOKUP(C239,#REF!, 2, FALSE), "NO ENCONTRADO")</f>
        <v>NO ENCONTRADO</v>
      </c>
      <c r="F239" s="36" t="str">
        <f>IFERROR(VLOOKUP(C239,#REF!, 3, FALSE), "NO ENCONTRADO")</f>
        <v>NO ENCONTRADO</v>
      </c>
      <c r="G239" s="36" t="str">
        <f>IFERROR(VLOOKUP(C239,#REF!, 4, FALSE), "NO ENCONTRADO")</f>
        <v>NO ENCONTRADO</v>
      </c>
      <c r="H239" s="36" t="str">
        <f>IFERROR(VLOOKUP(C239,#REF!, 5, FALSE), "NO ENCONTRADO")</f>
        <v>NO ENCONTRADO</v>
      </c>
      <c r="I239" s="15"/>
      <c r="J239" s="36"/>
      <c r="K239" s="42"/>
      <c r="L239" s="15"/>
      <c r="M239" s="39">
        <f t="shared" ca="1" si="0"/>
        <v>46026</v>
      </c>
      <c r="N239" s="40" t="str">
        <f t="shared" ca="1" si="1"/>
        <v>✅</v>
      </c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 spans="1:28" ht="13" x14ac:dyDescent="0.15">
      <c r="A240" s="24">
        <f>'Scan to Sheets'!A240</f>
        <v>0</v>
      </c>
      <c r="B240" s="26">
        <f>'Scan to Sheets'!B240</f>
        <v>0</v>
      </c>
      <c r="C240" s="26">
        <f>'Scan to Sheets'!C240</f>
        <v>0</v>
      </c>
      <c r="D240" s="26">
        <f>'Scan to Sheets'!D240</f>
        <v>0</v>
      </c>
      <c r="E240" s="27" t="str">
        <f>IFERROR(VLOOKUP(C240,#REF!, 2, FALSE), "NO ENCONTRADO")</f>
        <v>NO ENCONTRADO</v>
      </c>
      <c r="F240" s="27" t="str">
        <f>IFERROR(VLOOKUP(C240,#REF!, 3, FALSE), "NO ENCONTRADO")</f>
        <v>NO ENCONTRADO</v>
      </c>
      <c r="G240" s="27" t="str">
        <f>IFERROR(VLOOKUP(C240,#REF!, 4, FALSE), "NO ENCONTRADO")</f>
        <v>NO ENCONTRADO</v>
      </c>
      <c r="H240" s="27" t="str">
        <f>IFERROR(VLOOKUP(C240,#REF!, 5, FALSE), "NO ENCONTRADO")</f>
        <v>NO ENCONTRADO</v>
      </c>
      <c r="I240" s="14"/>
      <c r="J240" s="27"/>
      <c r="K240" s="41"/>
      <c r="L240" s="14"/>
      <c r="M240" s="30">
        <f t="shared" ca="1" si="0"/>
        <v>46026</v>
      </c>
      <c r="N240" s="31" t="str">
        <f t="shared" ca="1" si="1"/>
        <v>✅</v>
      </c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 spans="1:28" ht="13" x14ac:dyDescent="0.15">
      <c r="A241" s="33">
        <f>'Scan to Sheets'!A241</f>
        <v>0</v>
      </c>
      <c r="B241" s="35">
        <f>'Scan to Sheets'!B241</f>
        <v>0</v>
      </c>
      <c r="C241" s="35">
        <f>'Scan to Sheets'!C241</f>
        <v>0</v>
      </c>
      <c r="D241" s="35">
        <f>'Scan to Sheets'!D241</f>
        <v>0</v>
      </c>
      <c r="E241" s="36" t="str">
        <f>IFERROR(VLOOKUP(C241,#REF!, 2, FALSE), "NO ENCONTRADO")</f>
        <v>NO ENCONTRADO</v>
      </c>
      <c r="F241" s="36" t="str">
        <f>IFERROR(VLOOKUP(C241,#REF!, 3, FALSE), "NO ENCONTRADO")</f>
        <v>NO ENCONTRADO</v>
      </c>
      <c r="G241" s="36" t="str">
        <f>IFERROR(VLOOKUP(C241,#REF!, 4, FALSE), "NO ENCONTRADO")</f>
        <v>NO ENCONTRADO</v>
      </c>
      <c r="H241" s="36" t="str">
        <f>IFERROR(VLOOKUP(C241,#REF!, 5, FALSE), "NO ENCONTRADO")</f>
        <v>NO ENCONTRADO</v>
      </c>
      <c r="I241" s="15"/>
      <c r="J241" s="36"/>
      <c r="K241" s="42"/>
      <c r="L241" s="15"/>
      <c r="M241" s="39">
        <f t="shared" ca="1" si="0"/>
        <v>46026</v>
      </c>
      <c r="N241" s="40" t="str">
        <f t="shared" ca="1" si="1"/>
        <v>✅</v>
      </c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 spans="1:28" ht="13" x14ac:dyDescent="0.15">
      <c r="A242" s="24">
        <f>'Scan to Sheets'!A242</f>
        <v>0</v>
      </c>
      <c r="B242" s="26">
        <f>'Scan to Sheets'!B242</f>
        <v>0</v>
      </c>
      <c r="C242" s="26">
        <f>'Scan to Sheets'!C242</f>
        <v>0</v>
      </c>
      <c r="D242" s="26">
        <f>'Scan to Sheets'!D242</f>
        <v>0</v>
      </c>
      <c r="E242" s="27" t="str">
        <f>IFERROR(VLOOKUP(C242,#REF!, 2, FALSE), "NO ENCONTRADO")</f>
        <v>NO ENCONTRADO</v>
      </c>
      <c r="F242" s="27" t="str">
        <f>IFERROR(VLOOKUP(C242,#REF!, 3, FALSE), "NO ENCONTRADO")</f>
        <v>NO ENCONTRADO</v>
      </c>
      <c r="G242" s="27" t="str">
        <f>IFERROR(VLOOKUP(C242,#REF!, 4, FALSE), "NO ENCONTRADO")</f>
        <v>NO ENCONTRADO</v>
      </c>
      <c r="H242" s="27" t="str">
        <f>IFERROR(VLOOKUP(C242,#REF!, 5, FALSE), "NO ENCONTRADO")</f>
        <v>NO ENCONTRADO</v>
      </c>
      <c r="I242" s="14"/>
      <c r="J242" s="27"/>
      <c r="K242" s="41"/>
      <c r="L242" s="14"/>
      <c r="M242" s="30">
        <f t="shared" ca="1" si="0"/>
        <v>46026</v>
      </c>
      <c r="N242" s="31" t="str">
        <f t="shared" ca="1" si="1"/>
        <v>✅</v>
      </c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 spans="1:28" ht="13" x14ac:dyDescent="0.15">
      <c r="A243" s="33">
        <f>'Scan to Sheets'!A243</f>
        <v>0</v>
      </c>
      <c r="B243" s="35">
        <f>'Scan to Sheets'!B243</f>
        <v>0</v>
      </c>
      <c r="C243" s="35">
        <f>'Scan to Sheets'!C243</f>
        <v>0</v>
      </c>
      <c r="D243" s="35">
        <f>'Scan to Sheets'!D243</f>
        <v>0</v>
      </c>
      <c r="E243" s="36" t="str">
        <f>IFERROR(VLOOKUP(C243,#REF!, 2, FALSE), "NO ENCONTRADO")</f>
        <v>NO ENCONTRADO</v>
      </c>
      <c r="F243" s="36" t="str">
        <f>IFERROR(VLOOKUP(C243,#REF!, 3, FALSE), "NO ENCONTRADO")</f>
        <v>NO ENCONTRADO</v>
      </c>
      <c r="G243" s="36" t="str">
        <f>IFERROR(VLOOKUP(C243,#REF!, 4, FALSE), "NO ENCONTRADO")</f>
        <v>NO ENCONTRADO</v>
      </c>
      <c r="H243" s="36" t="str">
        <f>IFERROR(VLOOKUP(C243,#REF!, 5, FALSE), "NO ENCONTRADO")</f>
        <v>NO ENCONTRADO</v>
      </c>
      <c r="I243" s="15"/>
      <c r="J243" s="36"/>
      <c r="K243" s="42"/>
      <c r="L243" s="15"/>
      <c r="M243" s="39">
        <f t="shared" ca="1" si="0"/>
        <v>46026</v>
      </c>
      <c r="N243" s="40" t="str">
        <f t="shared" ca="1" si="1"/>
        <v>✅</v>
      </c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spans="1:28" ht="13" x14ac:dyDescent="0.15">
      <c r="A244" s="24">
        <f>'Scan to Sheets'!A244</f>
        <v>0</v>
      </c>
      <c r="B244" s="26">
        <f>'Scan to Sheets'!B244</f>
        <v>0</v>
      </c>
      <c r="C244" s="26">
        <f>'Scan to Sheets'!C244</f>
        <v>0</v>
      </c>
      <c r="D244" s="26">
        <f>'Scan to Sheets'!D244</f>
        <v>0</v>
      </c>
      <c r="E244" s="27" t="str">
        <f>IFERROR(VLOOKUP(C244,#REF!, 2, FALSE), "NO ENCONTRADO")</f>
        <v>NO ENCONTRADO</v>
      </c>
      <c r="F244" s="27" t="str">
        <f>IFERROR(VLOOKUP(C244,#REF!, 3, FALSE), "NO ENCONTRADO")</f>
        <v>NO ENCONTRADO</v>
      </c>
      <c r="G244" s="27" t="str">
        <f>IFERROR(VLOOKUP(C244,#REF!, 4, FALSE), "NO ENCONTRADO")</f>
        <v>NO ENCONTRADO</v>
      </c>
      <c r="H244" s="27" t="str">
        <f>IFERROR(VLOOKUP(C244,#REF!, 5, FALSE), "NO ENCONTRADO")</f>
        <v>NO ENCONTRADO</v>
      </c>
      <c r="I244" s="14"/>
      <c r="J244" s="27"/>
      <c r="K244" s="41"/>
      <c r="L244" s="14"/>
      <c r="M244" s="30">
        <f t="shared" ca="1" si="0"/>
        <v>46026</v>
      </c>
      <c r="N244" s="31" t="str">
        <f t="shared" ca="1" si="1"/>
        <v>✅</v>
      </c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 ht="13" x14ac:dyDescent="0.15">
      <c r="A245" s="33">
        <f>'Scan to Sheets'!A245</f>
        <v>0</v>
      </c>
      <c r="B245" s="35">
        <f>'Scan to Sheets'!B245</f>
        <v>0</v>
      </c>
      <c r="C245" s="35">
        <f>'Scan to Sheets'!C245</f>
        <v>0</v>
      </c>
      <c r="D245" s="35">
        <f>'Scan to Sheets'!D245</f>
        <v>0</v>
      </c>
      <c r="E245" s="36" t="str">
        <f>IFERROR(VLOOKUP(C245,#REF!, 2, FALSE), "NO ENCONTRADO")</f>
        <v>NO ENCONTRADO</v>
      </c>
      <c r="F245" s="36" t="str">
        <f>IFERROR(VLOOKUP(C245,#REF!, 3, FALSE), "NO ENCONTRADO")</f>
        <v>NO ENCONTRADO</v>
      </c>
      <c r="G245" s="36" t="str">
        <f>IFERROR(VLOOKUP(C245,#REF!, 4, FALSE), "NO ENCONTRADO")</f>
        <v>NO ENCONTRADO</v>
      </c>
      <c r="H245" s="36" t="str">
        <f>IFERROR(VLOOKUP(C245,#REF!, 5, FALSE), "NO ENCONTRADO")</f>
        <v>NO ENCONTRADO</v>
      </c>
      <c r="I245" s="15"/>
      <c r="J245" s="36"/>
      <c r="K245" s="42"/>
      <c r="L245" s="15"/>
      <c r="M245" s="39">
        <f t="shared" ca="1" si="0"/>
        <v>46026</v>
      </c>
      <c r="N245" s="40" t="str">
        <f t="shared" ca="1" si="1"/>
        <v>✅</v>
      </c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spans="1:28" ht="13" x14ac:dyDescent="0.15">
      <c r="A246" s="24">
        <f>'Scan to Sheets'!A246</f>
        <v>0</v>
      </c>
      <c r="B246" s="26">
        <f>'Scan to Sheets'!B246</f>
        <v>0</v>
      </c>
      <c r="C246" s="26">
        <f>'Scan to Sheets'!C246</f>
        <v>0</v>
      </c>
      <c r="D246" s="26">
        <f>'Scan to Sheets'!D246</f>
        <v>0</v>
      </c>
      <c r="E246" s="27" t="str">
        <f>IFERROR(VLOOKUP(C246,#REF!, 2, FALSE), "NO ENCONTRADO")</f>
        <v>NO ENCONTRADO</v>
      </c>
      <c r="F246" s="27" t="str">
        <f>IFERROR(VLOOKUP(C246,#REF!, 3, FALSE), "NO ENCONTRADO")</f>
        <v>NO ENCONTRADO</v>
      </c>
      <c r="G246" s="27" t="str">
        <f>IFERROR(VLOOKUP(C246,#REF!, 4, FALSE), "NO ENCONTRADO")</f>
        <v>NO ENCONTRADO</v>
      </c>
      <c r="H246" s="27" t="str">
        <f>IFERROR(VLOOKUP(C246,#REF!, 5, FALSE), "NO ENCONTRADO")</f>
        <v>NO ENCONTRADO</v>
      </c>
      <c r="I246" s="14"/>
      <c r="J246" s="27"/>
      <c r="K246" s="41"/>
      <c r="L246" s="14"/>
      <c r="M246" s="30">
        <f t="shared" ca="1" si="0"/>
        <v>46026</v>
      </c>
      <c r="N246" s="31" t="str">
        <f t="shared" ca="1" si="1"/>
        <v>✅</v>
      </c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spans="1:28" ht="13" x14ac:dyDescent="0.15">
      <c r="A247" s="33">
        <f>'Scan to Sheets'!A247</f>
        <v>0</v>
      </c>
      <c r="B247" s="35">
        <f>'Scan to Sheets'!B247</f>
        <v>0</v>
      </c>
      <c r="C247" s="35">
        <f>'Scan to Sheets'!C247</f>
        <v>0</v>
      </c>
      <c r="D247" s="35">
        <f>'Scan to Sheets'!D247</f>
        <v>0</v>
      </c>
      <c r="E247" s="36" t="str">
        <f>IFERROR(VLOOKUP(C247,#REF!, 2, FALSE), "NO ENCONTRADO")</f>
        <v>NO ENCONTRADO</v>
      </c>
      <c r="F247" s="36" t="str">
        <f>IFERROR(VLOOKUP(C247,#REF!, 3, FALSE), "NO ENCONTRADO")</f>
        <v>NO ENCONTRADO</v>
      </c>
      <c r="G247" s="36" t="str">
        <f>IFERROR(VLOOKUP(C247,#REF!, 4, FALSE), "NO ENCONTRADO")</f>
        <v>NO ENCONTRADO</v>
      </c>
      <c r="H247" s="36" t="str">
        <f>IFERROR(VLOOKUP(C247,#REF!, 5, FALSE), "NO ENCONTRADO")</f>
        <v>NO ENCONTRADO</v>
      </c>
      <c r="I247" s="15"/>
      <c r="J247" s="36"/>
      <c r="K247" s="42"/>
      <c r="L247" s="15"/>
      <c r="M247" s="39">
        <f t="shared" ca="1" si="0"/>
        <v>46026</v>
      </c>
      <c r="N247" s="40" t="str">
        <f t="shared" ca="1" si="1"/>
        <v>✅</v>
      </c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spans="1:28" ht="13" x14ac:dyDescent="0.15">
      <c r="A248" s="24">
        <f>'Scan to Sheets'!A248</f>
        <v>0</v>
      </c>
      <c r="B248" s="26">
        <f>'Scan to Sheets'!B248</f>
        <v>0</v>
      </c>
      <c r="C248" s="26">
        <f>'Scan to Sheets'!C248</f>
        <v>0</v>
      </c>
      <c r="D248" s="26">
        <f>'Scan to Sheets'!D248</f>
        <v>0</v>
      </c>
      <c r="E248" s="27" t="str">
        <f>IFERROR(VLOOKUP(C248,#REF!, 2, FALSE), "NO ENCONTRADO")</f>
        <v>NO ENCONTRADO</v>
      </c>
      <c r="F248" s="27" t="str">
        <f>IFERROR(VLOOKUP(C248,#REF!, 3, FALSE), "NO ENCONTRADO")</f>
        <v>NO ENCONTRADO</v>
      </c>
      <c r="G248" s="27" t="str">
        <f>IFERROR(VLOOKUP(C248,#REF!, 4, FALSE), "NO ENCONTRADO")</f>
        <v>NO ENCONTRADO</v>
      </c>
      <c r="H248" s="27" t="str">
        <f>IFERROR(VLOOKUP(C248,#REF!, 5, FALSE), "NO ENCONTRADO")</f>
        <v>NO ENCONTRADO</v>
      </c>
      <c r="I248" s="14"/>
      <c r="J248" s="27"/>
      <c r="K248" s="41"/>
      <c r="L248" s="14"/>
      <c r="M248" s="30">
        <f t="shared" ca="1" si="0"/>
        <v>46026</v>
      </c>
      <c r="N248" s="31" t="str">
        <f t="shared" ca="1" si="1"/>
        <v>✅</v>
      </c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spans="1:28" ht="13" x14ac:dyDescent="0.15">
      <c r="A249" s="33">
        <f>'Scan to Sheets'!A249</f>
        <v>0</v>
      </c>
      <c r="B249" s="35">
        <f>'Scan to Sheets'!B249</f>
        <v>0</v>
      </c>
      <c r="C249" s="35">
        <f>'Scan to Sheets'!C249</f>
        <v>0</v>
      </c>
      <c r="D249" s="35">
        <f>'Scan to Sheets'!D249</f>
        <v>0</v>
      </c>
      <c r="E249" s="36" t="str">
        <f>IFERROR(VLOOKUP(C249,#REF!, 2, FALSE), "NO ENCONTRADO")</f>
        <v>NO ENCONTRADO</v>
      </c>
      <c r="F249" s="36" t="str">
        <f>IFERROR(VLOOKUP(C249,#REF!, 3, FALSE), "NO ENCONTRADO")</f>
        <v>NO ENCONTRADO</v>
      </c>
      <c r="G249" s="36" t="str">
        <f>IFERROR(VLOOKUP(C249,#REF!, 4, FALSE), "NO ENCONTRADO")</f>
        <v>NO ENCONTRADO</v>
      </c>
      <c r="H249" s="36" t="str">
        <f>IFERROR(VLOOKUP(C249,#REF!, 5, FALSE), "NO ENCONTRADO")</f>
        <v>NO ENCONTRADO</v>
      </c>
      <c r="I249" s="15"/>
      <c r="J249" s="36"/>
      <c r="K249" s="42"/>
      <c r="L249" s="15"/>
      <c r="M249" s="39">
        <f t="shared" ca="1" si="0"/>
        <v>46026</v>
      </c>
      <c r="N249" s="40" t="str">
        <f t="shared" ca="1" si="1"/>
        <v>✅</v>
      </c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spans="1:28" ht="13" x14ac:dyDescent="0.15">
      <c r="A250" s="24">
        <f>'Scan to Sheets'!A250</f>
        <v>0</v>
      </c>
      <c r="B250" s="26">
        <f>'Scan to Sheets'!B250</f>
        <v>0</v>
      </c>
      <c r="C250" s="26">
        <f>'Scan to Sheets'!C250</f>
        <v>0</v>
      </c>
      <c r="D250" s="26">
        <f>'Scan to Sheets'!D250</f>
        <v>0</v>
      </c>
      <c r="E250" s="27" t="str">
        <f>IFERROR(VLOOKUP(C250,#REF!, 2, FALSE), "NO ENCONTRADO")</f>
        <v>NO ENCONTRADO</v>
      </c>
      <c r="F250" s="27" t="str">
        <f>IFERROR(VLOOKUP(C250,#REF!, 3, FALSE), "NO ENCONTRADO")</f>
        <v>NO ENCONTRADO</v>
      </c>
      <c r="G250" s="27" t="str">
        <f>IFERROR(VLOOKUP(C250,#REF!, 4, FALSE), "NO ENCONTRADO")</f>
        <v>NO ENCONTRADO</v>
      </c>
      <c r="H250" s="27" t="str">
        <f>IFERROR(VLOOKUP(C250,#REF!, 5, FALSE), "NO ENCONTRADO")</f>
        <v>NO ENCONTRADO</v>
      </c>
      <c r="I250" s="14"/>
      <c r="J250" s="27"/>
      <c r="K250" s="41"/>
      <c r="L250" s="14"/>
      <c r="M250" s="30">
        <f t="shared" ca="1" si="0"/>
        <v>46026</v>
      </c>
      <c r="N250" s="31" t="str">
        <f t="shared" ca="1" si="1"/>
        <v>✅</v>
      </c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spans="1:28" ht="13" x14ac:dyDescent="0.15">
      <c r="A251" s="33">
        <f>'Scan to Sheets'!A251</f>
        <v>0</v>
      </c>
      <c r="B251" s="35">
        <f>'Scan to Sheets'!B251</f>
        <v>0</v>
      </c>
      <c r="C251" s="35">
        <f>'Scan to Sheets'!C251</f>
        <v>0</v>
      </c>
      <c r="D251" s="35">
        <f>'Scan to Sheets'!D251</f>
        <v>0</v>
      </c>
      <c r="E251" s="36" t="str">
        <f>IFERROR(VLOOKUP(C251,#REF!, 2, FALSE), "NO ENCONTRADO")</f>
        <v>NO ENCONTRADO</v>
      </c>
      <c r="F251" s="36" t="str">
        <f>IFERROR(VLOOKUP(C251,#REF!, 3, FALSE), "NO ENCONTRADO")</f>
        <v>NO ENCONTRADO</v>
      </c>
      <c r="G251" s="36" t="str">
        <f>IFERROR(VLOOKUP(C251,#REF!, 4, FALSE), "NO ENCONTRADO")</f>
        <v>NO ENCONTRADO</v>
      </c>
      <c r="H251" s="36" t="str">
        <f>IFERROR(VLOOKUP(C251,#REF!, 5, FALSE), "NO ENCONTRADO")</f>
        <v>NO ENCONTRADO</v>
      </c>
      <c r="I251" s="15"/>
      <c r="J251" s="36"/>
      <c r="K251" s="42"/>
      <c r="L251" s="15"/>
      <c r="M251" s="39">
        <f t="shared" ca="1" si="0"/>
        <v>46026</v>
      </c>
      <c r="N251" s="40" t="str">
        <f t="shared" ca="1" si="1"/>
        <v>✅</v>
      </c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spans="1:28" ht="13" x14ac:dyDescent="0.15">
      <c r="A252" s="24">
        <f>'Scan to Sheets'!A252</f>
        <v>0</v>
      </c>
      <c r="B252" s="26">
        <f>'Scan to Sheets'!B252</f>
        <v>0</v>
      </c>
      <c r="C252" s="26">
        <f>'Scan to Sheets'!C252</f>
        <v>0</v>
      </c>
      <c r="D252" s="26">
        <f>'Scan to Sheets'!D252</f>
        <v>0</v>
      </c>
      <c r="E252" s="27" t="str">
        <f>IFERROR(VLOOKUP(C252,#REF!, 2, FALSE), "NO ENCONTRADO")</f>
        <v>NO ENCONTRADO</v>
      </c>
      <c r="F252" s="27" t="str">
        <f>IFERROR(VLOOKUP(C252,#REF!, 3, FALSE), "NO ENCONTRADO")</f>
        <v>NO ENCONTRADO</v>
      </c>
      <c r="G252" s="27" t="str">
        <f>IFERROR(VLOOKUP(C252,#REF!, 4, FALSE), "NO ENCONTRADO")</f>
        <v>NO ENCONTRADO</v>
      </c>
      <c r="H252" s="27" t="str">
        <f>IFERROR(VLOOKUP(C252,#REF!, 5, FALSE), "NO ENCONTRADO")</f>
        <v>NO ENCONTRADO</v>
      </c>
      <c r="I252" s="14"/>
      <c r="J252" s="27"/>
      <c r="K252" s="41"/>
      <c r="L252" s="14"/>
      <c r="M252" s="30">
        <f t="shared" ca="1" si="0"/>
        <v>46026</v>
      </c>
      <c r="N252" s="31" t="str">
        <f t="shared" ca="1" si="1"/>
        <v>✅</v>
      </c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spans="1:28" ht="13" x14ac:dyDescent="0.15">
      <c r="A253" s="33">
        <f>'Scan to Sheets'!A253</f>
        <v>0</v>
      </c>
      <c r="B253" s="35">
        <f>'Scan to Sheets'!B253</f>
        <v>0</v>
      </c>
      <c r="C253" s="35">
        <f>'Scan to Sheets'!C253</f>
        <v>0</v>
      </c>
      <c r="D253" s="35">
        <f>'Scan to Sheets'!D253</f>
        <v>0</v>
      </c>
      <c r="E253" s="36" t="str">
        <f>IFERROR(VLOOKUP(C253,#REF!, 2, FALSE), "NO ENCONTRADO")</f>
        <v>NO ENCONTRADO</v>
      </c>
      <c r="F253" s="36" t="str">
        <f>IFERROR(VLOOKUP(C253,#REF!, 3, FALSE), "NO ENCONTRADO")</f>
        <v>NO ENCONTRADO</v>
      </c>
      <c r="G253" s="36" t="str">
        <f>IFERROR(VLOOKUP(C253,#REF!, 4, FALSE), "NO ENCONTRADO")</f>
        <v>NO ENCONTRADO</v>
      </c>
      <c r="H253" s="36" t="str">
        <f>IFERROR(VLOOKUP(C253,#REF!, 5, FALSE), "NO ENCONTRADO")</f>
        <v>NO ENCONTRADO</v>
      </c>
      <c r="I253" s="15"/>
      <c r="J253" s="36"/>
      <c r="K253" s="42"/>
      <c r="L253" s="15"/>
      <c r="M253" s="39">
        <f t="shared" ca="1" si="0"/>
        <v>46026</v>
      </c>
      <c r="N253" s="40" t="str">
        <f t="shared" ca="1" si="1"/>
        <v>✅</v>
      </c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spans="1:28" ht="13" x14ac:dyDescent="0.15">
      <c r="A254" s="24">
        <f>'Scan to Sheets'!A254</f>
        <v>0</v>
      </c>
      <c r="B254" s="26">
        <f>'Scan to Sheets'!B254</f>
        <v>0</v>
      </c>
      <c r="C254" s="26">
        <f>'Scan to Sheets'!C254</f>
        <v>0</v>
      </c>
      <c r="D254" s="26">
        <f>'Scan to Sheets'!D254</f>
        <v>0</v>
      </c>
      <c r="E254" s="27" t="str">
        <f>IFERROR(VLOOKUP(C254,#REF!, 2, FALSE), "NO ENCONTRADO")</f>
        <v>NO ENCONTRADO</v>
      </c>
      <c r="F254" s="27" t="str">
        <f>IFERROR(VLOOKUP(C254,#REF!, 3, FALSE), "NO ENCONTRADO")</f>
        <v>NO ENCONTRADO</v>
      </c>
      <c r="G254" s="27" t="str">
        <f>IFERROR(VLOOKUP(C254,#REF!, 4, FALSE), "NO ENCONTRADO")</f>
        <v>NO ENCONTRADO</v>
      </c>
      <c r="H254" s="27" t="str">
        <f>IFERROR(VLOOKUP(C254,#REF!, 5, FALSE), "NO ENCONTRADO")</f>
        <v>NO ENCONTRADO</v>
      </c>
      <c r="I254" s="14"/>
      <c r="J254" s="27"/>
      <c r="K254" s="41"/>
      <c r="L254" s="14"/>
      <c r="M254" s="30">
        <f t="shared" ca="1" si="0"/>
        <v>46026</v>
      </c>
      <c r="N254" s="31" t="str">
        <f t="shared" ca="1" si="1"/>
        <v>✅</v>
      </c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spans="1:28" ht="13" x14ac:dyDescent="0.15">
      <c r="A255" s="33">
        <f>'Scan to Sheets'!A255</f>
        <v>0</v>
      </c>
      <c r="B255" s="35">
        <f>'Scan to Sheets'!B255</f>
        <v>0</v>
      </c>
      <c r="C255" s="35">
        <f>'Scan to Sheets'!C255</f>
        <v>0</v>
      </c>
      <c r="D255" s="35">
        <f>'Scan to Sheets'!D255</f>
        <v>0</v>
      </c>
      <c r="E255" s="36" t="str">
        <f>IFERROR(VLOOKUP(C255,#REF!, 2, FALSE), "NO ENCONTRADO")</f>
        <v>NO ENCONTRADO</v>
      </c>
      <c r="F255" s="36" t="str">
        <f>IFERROR(VLOOKUP(C255,#REF!, 3, FALSE), "NO ENCONTRADO")</f>
        <v>NO ENCONTRADO</v>
      </c>
      <c r="G255" s="36" t="str">
        <f>IFERROR(VLOOKUP(C255,#REF!, 4, FALSE), "NO ENCONTRADO")</f>
        <v>NO ENCONTRADO</v>
      </c>
      <c r="H255" s="36" t="str">
        <f>IFERROR(VLOOKUP(C255,#REF!, 5, FALSE), "NO ENCONTRADO")</f>
        <v>NO ENCONTRADO</v>
      </c>
      <c r="I255" s="15"/>
      <c r="J255" s="36"/>
      <c r="K255" s="42"/>
      <c r="L255" s="15"/>
      <c r="M255" s="39">
        <f t="shared" ca="1" si="0"/>
        <v>46026</v>
      </c>
      <c r="N255" s="40" t="str">
        <f t="shared" ca="1" si="1"/>
        <v>✅</v>
      </c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spans="1:28" ht="13" x14ac:dyDescent="0.15">
      <c r="A256" s="24">
        <f>'Scan to Sheets'!A256</f>
        <v>0</v>
      </c>
      <c r="B256" s="26">
        <f>'Scan to Sheets'!B256</f>
        <v>0</v>
      </c>
      <c r="C256" s="26">
        <f>'Scan to Sheets'!C256</f>
        <v>0</v>
      </c>
      <c r="D256" s="26">
        <f>'Scan to Sheets'!D256</f>
        <v>0</v>
      </c>
      <c r="E256" s="27" t="str">
        <f>IFERROR(VLOOKUP(C256,#REF!, 2, FALSE), "NO ENCONTRADO")</f>
        <v>NO ENCONTRADO</v>
      </c>
      <c r="F256" s="27" t="str">
        <f>IFERROR(VLOOKUP(C256,#REF!, 3, FALSE), "NO ENCONTRADO")</f>
        <v>NO ENCONTRADO</v>
      </c>
      <c r="G256" s="27" t="str">
        <f>IFERROR(VLOOKUP(C256,#REF!, 4, FALSE), "NO ENCONTRADO")</f>
        <v>NO ENCONTRADO</v>
      </c>
      <c r="H256" s="27" t="str">
        <f>IFERROR(VLOOKUP(C256,#REF!, 5, FALSE), "NO ENCONTRADO")</f>
        <v>NO ENCONTRADO</v>
      </c>
      <c r="I256" s="14"/>
      <c r="J256" s="27"/>
      <c r="K256" s="41"/>
      <c r="L256" s="14"/>
      <c r="M256" s="30">
        <f t="shared" ca="1" si="0"/>
        <v>46026</v>
      </c>
      <c r="N256" s="31" t="str">
        <f t="shared" ca="1" si="1"/>
        <v>✅</v>
      </c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 spans="1:28" ht="13" x14ac:dyDescent="0.15">
      <c r="A257" s="33">
        <f>'Scan to Sheets'!A257</f>
        <v>0</v>
      </c>
      <c r="B257" s="35">
        <f>'Scan to Sheets'!B257</f>
        <v>0</v>
      </c>
      <c r="C257" s="35">
        <f>'Scan to Sheets'!C257</f>
        <v>0</v>
      </c>
      <c r="D257" s="35">
        <f>'Scan to Sheets'!D257</f>
        <v>0</v>
      </c>
      <c r="E257" s="36" t="str">
        <f>IFERROR(VLOOKUP(C257,#REF!, 2, FALSE), "NO ENCONTRADO")</f>
        <v>NO ENCONTRADO</v>
      </c>
      <c r="F257" s="36" t="str">
        <f>IFERROR(VLOOKUP(C257,#REF!, 3, FALSE), "NO ENCONTRADO")</f>
        <v>NO ENCONTRADO</v>
      </c>
      <c r="G257" s="36" t="str">
        <f>IFERROR(VLOOKUP(C257,#REF!, 4, FALSE), "NO ENCONTRADO")</f>
        <v>NO ENCONTRADO</v>
      </c>
      <c r="H257" s="36" t="str">
        <f>IFERROR(VLOOKUP(C257,#REF!, 5, FALSE), "NO ENCONTRADO")</f>
        <v>NO ENCONTRADO</v>
      </c>
      <c r="I257" s="15"/>
      <c r="J257" s="36"/>
      <c r="K257" s="42"/>
      <c r="L257" s="15"/>
      <c r="M257" s="39">
        <f t="shared" ca="1" si="0"/>
        <v>46026</v>
      </c>
      <c r="N257" s="40" t="str">
        <f t="shared" ca="1" si="1"/>
        <v>✅</v>
      </c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 spans="1:28" ht="13" x14ac:dyDescent="0.15">
      <c r="A258" s="24">
        <f>'Scan to Sheets'!A258</f>
        <v>0</v>
      </c>
      <c r="B258" s="26">
        <f>'Scan to Sheets'!B258</f>
        <v>0</v>
      </c>
      <c r="C258" s="26">
        <f>'Scan to Sheets'!C258</f>
        <v>0</v>
      </c>
      <c r="D258" s="26">
        <f>'Scan to Sheets'!D258</f>
        <v>0</v>
      </c>
      <c r="E258" s="27" t="str">
        <f>IFERROR(VLOOKUP(C258,#REF!, 2, FALSE), "NO ENCONTRADO")</f>
        <v>NO ENCONTRADO</v>
      </c>
      <c r="F258" s="27" t="str">
        <f>IFERROR(VLOOKUP(C258,#REF!, 3, FALSE), "NO ENCONTRADO")</f>
        <v>NO ENCONTRADO</v>
      </c>
      <c r="G258" s="27" t="str">
        <f>IFERROR(VLOOKUP(C258,#REF!, 4, FALSE), "NO ENCONTRADO")</f>
        <v>NO ENCONTRADO</v>
      </c>
      <c r="H258" s="27" t="str">
        <f>IFERROR(VLOOKUP(C258,#REF!, 5, FALSE), "NO ENCONTRADO")</f>
        <v>NO ENCONTRADO</v>
      </c>
      <c r="I258" s="14"/>
      <c r="J258" s="27"/>
      <c r="K258" s="41"/>
      <c r="L258" s="14"/>
      <c r="M258" s="30">
        <f t="shared" ca="1" si="0"/>
        <v>46026</v>
      </c>
      <c r="N258" s="31" t="str">
        <f t="shared" ca="1" si="1"/>
        <v>✅</v>
      </c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 spans="1:28" ht="13" x14ac:dyDescent="0.15">
      <c r="A259" s="33">
        <f>'Scan to Sheets'!A259</f>
        <v>0</v>
      </c>
      <c r="B259" s="35">
        <f>'Scan to Sheets'!B259</f>
        <v>0</v>
      </c>
      <c r="C259" s="35">
        <f>'Scan to Sheets'!C259</f>
        <v>0</v>
      </c>
      <c r="D259" s="35">
        <f>'Scan to Sheets'!D259</f>
        <v>0</v>
      </c>
      <c r="E259" s="36" t="str">
        <f>IFERROR(VLOOKUP(C259,#REF!, 2, FALSE), "NO ENCONTRADO")</f>
        <v>NO ENCONTRADO</v>
      </c>
      <c r="F259" s="36" t="str">
        <f>IFERROR(VLOOKUP(C259,#REF!, 3, FALSE), "NO ENCONTRADO")</f>
        <v>NO ENCONTRADO</v>
      </c>
      <c r="G259" s="36" t="str">
        <f>IFERROR(VLOOKUP(C259,#REF!, 4, FALSE), "NO ENCONTRADO")</f>
        <v>NO ENCONTRADO</v>
      </c>
      <c r="H259" s="36" t="str">
        <f>IFERROR(VLOOKUP(C259,#REF!, 5, FALSE), "NO ENCONTRADO")</f>
        <v>NO ENCONTRADO</v>
      </c>
      <c r="I259" s="15"/>
      <c r="J259" s="36"/>
      <c r="K259" s="42"/>
      <c r="L259" s="15"/>
      <c r="M259" s="39">
        <f t="shared" ca="1" si="0"/>
        <v>46026</v>
      </c>
      <c r="N259" s="40" t="str">
        <f t="shared" ca="1" si="1"/>
        <v>✅</v>
      </c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 spans="1:28" ht="13" x14ac:dyDescent="0.15">
      <c r="A260" s="24">
        <f>'Scan to Sheets'!A260</f>
        <v>0</v>
      </c>
      <c r="B260" s="26">
        <f>'Scan to Sheets'!B260</f>
        <v>0</v>
      </c>
      <c r="C260" s="26">
        <f>'Scan to Sheets'!C260</f>
        <v>0</v>
      </c>
      <c r="D260" s="26">
        <f>'Scan to Sheets'!D260</f>
        <v>0</v>
      </c>
      <c r="E260" s="27" t="str">
        <f>IFERROR(VLOOKUP(C260,#REF!, 2, FALSE), "NO ENCONTRADO")</f>
        <v>NO ENCONTRADO</v>
      </c>
      <c r="F260" s="27" t="str">
        <f>IFERROR(VLOOKUP(C260,#REF!, 3, FALSE), "NO ENCONTRADO")</f>
        <v>NO ENCONTRADO</v>
      </c>
      <c r="G260" s="27" t="str">
        <f>IFERROR(VLOOKUP(C260,#REF!, 4, FALSE), "NO ENCONTRADO")</f>
        <v>NO ENCONTRADO</v>
      </c>
      <c r="H260" s="27" t="str">
        <f>IFERROR(VLOOKUP(C260,#REF!, 5, FALSE), "NO ENCONTRADO")</f>
        <v>NO ENCONTRADO</v>
      </c>
      <c r="I260" s="14"/>
      <c r="J260" s="27"/>
      <c r="K260" s="41"/>
      <c r="L260" s="14"/>
      <c r="M260" s="30">
        <f t="shared" ca="1" si="0"/>
        <v>46026</v>
      </c>
      <c r="N260" s="31" t="str">
        <f t="shared" ca="1" si="1"/>
        <v>✅</v>
      </c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 spans="1:28" ht="13" x14ac:dyDescent="0.15">
      <c r="A261" s="33">
        <f>'Scan to Sheets'!A261</f>
        <v>0</v>
      </c>
      <c r="B261" s="35">
        <f>'Scan to Sheets'!B261</f>
        <v>0</v>
      </c>
      <c r="C261" s="35">
        <f>'Scan to Sheets'!C261</f>
        <v>0</v>
      </c>
      <c r="D261" s="35">
        <f>'Scan to Sheets'!D261</f>
        <v>0</v>
      </c>
      <c r="E261" s="36" t="str">
        <f>IFERROR(VLOOKUP(C261,#REF!, 2, FALSE), "NO ENCONTRADO")</f>
        <v>NO ENCONTRADO</v>
      </c>
      <c r="F261" s="36" t="str">
        <f>IFERROR(VLOOKUP(C261,#REF!, 3, FALSE), "NO ENCONTRADO")</f>
        <v>NO ENCONTRADO</v>
      </c>
      <c r="G261" s="36" t="str">
        <f>IFERROR(VLOOKUP(C261,#REF!, 4, FALSE), "NO ENCONTRADO")</f>
        <v>NO ENCONTRADO</v>
      </c>
      <c r="H261" s="36" t="str">
        <f>IFERROR(VLOOKUP(C261,#REF!, 5, FALSE), "NO ENCONTRADO")</f>
        <v>NO ENCONTRADO</v>
      </c>
      <c r="I261" s="15"/>
      <c r="J261" s="36"/>
      <c r="K261" s="42"/>
      <c r="L261" s="15"/>
      <c r="M261" s="39">
        <f t="shared" ca="1" si="0"/>
        <v>46026</v>
      </c>
      <c r="N261" s="40" t="str">
        <f t="shared" ca="1" si="1"/>
        <v>✅</v>
      </c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 spans="1:28" ht="13" x14ac:dyDescent="0.15">
      <c r="A262" s="24">
        <f>'Scan to Sheets'!A262</f>
        <v>0</v>
      </c>
      <c r="B262" s="26">
        <f>'Scan to Sheets'!B262</f>
        <v>0</v>
      </c>
      <c r="C262" s="26">
        <f>'Scan to Sheets'!C262</f>
        <v>0</v>
      </c>
      <c r="D262" s="26">
        <f>'Scan to Sheets'!D262</f>
        <v>0</v>
      </c>
      <c r="E262" s="27" t="str">
        <f>IFERROR(VLOOKUP(C262,#REF!, 2, FALSE), "NO ENCONTRADO")</f>
        <v>NO ENCONTRADO</v>
      </c>
      <c r="F262" s="27" t="str">
        <f>IFERROR(VLOOKUP(C262,#REF!, 3, FALSE), "NO ENCONTRADO")</f>
        <v>NO ENCONTRADO</v>
      </c>
      <c r="G262" s="27" t="str">
        <f>IFERROR(VLOOKUP(C262,#REF!, 4, FALSE), "NO ENCONTRADO")</f>
        <v>NO ENCONTRADO</v>
      </c>
      <c r="H262" s="27" t="str">
        <f>IFERROR(VLOOKUP(C262,#REF!, 5, FALSE), "NO ENCONTRADO")</f>
        <v>NO ENCONTRADO</v>
      </c>
      <c r="I262" s="14"/>
      <c r="J262" s="27"/>
      <c r="K262" s="41"/>
      <c r="L262" s="14"/>
      <c r="M262" s="30">
        <f t="shared" ca="1" si="0"/>
        <v>46026</v>
      </c>
      <c r="N262" s="31" t="str">
        <f t="shared" ca="1" si="1"/>
        <v>✅</v>
      </c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 spans="1:28" ht="13" x14ac:dyDescent="0.15">
      <c r="A263" s="33">
        <f>'Scan to Sheets'!A263</f>
        <v>0</v>
      </c>
      <c r="B263" s="35">
        <f>'Scan to Sheets'!B263</f>
        <v>0</v>
      </c>
      <c r="C263" s="35">
        <f>'Scan to Sheets'!C263</f>
        <v>0</v>
      </c>
      <c r="D263" s="35">
        <f>'Scan to Sheets'!D263</f>
        <v>0</v>
      </c>
      <c r="E263" s="36" t="str">
        <f>IFERROR(VLOOKUP(C263,#REF!, 2, FALSE), "NO ENCONTRADO")</f>
        <v>NO ENCONTRADO</v>
      </c>
      <c r="F263" s="36" t="str">
        <f>IFERROR(VLOOKUP(C263,#REF!, 3, FALSE), "NO ENCONTRADO")</f>
        <v>NO ENCONTRADO</v>
      </c>
      <c r="G263" s="36" t="str">
        <f>IFERROR(VLOOKUP(C263,#REF!, 4, FALSE), "NO ENCONTRADO")</f>
        <v>NO ENCONTRADO</v>
      </c>
      <c r="H263" s="36" t="str">
        <f>IFERROR(VLOOKUP(C263,#REF!, 5, FALSE), "NO ENCONTRADO")</f>
        <v>NO ENCONTRADO</v>
      </c>
      <c r="I263" s="15"/>
      <c r="J263" s="36"/>
      <c r="K263" s="42"/>
      <c r="L263" s="15"/>
      <c r="M263" s="39">
        <f t="shared" ca="1" si="0"/>
        <v>46026</v>
      </c>
      <c r="N263" s="40" t="str">
        <f t="shared" ca="1" si="1"/>
        <v>✅</v>
      </c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 spans="1:28" ht="13" x14ac:dyDescent="0.15">
      <c r="A264" s="24">
        <f>'Scan to Sheets'!A264</f>
        <v>0</v>
      </c>
      <c r="B264" s="26">
        <f>'Scan to Sheets'!B264</f>
        <v>0</v>
      </c>
      <c r="C264" s="26">
        <f>'Scan to Sheets'!C264</f>
        <v>0</v>
      </c>
      <c r="D264" s="26">
        <f>'Scan to Sheets'!D264</f>
        <v>0</v>
      </c>
      <c r="E264" s="27" t="str">
        <f>IFERROR(VLOOKUP(C264,#REF!, 2, FALSE), "NO ENCONTRADO")</f>
        <v>NO ENCONTRADO</v>
      </c>
      <c r="F264" s="27" t="str">
        <f>IFERROR(VLOOKUP(C264,#REF!, 3, FALSE), "NO ENCONTRADO")</f>
        <v>NO ENCONTRADO</v>
      </c>
      <c r="G264" s="27" t="str">
        <f>IFERROR(VLOOKUP(C264,#REF!, 4, FALSE), "NO ENCONTRADO")</f>
        <v>NO ENCONTRADO</v>
      </c>
      <c r="H264" s="27" t="str">
        <f>IFERROR(VLOOKUP(C264,#REF!, 5, FALSE), "NO ENCONTRADO")</f>
        <v>NO ENCONTRADO</v>
      </c>
      <c r="I264" s="14"/>
      <c r="J264" s="27"/>
      <c r="K264" s="41"/>
      <c r="L264" s="14"/>
      <c r="M264" s="30">
        <f t="shared" ca="1" si="0"/>
        <v>46026</v>
      </c>
      <c r="N264" s="31" t="str">
        <f t="shared" ca="1" si="1"/>
        <v>✅</v>
      </c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 spans="1:28" ht="13" x14ac:dyDescent="0.15">
      <c r="A265" s="33">
        <f>'Scan to Sheets'!A265</f>
        <v>0</v>
      </c>
      <c r="B265" s="35">
        <f>'Scan to Sheets'!B265</f>
        <v>0</v>
      </c>
      <c r="C265" s="35">
        <f>'Scan to Sheets'!C265</f>
        <v>0</v>
      </c>
      <c r="D265" s="35">
        <f>'Scan to Sheets'!D265</f>
        <v>0</v>
      </c>
      <c r="E265" s="36" t="str">
        <f>IFERROR(VLOOKUP(C265,#REF!, 2, FALSE), "NO ENCONTRADO")</f>
        <v>NO ENCONTRADO</v>
      </c>
      <c r="F265" s="36" t="str">
        <f>IFERROR(VLOOKUP(C265,#REF!, 3, FALSE), "NO ENCONTRADO")</f>
        <v>NO ENCONTRADO</v>
      </c>
      <c r="G265" s="36" t="str">
        <f>IFERROR(VLOOKUP(C265,#REF!, 4, FALSE), "NO ENCONTRADO")</f>
        <v>NO ENCONTRADO</v>
      </c>
      <c r="H265" s="36" t="str">
        <f>IFERROR(VLOOKUP(C265,#REF!, 5, FALSE), "NO ENCONTRADO")</f>
        <v>NO ENCONTRADO</v>
      </c>
      <c r="I265" s="15"/>
      <c r="J265" s="36"/>
      <c r="K265" s="42"/>
      <c r="L265" s="15"/>
      <c r="M265" s="39">
        <f t="shared" ca="1" si="0"/>
        <v>46026</v>
      </c>
      <c r="N265" s="40" t="str">
        <f t="shared" ca="1" si="1"/>
        <v>✅</v>
      </c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 spans="1:28" ht="13" x14ac:dyDescent="0.15">
      <c r="A266" s="24">
        <f>'Scan to Sheets'!A266</f>
        <v>0</v>
      </c>
      <c r="B266" s="26">
        <f>'Scan to Sheets'!B266</f>
        <v>0</v>
      </c>
      <c r="C266" s="26">
        <f>'Scan to Sheets'!C266</f>
        <v>0</v>
      </c>
      <c r="D266" s="26">
        <f>'Scan to Sheets'!D266</f>
        <v>0</v>
      </c>
      <c r="E266" s="27" t="str">
        <f>IFERROR(VLOOKUP(C266,#REF!, 2, FALSE), "NO ENCONTRADO")</f>
        <v>NO ENCONTRADO</v>
      </c>
      <c r="F266" s="27" t="str">
        <f>IFERROR(VLOOKUP(C266,#REF!, 3, FALSE), "NO ENCONTRADO")</f>
        <v>NO ENCONTRADO</v>
      </c>
      <c r="G266" s="27" t="str">
        <f>IFERROR(VLOOKUP(C266,#REF!, 4, FALSE), "NO ENCONTRADO")</f>
        <v>NO ENCONTRADO</v>
      </c>
      <c r="H266" s="27" t="str">
        <f>IFERROR(VLOOKUP(C266,#REF!, 5, FALSE), "NO ENCONTRADO")</f>
        <v>NO ENCONTRADO</v>
      </c>
      <c r="I266" s="14"/>
      <c r="J266" s="27"/>
      <c r="K266" s="41"/>
      <c r="L266" s="14"/>
      <c r="M266" s="30">
        <f t="shared" ca="1" si="0"/>
        <v>46026</v>
      </c>
      <c r="N266" s="31" t="str">
        <f t="shared" ca="1" si="1"/>
        <v>✅</v>
      </c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 spans="1:28" ht="13" x14ac:dyDescent="0.15">
      <c r="A267" s="33">
        <f>'Scan to Sheets'!A267</f>
        <v>0</v>
      </c>
      <c r="B267" s="35">
        <f>'Scan to Sheets'!B267</f>
        <v>0</v>
      </c>
      <c r="C267" s="35">
        <f>'Scan to Sheets'!C267</f>
        <v>0</v>
      </c>
      <c r="D267" s="35">
        <f>'Scan to Sheets'!D267</f>
        <v>0</v>
      </c>
      <c r="E267" s="36" t="str">
        <f>IFERROR(VLOOKUP(C267,#REF!, 2, FALSE), "NO ENCONTRADO")</f>
        <v>NO ENCONTRADO</v>
      </c>
      <c r="F267" s="36" t="str">
        <f>IFERROR(VLOOKUP(C267,#REF!, 3, FALSE), "NO ENCONTRADO")</f>
        <v>NO ENCONTRADO</v>
      </c>
      <c r="G267" s="36" t="str">
        <f>IFERROR(VLOOKUP(C267,#REF!, 4, FALSE), "NO ENCONTRADO")</f>
        <v>NO ENCONTRADO</v>
      </c>
      <c r="H267" s="36" t="str">
        <f>IFERROR(VLOOKUP(C267,#REF!, 5, FALSE), "NO ENCONTRADO")</f>
        <v>NO ENCONTRADO</v>
      </c>
      <c r="I267" s="15"/>
      <c r="J267" s="36"/>
      <c r="K267" s="42"/>
      <c r="L267" s="15"/>
      <c r="M267" s="39">
        <f t="shared" ca="1" si="0"/>
        <v>46026</v>
      </c>
      <c r="N267" s="40" t="str">
        <f t="shared" ca="1" si="1"/>
        <v>✅</v>
      </c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spans="1:28" ht="13" x14ac:dyDescent="0.15">
      <c r="A268" s="24">
        <f>'Scan to Sheets'!A268</f>
        <v>0</v>
      </c>
      <c r="B268" s="26">
        <f>'Scan to Sheets'!B268</f>
        <v>0</v>
      </c>
      <c r="C268" s="26">
        <f>'Scan to Sheets'!C268</f>
        <v>0</v>
      </c>
      <c r="D268" s="26">
        <f>'Scan to Sheets'!D268</f>
        <v>0</v>
      </c>
      <c r="E268" s="27" t="str">
        <f>IFERROR(VLOOKUP(C268,#REF!, 2, FALSE), "NO ENCONTRADO")</f>
        <v>NO ENCONTRADO</v>
      </c>
      <c r="F268" s="27" t="str">
        <f>IFERROR(VLOOKUP(C268,#REF!, 3, FALSE), "NO ENCONTRADO")</f>
        <v>NO ENCONTRADO</v>
      </c>
      <c r="G268" s="27" t="str">
        <f>IFERROR(VLOOKUP(C268,#REF!, 4, FALSE), "NO ENCONTRADO")</f>
        <v>NO ENCONTRADO</v>
      </c>
      <c r="H268" s="27" t="str">
        <f>IFERROR(VLOOKUP(C268,#REF!, 5, FALSE), "NO ENCONTRADO")</f>
        <v>NO ENCONTRADO</v>
      </c>
      <c r="I268" s="14"/>
      <c r="J268" s="27"/>
      <c r="K268" s="41"/>
      <c r="L268" s="14"/>
      <c r="M268" s="30">
        <f t="shared" ca="1" si="0"/>
        <v>46026</v>
      </c>
      <c r="N268" s="31" t="str">
        <f t="shared" ca="1" si="1"/>
        <v>✅</v>
      </c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spans="1:28" ht="13" x14ac:dyDescent="0.15">
      <c r="A269" s="33">
        <f>'Scan to Sheets'!A269</f>
        <v>0</v>
      </c>
      <c r="B269" s="35">
        <f>'Scan to Sheets'!B269</f>
        <v>0</v>
      </c>
      <c r="C269" s="35">
        <f>'Scan to Sheets'!C269</f>
        <v>0</v>
      </c>
      <c r="D269" s="35">
        <f>'Scan to Sheets'!D269</f>
        <v>0</v>
      </c>
      <c r="E269" s="36" t="str">
        <f>IFERROR(VLOOKUP(C269,#REF!, 2, FALSE), "NO ENCONTRADO")</f>
        <v>NO ENCONTRADO</v>
      </c>
      <c r="F269" s="36" t="str">
        <f>IFERROR(VLOOKUP(C269,#REF!, 3, FALSE), "NO ENCONTRADO")</f>
        <v>NO ENCONTRADO</v>
      </c>
      <c r="G269" s="36" t="str">
        <f>IFERROR(VLOOKUP(C269,#REF!, 4, FALSE), "NO ENCONTRADO")</f>
        <v>NO ENCONTRADO</v>
      </c>
      <c r="H269" s="36" t="str">
        <f>IFERROR(VLOOKUP(C269,#REF!, 5, FALSE), "NO ENCONTRADO")</f>
        <v>NO ENCONTRADO</v>
      </c>
      <c r="I269" s="15"/>
      <c r="J269" s="36"/>
      <c r="K269" s="42"/>
      <c r="L269" s="15"/>
      <c r="M269" s="39">
        <f t="shared" ca="1" si="0"/>
        <v>46026</v>
      </c>
      <c r="N269" s="40" t="str">
        <f t="shared" ca="1" si="1"/>
        <v>✅</v>
      </c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spans="1:28" ht="13" x14ac:dyDescent="0.15">
      <c r="A270" s="24">
        <f>'Scan to Sheets'!A270</f>
        <v>0</v>
      </c>
      <c r="B270" s="26">
        <f>'Scan to Sheets'!B270</f>
        <v>0</v>
      </c>
      <c r="C270" s="26">
        <f>'Scan to Sheets'!C270</f>
        <v>0</v>
      </c>
      <c r="D270" s="26">
        <f>'Scan to Sheets'!D270</f>
        <v>0</v>
      </c>
      <c r="E270" s="27" t="str">
        <f>IFERROR(VLOOKUP(C270,#REF!, 2, FALSE), "NO ENCONTRADO")</f>
        <v>NO ENCONTRADO</v>
      </c>
      <c r="F270" s="27" t="str">
        <f>IFERROR(VLOOKUP(C270,#REF!, 3, FALSE), "NO ENCONTRADO")</f>
        <v>NO ENCONTRADO</v>
      </c>
      <c r="G270" s="27" t="str">
        <f>IFERROR(VLOOKUP(C270,#REF!, 4, FALSE), "NO ENCONTRADO")</f>
        <v>NO ENCONTRADO</v>
      </c>
      <c r="H270" s="27" t="str">
        <f>IFERROR(VLOOKUP(C270,#REF!, 5, FALSE), "NO ENCONTRADO")</f>
        <v>NO ENCONTRADO</v>
      </c>
      <c r="I270" s="14"/>
      <c r="J270" s="27"/>
      <c r="K270" s="41"/>
      <c r="L270" s="14"/>
      <c r="M270" s="30">
        <f t="shared" ca="1" si="0"/>
        <v>46026</v>
      </c>
      <c r="N270" s="31" t="str">
        <f t="shared" ca="1" si="1"/>
        <v>✅</v>
      </c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spans="1:28" ht="13" x14ac:dyDescent="0.15">
      <c r="A271" s="33">
        <f>'Scan to Sheets'!A271</f>
        <v>0</v>
      </c>
      <c r="B271" s="35">
        <f>'Scan to Sheets'!B271</f>
        <v>0</v>
      </c>
      <c r="C271" s="35">
        <f>'Scan to Sheets'!C271</f>
        <v>0</v>
      </c>
      <c r="D271" s="35">
        <f>'Scan to Sheets'!D271</f>
        <v>0</v>
      </c>
      <c r="E271" s="36" t="str">
        <f>IFERROR(VLOOKUP(C271,#REF!, 2, FALSE), "NO ENCONTRADO")</f>
        <v>NO ENCONTRADO</v>
      </c>
      <c r="F271" s="36" t="str">
        <f>IFERROR(VLOOKUP(C271,#REF!, 3, FALSE), "NO ENCONTRADO")</f>
        <v>NO ENCONTRADO</v>
      </c>
      <c r="G271" s="36" t="str">
        <f>IFERROR(VLOOKUP(C271,#REF!, 4, FALSE), "NO ENCONTRADO")</f>
        <v>NO ENCONTRADO</v>
      </c>
      <c r="H271" s="36" t="str">
        <f>IFERROR(VLOOKUP(C271,#REF!, 5, FALSE), "NO ENCONTRADO")</f>
        <v>NO ENCONTRADO</v>
      </c>
      <c r="I271" s="15"/>
      <c r="J271" s="36"/>
      <c r="K271" s="42"/>
      <c r="L271" s="15"/>
      <c r="M271" s="39">
        <f t="shared" ca="1" si="0"/>
        <v>46026</v>
      </c>
      <c r="N271" s="40" t="str">
        <f t="shared" ca="1" si="1"/>
        <v>✅</v>
      </c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spans="1:28" ht="13" x14ac:dyDescent="0.15">
      <c r="A272" s="24">
        <f>'Scan to Sheets'!A272</f>
        <v>0</v>
      </c>
      <c r="B272" s="26">
        <f>'Scan to Sheets'!B272</f>
        <v>0</v>
      </c>
      <c r="C272" s="26">
        <f>'Scan to Sheets'!C272</f>
        <v>0</v>
      </c>
      <c r="D272" s="26">
        <f>'Scan to Sheets'!D272</f>
        <v>0</v>
      </c>
      <c r="E272" s="27" t="str">
        <f>IFERROR(VLOOKUP(C272,#REF!, 2, FALSE), "NO ENCONTRADO")</f>
        <v>NO ENCONTRADO</v>
      </c>
      <c r="F272" s="27" t="str">
        <f>IFERROR(VLOOKUP(C272,#REF!, 3, FALSE), "NO ENCONTRADO")</f>
        <v>NO ENCONTRADO</v>
      </c>
      <c r="G272" s="27" t="str">
        <f>IFERROR(VLOOKUP(C272,#REF!, 4, FALSE), "NO ENCONTRADO")</f>
        <v>NO ENCONTRADO</v>
      </c>
      <c r="H272" s="27" t="str">
        <f>IFERROR(VLOOKUP(C272,#REF!, 5, FALSE), "NO ENCONTRADO")</f>
        <v>NO ENCONTRADO</v>
      </c>
      <c r="I272" s="14"/>
      <c r="J272" s="27"/>
      <c r="K272" s="41"/>
      <c r="L272" s="14"/>
      <c r="M272" s="30">
        <f t="shared" ca="1" si="0"/>
        <v>46026</v>
      </c>
      <c r="N272" s="31" t="str">
        <f t="shared" ca="1" si="1"/>
        <v>✅</v>
      </c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spans="1:28" ht="13" x14ac:dyDescent="0.15">
      <c r="A273" s="33">
        <f>'Scan to Sheets'!A273</f>
        <v>0</v>
      </c>
      <c r="B273" s="35">
        <f>'Scan to Sheets'!B273</f>
        <v>0</v>
      </c>
      <c r="C273" s="35">
        <f>'Scan to Sheets'!C273</f>
        <v>0</v>
      </c>
      <c r="D273" s="35">
        <f>'Scan to Sheets'!D273</f>
        <v>0</v>
      </c>
      <c r="E273" s="36" t="str">
        <f>IFERROR(VLOOKUP(C273,#REF!, 2, FALSE), "NO ENCONTRADO")</f>
        <v>NO ENCONTRADO</v>
      </c>
      <c r="F273" s="36" t="str">
        <f>IFERROR(VLOOKUP(C273,#REF!, 3, FALSE), "NO ENCONTRADO")</f>
        <v>NO ENCONTRADO</v>
      </c>
      <c r="G273" s="36" t="str">
        <f>IFERROR(VLOOKUP(C273,#REF!, 4, FALSE), "NO ENCONTRADO")</f>
        <v>NO ENCONTRADO</v>
      </c>
      <c r="H273" s="36" t="str">
        <f>IFERROR(VLOOKUP(C273,#REF!, 5, FALSE), "NO ENCONTRADO")</f>
        <v>NO ENCONTRADO</v>
      </c>
      <c r="I273" s="15"/>
      <c r="J273" s="36"/>
      <c r="K273" s="42"/>
      <c r="L273" s="15"/>
      <c r="M273" s="39">
        <f t="shared" ca="1" si="0"/>
        <v>46026</v>
      </c>
      <c r="N273" s="40" t="str">
        <f t="shared" ca="1" si="1"/>
        <v>✅</v>
      </c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spans="1:28" ht="13" x14ac:dyDescent="0.15">
      <c r="A274" s="24">
        <f>'Scan to Sheets'!A274</f>
        <v>0</v>
      </c>
      <c r="B274" s="26">
        <f>'Scan to Sheets'!B274</f>
        <v>0</v>
      </c>
      <c r="C274" s="26">
        <f>'Scan to Sheets'!C274</f>
        <v>0</v>
      </c>
      <c r="D274" s="26">
        <f>'Scan to Sheets'!D274</f>
        <v>0</v>
      </c>
      <c r="E274" s="27" t="str">
        <f>IFERROR(VLOOKUP(C274,#REF!, 2, FALSE), "NO ENCONTRADO")</f>
        <v>NO ENCONTRADO</v>
      </c>
      <c r="F274" s="27" t="str">
        <f>IFERROR(VLOOKUP(C274,#REF!, 3, FALSE), "NO ENCONTRADO")</f>
        <v>NO ENCONTRADO</v>
      </c>
      <c r="G274" s="27" t="str">
        <f>IFERROR(VLOOKUP(C274,#REF!, 4, FALSE), "NO ENCONTRADO")</f>
        <v>NO ENCONTRADO</v>
      </c>
      <c r="H274" s="27" t="str">
        <f>IFERROR(VLOOKUP(C274,#REF!, 5, FALSE), "NO ENCONTRADO")</f>
        <v>NO ENCONTRADO</v>
      </c>
      <c r="I274" s="14"/>
      <c r="J274" s="27"/>
      <c r="K274" s="41"/>
      <c r="L274" s="14"/>
      <c r="M274" s="30">
        <f t="shared" ca="1" si="0"/>
        <v>46026</v>
      </c>
      <c r="N274" s="31" t="str">
        <f t="shared" ca="1" si="1"/>
        <v>✅</v>
      </c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spans="1:28" ht="13" x14ac:dyDescent="0.15">
      <c r="A275" s="33">
        <f>'Scan to Sheets'!A275</f>
        <v>0</v>
      </c>
      <c r="B275" s="35">
        <f>'Scan to Sheets'!B275</f>
        <v>0</v>
      </c>
      <c r="C275" s="35">
        <f>'Scan to Sheets'!C275</f>
        <v>0</v>
      </c>
      <c r="D275" s="35">
        <f>'Scan to Sheets'!D275</f>
        <v>0</v>
      </c>
      <c r="E275" s="36" t="str">
        <f>IFERROR(VLOOKUP(C275,#REF!, 2, FALSE), "NO ENCONTRADO")</f>
        <v>NO ENCONTRADO</v>
      </c>
      <c r="F275" s="36" t="str">
        <f>IFERROR(VLOOKUP(C275,#REF!, 3, FALSE), "NO ENCONTRADO")</f>
        <v>NO ENCONTRADO</v>
      </c>
      <c r="G275" s="36" t="str">
        <f>IFERROR(VLOOKUP(C275,#REF!, 4, FALSE), "NO ENCONTRADO")</f>
        <v>NO ENCONTRADO</v>
      </c>
      <c r="H275" s="36" t="str">
        <f>IFERROR(VLOOKUP(C275,#REF!, 5, FALSE), "NO ENCONTRADO")</f>
        <v>NO ENCONTRADO</v>
      </c>
      <c r="I275" s="15"/>
      <c r="J275" s="36"/>
      <c r="K275" s="42"/>
      <c r="L275" s="15"/>
      <c r="M275" s="39">
        <f t="shared" ca="1" si="0"/>
        <v>46026</v>
      </c>
      <c r="N275" s="40" t="str">
        <f t="shared" ca="1" si="1"/>
        <v>✅</v>
      </c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spans="1:28" ht="13" x14ac:dyDescent="0.15">
      <c r="A276" s="24">
        <f>'Scan to Sheets'!A276</f>
        <v>0</v>
      </c>
      <c r="B276" s="26">
        <f>'Scan to Sheets'!B276</f>
        <v>0</v>
      </c>
      <c r="C276" s="26">
        <f>'Scan to Sheets'!C276</f>
        <v>0</v>
      </c>
      <c r="D276" s="26">
        <f>'Scan to Sheets'!D276</f>
        <v>0</v>
      </c>
      <c r="E276" s="27" t="str">
        <f>IFERROR(VLOOKUP(C276,#REF!, 2, FALSE), "NO ENCONTRADO")</f>
        <v>NO ENCONTRADO</v>
      </c>
      <c r="F276" s="27" t="str">
        <f>IFERROR(VLOOKUP(C276,#REF!, 3, FALSE), "NO ENCONTRADO")</f>
        <v>NO ENCONTRADO</v>
      </c>
      <c r="G276" s="27" t="str">
        <f>IFERROR(VLOOKUP(C276,#REF!, 4, FALSE), "NO ENCONTRADO")</f>
        <v>NO ENCONTRADO</v>
      </c>
      <c r="H276" s="27" t="str">
        <f>IFERROR(VLOOKUP(C276,#REF!, 5, FALSE), "NO ENCONTRADO")</f>
        <v>NO ENCONTRADO</v>
      </c>
      <c r="I276" s="14"/>
      <c r="J276" s="27"/>
      <c r="K276" s="41"/>
      <c r="L276" s="14"/>
      <c r="M276" s="30">
        <f t="shared" ca="1" si="0"/>
        <v>46026</v>
      </c>
      <c r="N276" s="31" t="str">
        <f t="shared" ca="1" si="1"/>
        <v>✅</v>
      </c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spans="1:28" ht="13" x14ac:dyDescent="0.15">
      <c r="A277" s="33">
        <f>'Scan to Sheets'!A277</f>
        <v>0</v>
      </c>
      <c r="B277" s="35">
        <f>'Scan to Sheets'!B277</f>
        <v>0</v>
      </c>
      <c r="C277" s="35">
        <f>'Scan to Sheets'!C277</f>
        <v>0</v>
      </c>
      <c r="D277" s="35">
        <f>'Scan to Sheets'!D277</f>
        <v>0</v>
      </c>
      <c r="E277" s="36" t="str">
        <f>IFERROR(VLOOKUP(C277,#REF!, 2, FALSE), "NO ENCONTRADO")</f>
        <v>NO ENCONTRADO</v>
      </c>
      <c r="F277" s="36" t="str">
        <f>IFERROR(VLOOKUP(C277,#REF!, 3, FALSE), "NO ENCONTRADO")</f>
        <v>NO ENCONTRADO</v>
      </c>
      <c r="G277" s="36" t="str">
        <f>IFERROR(VLOOKUP(C277,#REF!, 4, FALSE), "NO ENCONTRADO")</f>
        <v>NO ENCONTRADO</v>
      </c>
      <c r="H277" s="36" t="str">
        <f>IFERROR(VLOOKUP(C277,#REF!, 5, FALSE), "NO ENCONTRADO")</f>
        <v>NO ENCONTRADO</v>
      </c>
      <c r="I277" s="15"/>
      <c r="J277" s="36"/>
      <c r="K277" s="42"/>
      <c r="L277" s="15"/>
      <c r="M277" s="39">
        <f t="shared" ca="1" si="0"/>
        <v>46026</v>
      </c>
      <c r="N277" s="40" t="str">
        <f t="shared" ca="1" si="1"/>
        <v>✅</v>
      </c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spans="1:28" ht="13" x14ac:dyDescent="0.15">
      <c r="A278" s="24">
        <f>'Scan to Sheets'!A278</f>
        <v>0</v>
      </c>
      <c r="B278" s="26">
        <f>'Scan to Sheets'!B278</f>
        <v>0</v>
      </c>
      <c r="C278" s="26">
        <f>'Scan to Sheets'!C278</f>
        <v>0</v>
      </c>
      <c r="D278" s="26">
        <f>'Scan to Sheets'!D278</f>
        <v>0</v>
      </c>
      <c r="E278" s="27" t="str">
        <f>IFERROR(VLOOKUP(C278,#REF!, 2, FALSE), "NO ENCONTRADO")</f>
        <v>NO ENCONTRADO</v>
      </c>
      <c r="F278" s="27" t="str">
        <f>IFERROR(VLOOKUP(C278,#REF!, 3, FALSE), "NO ENCONTRADO")</f>
        <v>NO ENCONTRADO</v>
      </c>
      <c r="G278" s="27" t="str">
        <f>IFERROR(VLOOKUP(C278,#REF!, 4, FALSE), "NO ENCONTRADO")</f>
        <v>NO ENCONTRADO</v>
      </c>
      <c r="H278" s="27" t="str">
        <f>IFERROR(VLOOKUP(C278,#REF!, 5, FALSE), "NO ENCONTRADO")</f>
        <v>NO ENCONTRADO</v>
      </c>
      <c r="I278" s="14"/>
      <c r="J278" s="27"/>
      <c r="K278" s="41"/>
      <c r="L278" s="14"/>
      <c r="M278" s="30">
        <f t="shared" ca="1" si="0"/>
        <v>46026</v>
      </c>
      <c r="N278" s="31" t="str">
        <f t="shared" ca="1" si="1"/>
        <v>✅</v>
      </c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spans="1:28" ht="13" x14ac:dyDescent="0.15">
      <c r="A279" s="33">
        <f>'Scan to Sheets'!A279</f>
        <v>0</v>
      </c>
      <c r="B279" s="35">
        <f>'Scan to Sheets'!B279</f>
        <v>0</v>
      </c>
      <c r="C279" s="35">
        <f>'Scan to Sheets'!C279</f>
        <v>0</v>
      </c>
      <c r="D279" s="35">
        <f>'Scan to Sheets'!D279</f>
        <v>0</v>
      </c>
      <c r="E279" s="36" t="str">
        <f>IFERROR(VLOOKUP(C279,#REF!, 2, FALSE), "NO ENCONTRADO")</f>
        <v>NO ENCONTRADO</v>
      </c>
      <c r="F279" s="36" t="str">
        <f>IFERROR(VLOOKUP(C279,#REF!, 3, FALSE), "NO ENCONTRADO")</f>
        <v>NO ENCONTRADO</v>
      </c>
      <c r="G279" s="36" t="str">
        <f>IFERROR(VLOOKUP(C279,#REF!, 4, FALSE), "NO ENCONTRADO")</f>
        <v>NO ENCONTRADO</v>
      </c>
      <c r="H279" s="36" t="str">
        <f>IFERROR(VLOOKUP(C279,#REF!, 5, FALSE), "NO ENCONTRADO")</f>
        <v>NO ENCONTRADO</v>
      </c>
      <c r="I279" s="15"/>
      <c r="J279" s="36"/>
      <c r="K279" s="42"/>
      <c r="L279" s="15"/>
      <c r="M279" s="39">
        <f t="shared" ca="1" si="0"/>
        <v>46026</v>
      </c>
      <c r="N279" s="40" t="str">
        <f t="shared" ca="1" si="1"/>
        <v>✅</v>
      </c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spans="1:28" ht="13" x14ac:dyDescent="0.15">
      <c r="A280" s="24">
        <f>'Scan to Sheets'!A280</f>
        <v>0</v>
      </c>
      <c r="B280" s="26">
        <f>'Scan to Sheets'!B280</f>
        <v>0</v>
      </c>
      <c r="C280" s="26">
        <f>'Scan to Sheets'!C280</f>
        <v>0</v>
      </c>
      <c r="D280" s="26">
        <f>'Scan to Sheets'!D280</f>
        <v>0</v>
      </c>
      <c r="E280" s="27" t="str">
        <f>IFERROR(VLOOKUP(C280,#REF!, 2, FALSE), "NO ENCONTRADO")</f>
        <v>NO ENCONTRADO</v>
      </c>
      <c r="F280" s="27" t="str">
        <f>IFERROR(VLOOKUP(C280,#REF!, 3, FALSE), "NO ENCONTRADO")</f>
        <v>NO ENCONTRADO</v>
      </c>
      <c r="G280" s="27" t="str">
        <f>IFERROR(VLOOKUP(C280,#REF!, 4, FALSE), "NO ENCONTRADO")</f>
        <v>NO ENCONTRADO</v>
      </c>
      <c r="H280" s="27" t="str">
        <f>IFERROR(VLOOKUP(C280,#REF!, 5, FALSE), "NO ENCONTRADO")</f>
        <v>NO ENCONTRADO</v>
      </c>
      <c r="I280" s="14"/>
      <c r="J280" s="27"/>
      <c r="K280" s="41"/>
      <c r="L280" s="14"/>
      <c r="M280" s="30">
        <f t="shared" ca="1" si="0"/>
        <v>46026</v>
      </c>
      <c r="N280" s="31" t="str">
        <f t="shared" ca="1" si="1"/>
        <v>✅</v>
      </c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 spans="1:28" ht="13" x14ac:dyDescent="0.15">
      <c r="A281" s="33">
        <f>'Scan to Sheets'!A281</f>
        <v>0</v>
      </c>
      <c r="B281" s="35">
        <f>'Scan to Sheets'!B281</f>
        <v>0</v>
      </c>
      <c r="C281" s="35">
        <f>'Scan to Sheets'!C281</f>
        <v>0</v>
      </c>
      <c r="D281" s="35">
        <f>'Scan to Sheets'!D281</f>
        <v>0</v>
      </c>
      <c r="E281" s="36" t="str">
        <f>IFERROR(VLOOKUP(C281,#REF!, 2, FALSE), "NO ENCONTRADO")</f>
        <v>NO ENCONTRADO</v>
      </c>
      <c r="F281" s="36" t="str">
        <f>IFERROR(VLOOKUP(C281,#REF!, 3, FALSE), "NO ENCONTRADO")</f>
        <v>NO ENCONTRADO</v>
      </c>
      <c r="G281" s="36" t="str">
        <f>IFERROR(VLOOKUP(C281,#REF!, 4, FALSE), "NO ENCONTRADO")</f>
        <v>NO ENCONTRADO</v>
      </c>
      <c r="H281" s="36" t="str">
        <f>IFERROR(VLOOKUP(C281,#REF!, 5, FALSE), "NO ENCONTRADO")</f>
        <v>NO ENCONTRADO</v>
      </c>
      <c r="I281" s="15"/>
      <c r="J281" s="36"/>
      <c r="K281" s="42"/>
      <c r="L281" s="15"/>
      <c r="M281" s="39">
        <f t="shared" ca="1" si="0"/>
        <v>46026</v>
      </c>
      <c r="N281" s="40" t="str">
        <f t="shared" ca="1" si="1"/>
        <v>✅</v>
      </c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 spans="1:28" ht="13" x14ac:dyDescent="0.15">
      <c r="A282" s="24">
        <f>'Scan to Sheets'!A282</f>
        <v>0</v>
      </c>
      <c r="B282" s="26">
        <f>'Scan to Sheets'!B282</f>
        <v>0</v>
      </c>
      <c r="C282" s="26">
        <f>'Scan to Sheets'!C282</f>
        <v>0</v>
      </c>
      <c r="D282" s="26">
        <f>'Scan to Sheets'!D282</f>
        <v>0</v>
      </c>
      <c r="E282" s="27" t="str">
        <f>IFERROR(VLOOKUP(C282,#REF!, 2, FALSE), "NO ENCONTRADO")</f>
        <v>NO ENCONTRADO</v>
      </c>
      <c r="F282" s="27" t="str">
        <f>IFERROR(VLOOKUP(C282,#REF!, 3, FALSE), "NO ENCONTRADO")</f>
        <v>NO ENCONTRADO</v>
      </c>
      <c r="G282" s="27" t="str">
        <f>IFERROR(VLOOKUP(C282,#REF!, 4, FALSE), "NO ENCONTRADO")</f>
        <v>NO ENCONTRADO</v>
      </c>
      <c r="H282" s="27" t="str">
        <f>IFERROR(VLOOKUP(C282,#REF!, 5, FALSE), "NO ENCONTRADO")</f>
        <v>NO ENCONTRADO</v>
      </c>
      <c r="I282" s="14"/>
      <c r="J282" s="27"/>
      <c r="K282" s="41"/>
      <c r="L282" s="14"/>
      <c r="M282" s="30">
        <f t="shared" ca="1" si="0"/>
        <v>46026</v>
      </c>
      <c r="N282" s="31" t="str">
        <f t="shared" ca="1" si="1"/>
        <v>✅</v>
      </c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 spans="1:28" ht="13" x14ac:dyDescent="0.15">
      <c r="A283" s="33">
        <f>'Scan to Sheets'!A283</f>
        <v>0</v>
      </c>
      <c r="B283" s="35">
        <f>'Scan to Sheets'!B283</f>
        <v>0</v>
      </c>
      <c r="C283" s="35">
        <f>'Scan to Sheets'!C283</f>
        <v>0</v>
      </c>
      <c r="D283" s="35">
        <f>'Scan to Sheets'!D283</f>
        <v>0</v>
      </c>
      <c r="E283" s="36" t="str">
        <f>IFERROR(VLOOKUP(C283,#REF!, 2, FALSE), "NO ENCONTRADO")</f>
        <v>NO ENCONTRADO</v>
      </c>
      <c r="F283" s="36" t="str">
        <f>IFERROR(VLOOKUP(C283,#REF!, 3, FALSE), "NO ENCONTRADO")</f>
        <v>NO ENCONTRADO</v>
      </c>
      <c r="G283" s="36" t="str">
        <f>IFERROR(VLOOKUP(C283,#REF!, 4, FALSE), "NO ENCONTRADO")</f>
        <v>NO ENCONTRADO</v>
      </c>
      <c r="H283" s="36" t="str">
        <f>IFERROR(VLOOKUP(C283,#REF!, 5, FALSE), "NO ENCONTRADO")</f>
        <v>NO ENCONTRADO</v>
      </c>
      <c r="I283" s="15"/>
      <c r="J283" s="36"/>
      <c r="K283" s="42"/>
      <c r="L283" s="15"/>
      <c r="M283" s="39">
        <f t="shared" ca="1" si="0"/>
        <v>46026</v>
      </c>
      <c r="N283" s="40" t="str">
        <f t="shared" ca="1" si="1"/>
        <v>✅</v>
      </c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 spans="1:28" ht="13" x14ac:dyDescent="0.15">
      <c r="A284" s="24">
        <f>'Scan to Sheets'!A284</f>
        <v>0</v>
      </c>
      <c r="B284" s="26">
        <f>'Scan to Sheets'!B284</f>
        <v>0</v>
      </c>
      <c r="C284" s="26">
        <f>'Scan to Sheets'!C284</f>
        <v>0</v>
      </c>
      <c r="D284" s="26">
        <f>'Scan to Sheets'!D284</f>
        <v>0</v>
      </c>
      <c r="E284" s="27" t="str">
        <f>IFERROR(VLOOKUP(C284,#REF!, 2, FALSE), "NO ENCONTRADO")</f>
        <v>NO ENCONTRADO</v>
      </c>
      <c r="F284" s="27" t="str">
        <f>IFERROR(VLOOKUP(C284,#REF!, 3, FALSE), "NO ENCONTRADO")</f>
        <v>NO ENCONTRADO</v>
      </c>
      <c r="G284" s="27" t="str">
        <f>IFERROR(VLOOKUP(C284,#REF!, 4, FALSE), "NO ENCONTRADO")</f>
        <v>NO ENCONTRADO</v>
      </c>
      <c r="H284" s="27" t="str">
        <f>IFERROR(VLOOKUP(C284,#REF!, 5, FALSE), "NO ENCONTRADO")</f>
        <v>NO ENCONTRADO</v>
      </c>
      <c r="I284" s="14"/>
      <c r="J284" s="27"/>
      <c r="K284" s="41"/>
      <c r="L284" s="14"/>
      <c r="M284" s="30">
        <f t="shared" ca="1" si="0"/>
        <v>46026</v>
      </c>
      <c r="N284" s="31" t="str">
        <f t="shared" ca="1" si="1"/>
        <v>✅</v>
      </c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 spans="1:28" ht="13" x14ac:dyDescent="0.15">
      <c r="A285" s="33">
        <f>'Scan to Sheets'!A285</f>
        <v>0</v>
      </c>
      <c r="B285" s="35">
        <f>'Scan to Sheets'!B285</f>
        <v>0</v>
      </c>
      <c r="C285" s="35">
        <f>'Scan to Sheets'!C285</f>
        <v>0</v>
      </c>
      <c r="D285" s="35">
        <f>'Scan to Sheets'!D285</f>
        <v>0</v>
      </c>
      <c r="E285" s="36" t="str">
        <f>IFERROR(VLOOKUP(C285,#REF!, 2, FALSE), "NO ENCONTRADO")</f>
        <v>NO ENCONTRADO</v>
      </c>
      <c r="F285" s="36" t="str">
        <f>IFERROR(VLOOKUP(C285,#REF!, 3, FALSE), "NO ENCONTRADO")</f>
        <v>NO ENCONTRADO</v>
      </c>
      <c r="G285" s="36" t="str">
        <f>IFERROR(VLOOKUP(C285,#REF!, 4, FALSE), "NO ENCONTRADO")</f>
        <v>NO ENCONTRADO</v>
      </c>
      <c r="H285" s="36" t="str">
        <f>IFERROR(VLOOKUP(C285,#REF!, 5, FALSE), "NO ENCONTRADO")</f>
        <v>NO ENCONTRADO</v>
      </c>
      <c r="I285" s="15"/>
      <c r="J285" s="36"/>
      <c r="K285" s="42"/>
      <c r="L285" s="15"/>
      <c r="M285" s="39">
        <f t="shared" ca="1" si="0"/>
        <v>46026</v>
      </c>
      <c r="N285" s="40" t="str">
        <f t="shared" ca="1" si="1"/>
        <v>✅</v>
      </c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 spans="1:28" ht="13" x14ac:dyDescent="0.15">
      <c r="A286" s="24">
        <f>'Scan to Sheets'!A286</f>
        <v>0</v>
      </c>
      <c r="B286" s="26">
        <f>'Scan to Sheets'!B286</f>
        <v>0</v>
      </c>
      <c r="C286" s="26">
        <f>'Scan to Sheets'!C286</f>
        <v>0</v>
      </c>
      <c r="D286" s="26">
        <f>'Scan to Sheets'!D286</f>
        <v>0</v>
      </c>
      <c r="E286" s="27" t="str">
        <f>IFERROR(VLOOKUP(C286,#REF!, 2, FALSE), "NO ENCONTRADO")</f>
        <v>NO ENCONTRADO</v>
      </c>
      <c r="F286" s="27" t="str">
        <f>IFERROR(VLOOKUP(C286,#REF!, 3, FALSE), "NO ENCONTRADO")</f>
        <v>NO ENCONTRADO</v>
      </c>
      <c r="G286" s="27" t="str">
        <f>IFERROR(VLOOKUP(C286,#REF!, 4, FALSE), "NO ENCONTRADO")</f>
        <v>NO ENCONTRADO</v>
      </c>
      <c r="H286" s="27" t="str">
        <f>IFERROR(VLOOKUP(C286,#REF!, 5, FALSE), "NO ENCONTRADO")</f>
        <v>NO ENCONTRADO</v>
      </c>
      <c r="I286" s="14"/>
      <c r="J286" s="27"/>
      <c r="K286" s="41"/>
      <c r="L286" s="14"/>
      <c r="M286" s="30">
        <f t="shared" ca="1" si="0"/>
        <v>46026</v>
      </c>
      <c r="N286" s="31" t="str">
        <f t="shared" ca="1" si="1"/>
        <v>✅</v>
      </c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 spans="1:28" ht="13" x14ac:dyDescent="0.15">
      <c r="A287" s="33">
        <f>'Scan to Sheets'!A287</f>
        <v>0</v>
      </c>
      <c r="B287" s="35">
        <f>'Scan to Sheets'!B287</f>
        <v>0</v>
      </c>
      <c r="C287" s="35">
        <f>'Scan to Sheets'!C287</f>
        <v>0</v>
      </c>
      <c r="D287" s="35">
        <f>'Scan to Sheets'!D287</f>
        <v>0</v>
      </c>
      <c r="E287" s="36" t="str">
        <f>IFERROR(VLOOKUP(C287,#REF!, 2, FALSE), "NO ENCONTRADO")</f>
        <v>NO ENCONTRADO</v>
      </c>
      <c r="F287" s="36" t="str">
        <f>IFERROR(VLOOKUP(C287,#REF!, 3, FALSE), "NO ENCONTRADO")</f>
        <v>NO ENCONTRADO</v>
      </c>
      <c r="G287" s="36" t="str">
        <f>IFERROR(VLOOKUP(C287,#REF!, 4, FALSE), "NO ENCONTRADO")</f>
        <v>NO ENCONTRADO</v>
      </c>
      <c r="H287" s="36" t="str">
        <f>IFERROR(VLOOKUP(C287,#REF!, 5, FALSE), "NO ENCONTRADO")</f>
        <v>NO ENCONTRADO</v>
      </c>
      <c r="I287" s="15"/>
      <c r="J287" s="36"/>
      <c r="K287" s="42"/>
      <c r="L287" s="15"/>
      <c r="M287" s="39">
        <f t="shared" ca="1" si="0"/>
        <v>46026</v>
      </c>
      <c r="N287" s="40" t="str">
        <f t="shared" ca="1" si="1"/>
        <v>✅</v>
      </c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 spans="1:28" ht="13" x14ac:dyDescent="0.15">
      <c r="A288" s="24">
        <f>'Scan to Sheets'!A288</f>
        <v>0</v>
      </c>
      <c r="B288" s="26">
        <f>'Scan to Sheets'!B288</f>
        <v>0</v>
      </c>
      <c r="C288" s="26">
        <f>'Scan to Sheets'!C288</f>
        <v>0</v>
      </c>
      <c r="D288" s="26">
        <f>'Scan to Sheets'!D288</f>
        <v>0</v>
      </c>
      <c r="E288" s="27" t="str">
        <f>IFERROR(VLOOKUP(C288,#REF!, 2, FALSE), "NO ENCONTRADO")</f>
        <v>NO ENCONTRADO</v>
      </c>
      <c r="F288" s="27" t="str">
        <f>IFERROR(VLOOKUP(C288,#REF!, 3, FALSE), "NO ENCONTRADO")</f>
        <v>NO ENCONTRADO</v>
      </c>
      <c r="G288" s="27" t="str">
        <f>IFERROR(VLOOKUP(C288,#REF!, 4, FALSE), "NO ENCONTRADO")</f>
        <v>NO ENCONTRADO</v>
      </c>
      <c r="H288" s="27" t="str">
        <f>IFERROR(VLOOKUP(C288,#REF!, 5, FALSE), "NO ENCONTRADO")</f>
        <v>NO ENCONTRADO</v>
      </c>
      <c r="I288" s="14"/>
      <c r="J288" s="27"/>
      <c r="K288" s="41"/>
      <c r="L288" s="14"/>
      <c r="M288" s="30">
        <f t="shared" ca="1" si="0"/>
        <v>46026</v>
      </c>
      <c r="N288" s="31" t="str">
        <f t="shared" ca="1" si="1"/>
        <v>✅</v>
      </c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 spans="1:28" ht="13" x14ac:dyDescent="0.15">
      <c r="A289" s="33">
        <f>'Scan to Sheets'!A289</f>
        <v>0</v>
      </c>
      <c r="B289" s="35">
        <f>'Scan to Sheets'!B289</f>
        <v>0</v>
      </c>
      <c r="C289" s="35">
        <f>'Scan to Sheets'!C289</f>
        <v>0</v>
      </c>
      <c r="D289" s="35">
        <f>'Scan to Sheets'!D289</f>
        <v>0</v>
      </c>
      <c r="E289" s="36" t="str">
        <f>IFERROR(VLOOKUP(C289,#REF!, 2, FALSE), "NO ENCONTRADO")</f>
        <v>NO ENCONTRADO</v>
      </c>
      <c r="F289" s="36" t="str">
        <f>IFERROR(VLOOKUP(C289,#REF!, 3, FALSE), "NO ENCONTRADO")</f>
        <v>NO ENCONTRADO</v>
      </c>
      <c r="G289" s="36" t="str">
        <f>IFERROR(VLOOKUP(C289,#REF!, 4, FALSE), "NO ENCONTRADO")</f>
        <v>NO ENCONTRADO</v>
      </c>
      <c r="H289" s="36" t="str">
        <f>IFERROR(VLOOKUP(C289,#REF!, 5, FALSE), "NO ENCONTRADO")</f>
        <v>NO ENCONTRADO</v>
      </c>
      <c r="I289" s="15"/>
      <c r="J289" s="36"/>
      <c r="K289" s="42"/>
      <c r="L289" s="15"/>
      <c r="M289" s="39">
        <f t="shared" ca="1" si="0"/>
        <v>46026</v>
      </c>
      <c r="N289" s="40" t="str">
        <f t="shared" ca="1" si="1"/>
        <v>✅</v>
      </c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 spans="1:28" ht="13" x14ac:dyDescent="0.15">
      <c r="A290" s="24">
        <f>'Scan to Sheets'!A290</f>
        <v>0</v>
      </c>
      <c r="B290" s="26">
        <f>'Scan to Sheets'!B290</f>
        <v>0</v>
      </c>
      <c r="C290" s="26">
        <f>'Scan to Sheets'!C290</f>
        <v>0</v>
      </c>
      <c r="D290" s="26">
        <f>'Scan to Sheets'!D290</f>
        <v>0</v>
      </c>
      <c r="E290" s="27" t="str">
        <f>IFERROR(VLOOKUP(C290,#REF!, 2, FALSE), "NO ENCONTRADO")</f>
        <v>NO ENCONTRADO</v>
      </c>
      <c r="F290" s="27" t="str">
        <f>IFERROR(VLOOKUP(C290,#REF!, 3, FALSE), "NO ENCONTRADO")</f>
        <v>NO ENCONTRADO</v>
      </c>
      <c r="G290" s="27" t="str">
        <f>IFERROR(VLOOKUP(C290,#REF!, 4, FALSE), "NO ENCONTRADO")</f>
        <v>NO ENCONTRADO</v>
      </c>
      <c r="H290" s="27" t="str">
        <f>IFERROR(VLOOKUP(C290,#REF!, 5, FALSE), "NO ENCONTRADO")</f>
        <v>NO ENCONTRADO</v>
      </c>
      <c r="I290" s="14"/>
      <c r="J290" s="27"/>
      <c r="K290" s="41"/>
      <c r="L290" s="14"/>
      <c r="M290" s="30">
        <f t="shared" ca="1" si="0"/>
        <v>46026</v>
      </c>
      <c r="N290" s="31" t="str">
        <f t="shared" ca="1" si="1"/>
        <v>✅</v>
      </c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 spans="1:28" ht="13" x14ac:dyDescent="0.15">
      <c r="A291" s="33">
        <f>'Scan to Sheets'!A291</f>
        <v>0</v>
      </c>
      <c r="B291" s="35">
        <f>'Scan to Sheets'!B291</f>
        <v>0</v>
      </c>
      <c r="C291" s="35">
        <f>'Scan to Sheets'!C291</f>
        <v>0</v>
      </c>
      <c r="D291" s="35">
        <f>'Scan to Sheets'!D291</f>
        <v>0</v>
      </c>
      <c r="E291" s="36" t="str">
        <f>IFERROR(VLOOKUP(C291,#REF!, 2, FALSE), "NO ENCONTRADO")</f>
        <v>NO ENCONTRADO</v>
      </c>
      <c r="F291" s="36" t="str">
        <f>IFERROR(VLOOKUP(C291,#REF!, 3, FALSE), "NO ENCONTRADO")</f>
        <v>NO ENCONTRADO</v>
      </c>
      <c r="G291" s="36" t="str">
        <f>IFERROR(VLOOKUP(C291,#REF!, 4, FALSE), "NO ENCONTRADO")</f>
        <v>NO ENCONTRADO</v>
      </c>
      <c r="H291" s="36" t="str">
        <f>IFERROR(VLOOKUP(C291,#REF!, 5, FALSE), "NO ENCONTRADO")</f>
        <v>NO ENCONTRADO</v>
      </c>
      <c r="I291" s="15"/>
      <c r="J291" s="36"/>
      <c r="K291" s="42"/>
      <c r="L291" s="15"/>
      <c r="M291" s="39">
        <f t="shared" ca="1" si="0"/>
        <v>46026</v>
      </c>
      <c r="N291" s="40" t="str">
        <f t="shared" ca="1" si="1"/>
        <v>✅</v>
      </c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spans="1:28" ht="13" x14ac:dyDescent="0.15">
      <c r="A292" s="24">
        <f>'Scan to Sheets'!A292</f>
        <v>0</v>
      </c>
      <c r="B292" s="26">
        <f>'Scan to Sheets'!B292</f>
        <v>0</v>
      </c>
      <c r="C292" s="26">
        <f>'Scan to Sheets'!C292</f>
        <v>0</v>
      </c>
      <c r="D292" s="26">
        <f>'Scan to Sheets'!D292</f>
        <v>0</v>
      </c>
      <c r="E292" s="27" t="str">
        <f>IFERROR(VLOOKUP(C292,#REF!, 2, FALSE), "NO ENCONTRADO")</f>
        <v>NO ENCONTRADO</v>
      </c>
      <c r="F292" s="27" t="str">
        <f>IFERROR(VLOOKUP(C292,#REF!, 3, FALSE), "NO ENCONTRADO")</f>
        <v>NO ENCONTRADO</v>
      </c>
      <c r="G292" s="27" t="str">
        <f>IFERROR(VLOOKUP(C292,#REF!, 4, FALSE), "NO ENCONTRADO")</f>
        <v>NO ENCONTRADO</v>
      </c>
      <c r="H292" s="27" t="str">
        <f>IFERROR(VLOOKUP(C292,#REF!, 5, FALSE), "NO ENCONTRADO")</f>
        <v>NO ENCONTRADO</v>
      </c>
      <c r="I292" s="14"/>
      <c r="J292" s="27"/>
      <c r="K292" s="41"/>
      <c r="L292" s="14"/>
      <c r="M292" s="30">
        <f t="shared" ca="1" si="0"/>
        <v>46026</v>
      </c>
      <c r="N292" s="31" t="str">
        <f t="shared" ca="1" si="1"/>
        <v>✅</v>
      </c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spans="1:28" ht="13" x14ac:dyDescent="0.15">
      <c r="A293" s="33">
        <f>'Scan to Sheets'!A293</f>
        <v>0</v>
      </c>
      <c r="B293" s="35">
        <f>'Scan to Sheets'!B293</f>
        <v>0</v>
      </c>
      <c r="C293" s="35">
        <f>'Scan to Sheets'!C293</f>
        <v>0</v>
      </c>
      <c r="D293" s="35">
        <f>'Scan to Sheets'!D293</f>
        <v>0</v>
      </c>
      <c r="E293" s="36" t="str">
        <f>IFERROR(VLOOKUP(C293,#REF!, 2, FALSE), "NO ENCONTRADO")</f>
        <v>NO ENCONTRADO</v>
      </c>
      <c r="F293" s="36" t="str">
        <f>IFERROR(VLOOKUP(C293,#REF!, 3, FALSE), "NO ENCONTRADO")</f>
        <v>NO ENCONTRADO</v>
      </c>
      <c r="G293" s="36" t="str">
        <f>IFERROR(VLOOKUP(C293,#REF!, 4, FALSE), "NO ENCONTRADO")</f>
        <v>NO ENCONTRADO</v>
      </c>
      <c r="H293" s="36" t="str">
        <f>IFERROR(VLOOKUP(C293,#REF!, 5, FALSE), "NO ENCONTRADO")</f>
        <v>NO ENCONTRADO</v>
      </c>
      <c r="I293" s="15"/>
      <c r="J293" s="36"/>
      <c r="K293" s="42"/>
      <c r="L293" s="15"/>
      <c r="M293" s="39">
        <f t="shared" ca="1" si="0"/>
        <v>46026</v>
      </c>
      <c r="N293" s="40" t="str">
        <f t="shared" ca="1" si="1"/>
        <v>✅</v>
      </c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 ht="13" x14ac:dyDescent="0.15">
      <c r="A294" s="24">
        <f>'Scan to Sheets'!A294</f>
        <v>0</v>
      </c>
      <c r="B294" s="26">
        <f>'Scan to Sheets'!B294</f>
        <v>0</v>
      </c>
      <c r="C294" s="26">
        <f>'Scan to Sheets'!C294</f>
        <v>0</v>
      </c>
      <c r="D294" s="26">
        <f>'Scan to Sheets'!D294</f>
        <v>0</v>
      </c>
      <c r="E294" s="27" t="str">
        <f>IFERROR(VLOOKUP(C294,#REF!, 2, FALSE), "NO ENCONTRADO")</f>
        <v>NO ENCONTRADO</v>
      </c>
      <c r="F294" s="27" t="str">
        <f>IFERROR(VLOOKUP(C294,#REF!, 3, FALSE), "NO ENCONTRADO")</f>
        <v>NO ENCONTRADO</v>
      </c>
      <c r="G294" s="27" t="str">
        <f>IFERROR(VLOOKUP(C294,#REF!, 4, FALSE), "NO ENCONTRADO")</f>
        <v>NO ENCONTRADO</v>
      </c>
      <c r="H294" s="27" t="str">
        <f>IFERROR(VLOOKUP(C294,#REF!, 5, FALSE), "NO ENCONTRADO")</f>
        <v>NO ENCONTRADO</v>
      </c>
      <c r="I294" s="14"/>
      <c r="J294" s="27"/>
      <c r="K294" s="41"/>
      <c r="L294" s="14"/>
      <c r="M294" s="30">
        <f t="shared" ca="1" si="0"/>
        <v>46026</v>
      </c>
      <c r="N294" s="31" t="str">
        <f t="shared" ca="1" si="1"/>
        <v>✅</v>
      </c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spans="1:28" ht="13" x14ac:dyDescent="0.15">
      <c r="A295" s="33">
        <f>'Scan to Sheets'!A295</f>
        <v>0</v>
      </c>
      <c r="B295" s="35">
        <f>'Scan to Sheets'!B295</f>
        <v>0</v>
      </c>
      <c r="C295" s="35">
        <f>'Scan to Sheets'!C295</f>
        <v>0</v>
      </c>
      <c r="D295" s="35">
        <f>'Scan to Sheets'!D295</f>
        <v>0</v>
      </c>
      <c r="E295" s="36" t="str">
        <f>IFERROR(VLOOKUP(C295,#REF!, 2, FALSE), "NO ENCONTRADO")</f>
        <v>NO ENCONTRADO</v>
      </c>
      <c r="F295" s="36" t="str">
        <f>IFERROR(VLOOKUP(C295,#REF!, 3, FALSE), "NO ENCONTRADO")</f>
        <v>NO ENCONTRADO</v>
      </c>
      <c r="G295" s="36" t="str">
        <f>IFERROR(VLOOKUP(C295,#REF!, 4, FALSE), "NO ENCONTRADO")</f>
        <v>NO ENCONTRADO</v>
      </c>
      <c r="H295" s="36" t="str">
        <f>IFERROR(VLOOKUP(C295,#REF!, 5, FALSE), "NO ENCONTRADO")</f>
        <v>NO ENCONTRADO</v>
      </c>
      <c r="I295" s="15"/>
      <c r="J295" s="36"/>
      <c r="K295" s="42"/>
      <c r="L295" s="15"/>
      <c r="M295" s="39">
        <f t="shared" ca="1" si="0"/>
        <v>46026</v>
      </c>
      <c r="N295" s="40" t="str">
        <f t="shared" ca="1" si="1"/>
        <v>✅</v>
      </c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 ht="13" x14ac:dyDescent="0.15">
      <c r="A296" s="24">
        <f>'Scan to Sheets'!A296</f>
        <v>0</v>
      </c>
      <c r="B296" s="26">
        <f>'Scan to Sheets'!B296</f>
        <v>0</v>
      </c>
      <c r="C296" s="26">
        <f>'Scan to Sheets'!C296</f>
        <v>0</v>
      </c>
      <c r="D296" s="26">
        <f>'Scan to Sheets'!D296</f>
        <v>0</v>
      </c>
      <c r="E296" s="27" t="str">
        <f>IFERROR(VLOOKUP(C296,#REF!, 2, FALSE), "NO ENCONTRADO")</f>
        <v>NO ENCONTRADO</v>
      </c>
      <c r="F296" s="27" t="str">
        <f>IFERROR(VLOOKUP(C296,#REF!, 3, FALSE), "NO ENCONTRADO")</f>
        <v>NO ENCONTRADO</v>
      </c>
      <c r="G296" s="27" t="str">
        <f>IFERROR(VLOOKUP(C296,#REF!, 4, FALSE), "NO ENCONTRADO")</f>
        <v>NO ENCONTRADO</v>
      </c>
      <c r="H296" s="27" t="str">
        <f>IFERROR(VLOOKUP(C296,#REF!, 5, FALSE), "NO ENCONTRADO")</f>
        <v>NO ENCONTRADO</v>
      </c>
      <c r="I296" s="14"/>
      <c r="J296" s="27"/>
      <c r="K296" s="41"/>
      <c r="L296" s="14"/>
      <c r="M296" s="30">
        <f t="shared" ca="1" si="0"/>
        <v>46026</v>
      </c>
      <c r="N296" s="31" t="str">
        <f t="shared" ca="1" si="1"/>
        <v>✅</v>
      </c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spans="1:28" ht="13" x14ac:dyDescent="0.15">
      <c r="A297" s="33">
        <f>'Scan to Sheets'!A297</f>
        <v>0</v>
      </c>
      <c r="B297" s="35">
        <f>'Scan to Sheets'!B297</f>
        <v>0</v>
      </c>
      <c r="C297" s="35">
        <f>'Scan to Sheets'!C297</f>
        <v>0</v>
      </c>
      <c r="D297" s="35">
        <f>'Scan to Sheets'!D297</f>
        <v>0</v>
      </c>
      <c r="E297" s="36" t="str">
        <f>IFERROR(VLOOKUP(C297,#REF!, 2, FALSE), "NO ENCONTRADO")</f>
        <v>NO ENCONTRADO</v>
      </c>
      <c r="F297" s="36" t="str">
        <f>IFERROR(VLOOKUP(C297,#REF!, 3, FALSE), "NO ENCONTRADO")</f>
        <v>NO ENCONTRADO</v>
      </c>
      <c r="G297" s="36" t="str">
        <f>IFERROR(VLOOKUP(C297,#REF!, 4, FALSE), "NO ENCONTRADO")</f>
        <v>NO ENCONTRADO</v>
      </c>
      <c r="H297" s="36" t="str">
        <f>IFERROR(VLOOKUP(C297,#REF!, 5, FALSE), "NO ENCONTRADO")</f>
        <v>NO ENCONTRADO</v>
      </c>
      <c r="I297" s="15"/>
      <c r="J297" s="36"/>
      <c r="K297" s="42"/>
      <c r="L297" s="15"/>
      <c r="M297" s="39">
        <f t="shared" ca="1" si="0"/>
        <v>46026</v>
      </c>
      <c r="N297" s="40" t="str">
        <f t="shared" ca="1" si="1"/>
        <v>✅</v>
      </c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 ht="13" x14ac:dyDescent="0.15">
      <c r="A298" s="24">
        <f>'Scan to Sheets'!A298</f>
        <v>0</v>
      </c>
      <c r="B298" s="26">
        <f>'Scan to Sheets'!B298</f>
        <v>0</v>
      </c>
      <c r="C298" s="26">
        <f>'Scan to Sheets'!C298</f>
        <v>0</v>
      </c>
      <c r="D298" s="26">
        <f>'Scan to Sheets'!D298</f>
        <v>0</v>
      </c>
      <c r="E298" s="27" t="str">
        <f>IFERROR(VLOOKUP(C298,#REF!, 2, FALSE), "NO ENCONTRADO")</f>
        <v>NO ENCONTRADO</v>
      </c>
      <c r="F298" s="27" t="str">
        <f>IFERROR(VLOOKUP(C298,#REF!, 3, FALSE), "NO ENCONTRADO")</f>
        <v>NO ENCONTRADO</v>
      </c>
      <c r="G298" s="27" t="str">
        <f>IFERROR(VLOOKUP(C298,#REF!, 4, FALSE), "NO ENCONTRADO")</f>
        <v>NO ENCONTRADO</v>
      </c>
      <c r="H298" s="27" t="str">
        <f>IFERROR(VLOOKUP(C298,#REF!, 5, FALSE), "NO ENCONTRADO")</f>
        <v>NO ENCONTRADO</v>
      </c>
      <c r="I298" s="14"/>
      <c r="J298" s="27"/>
      <c r="K298" s="41"/>
      <c r="L298" s="14"/>
      <c r="M298" s="30">
        <f t="shared" ca="1" si="0"/>
        <v>46026</v>
      </c>
      <c r="N298" s="31" t="str">
        <f t="shared" ca="1" si="1"/>
        <v>✅</v>
      </c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spans="1:28" ht="13" x14ac:dyDescent="0.15">
      <c r="A299" s="33">
        <f>'Scan to Sheets'!A299</f>
        <v>0</v>
      </c>
      <c r="B299" s="35">
        <f>'Scan to Sheets'!B299</f>
        <v>0</v>
      </c>
      <c r="C299" s="35">
        <f>'Scan to Sheets'!C299</f>
        <v>0</v>
      </c>
      <c r="D299" s="35">
        <f>'Scan to Sheets'!D299</f>
        <v>0</v>
      </c>
      <c r="E299" s="36" t="str">
        <f>IFERROR(VLOOKUP(C299,#REF!, 2, FALSE), "NO ENCONTRADO")</f>
        <v>NO ENCONTRADO</v>
      </c>
      <c r="F299" s="36" t="str">
        <f>IFERROR(VLOOKUP(C299,#REF!, 3, FALSE), "NO ENCONTRADO")</f>
        <v>NO ENCONTRADO</v>
      </c>
      <c r="G299" s="36" t="str">
        <f>IFERROR(VLOOKUP(C299,#REF!, 4, FALSE), "NO ENCONTRADO")</f>
        <v>NO ENCONTRADO</v>
      </c>
      <c r="H299" s="36" t="str">
        <f>IFERROR(VLOOKUP(C299,#REF!, 5, FALSE), "NO ENCONTRADO")</f>
        <v>NO ENCONTRADO</v>
      </c>
      <c r="I299" s="15"/>
      <c r="J299" s="36"/>
      <c r="K299" s="42"/>
      <c r="L299" s="15"/>
      <c r="M299" s="39">
        <f t="shared" ca="1" si="0"/>
        <v>46026</v>
      </c>
      <c r="N299" s="40" t="str">
        <f t="shared" ca="1" si="1"/>
        <v>✅</v>
      </c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 ht="13" x14ac:dyDescent="0.15">
      <c r="A300" s="24">
        <f>'Scan to Sheets'!A300</f>
        <v>0</v>
      </c>
      <c r="B300" s="26">
        <f>'Scan to Sheets'!B300</f>
        <v>0</v>
      </c>
      <c r="C300" s="26">
        <f>'Scan to Sheets'!C300</f>
        <v>0</v>
      </c>
      <c r="D300" s="26">
        <f>'Scan to Sheets'!D300</f>
        <v>0</v>
      </c>
      <c r="E300" s="27" t="str">
        <f>IFERROR(VLOOKUP(C300,#REF!, 2, FALSE), "NO ENCONTRADO")</f>
        <v>NO ENCONTRADO</v>
      </c>
      <c r="F300" s="27" t="str">
        <f>IFERROR(VLOOKUP(C300,#REF!, 3, FALSE), "NO ENCONTRADO")</f>
        <v>NO ENCONTRADO</v>
      </c>
      <c r="G300" s="27" t="str">
        <f>IFERROR(VLOOKUP(C300,#REF!, 4, FALSE), "NO ENCONTRADO")</f>
        <v>NO ENCONTRADO</v>
      </c>
      <c r="H300" s="27" t="str">
        <f>IFERROR(VLOOKUP(C300,#REF!, 5, FALSE), "NO ENCONTRADO")</f>
        <v>NO ENCONTRADO</v>
      </c>
      <c r="I300" s="14"/>
      <c r="J300" s="27"/>
      <c r="K300" s="41"/>
      <c r="L300" s="14"/>
      <c r="M300" s="30">
        <f t="shared" ca="1" si="0"/>
        <v>46026</v>
      </c>
      <c r="N300" s="31" t="str">
        <f t="shared" ca="1" si="1"/>
        <v>✅</v>
      </c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spans="1:28" ht="13" x14ac:dyDescent="0.15">
      <c r="A301" s="33">
        <f>'Scan to Sheets'!A301</f>
        <v>0</v>
      </c>
      <c r="B301" s="35">
        <f>'Scan to Sheets'!B301</f>
        <v>0</v>
      </c>
      <c r="C301" s="35">
        <f>'Scan to Sheets'!C301</f>
        <v>0</v>
      </c>
      <c r="D301" s="35">
        <f>'Scan to Sheets'!D301</f>
        <v>0</v>
      </c>
      <c r="E301" s="36" t="str">
        <f>IFERROR(VLOOKUP(C301,#REF!, 2, FALSE), "NO ENCONTRADO")</f>
        <v>NO ENCONTRADO</v>
      </c>
      <c r="F301" s="36" t="str">
        <f>IFERROR(VLOOKUP(C301,#REF!, 3, FALSE), "NO ENCONTRADO")</f>
        <v>NO ENCONTRADO</v>
      </c>
      <c r="G301" s="36" t="str">
        <f>IFERROR(VLOOKUP(C301,#REF!, 4, FALSE), "NO ENCONTRADO")</f>
        <v>NO ENCONTRADO</v>
      </c>
      <c r="H301" s="36" t="str">
        <f>IFERROR(VLOOKUP(C301,#REF!, 5, FALSE), "NO ENCONTRADO")</f>
        <v>NO ENCONTRADO</v>
      </c>
      <c r="I301" s="15"/>
      <c r="J301" s="36"/>
      <c r="K301" s="42"/>
      <c r="L301" s="15"/>
      <c r="M301" s="39">
        <f t="shared" ca="1" si="0"/>
        <v>46026</v>
      </c>
      <c r="N301" s="40" t="str">
        <f t="shared" ca="1" si="1"/>
        <v>✅</v>
      </c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 ht="13" x14ac:dyDescent="0.15">
      <c r="A302" s="24">
        <f>'Scan to Sheets'!A302</f>
        <v>0</v>
      </c>
      <c r="B302" s="26">
        <f>'Scan to Sheets'!B302</f>
        <v>0</v>
      </c>
      <c r="C302" s="26">
        <f>'Scan to Sheets'!C302</f>
        <v>0</v>
      </c>
      <c r="D302" s="26">
        <f>'Scan to Sheets'!D302</f>
        <v>0</v>
      </c>
      <c r="E302" s="27" t="str">
        <f>IFERROR(VLOOKUP(C302,#REF!, 2, FALSE), "NO ENCONTRADO")</f>
        <v>NO ENCONTRADO</v>
      </c>
      <c r="F302" s="27" t="str">
        <f>IFERROR(VLOOKUP(C302,#REF!, 3, FALSE), "NO ENCONTRADO")</f>
        <v>NO ENCONTRADO</v>
      </c>
      <c r="G302" s="27" t="str">
        <f>IFERROR(VLOOKUP(C302,#REF!, 4, FALSE), "NO ENCONTRADO")</f>
        <v>NO ENCONTRADO</v>
      </c>
      <c r="H302" s="27" t="str">
        <f>IFERROR(VLOOKUP(C302,#REF!, 5, FALSE), "NO ENCONTRADO")</f>
        <v>NO ENCONTRADO</v>
      </c>
      <c r="I302" s="14"/>
      <c r="J302" s="27"/>
      <c r="K302" s="41"/>
      <c r="L302" s="14"/>
      <c r="M302" s="30">
        <f t="shared" ca="1" si="0"/>
        <v>46026</v>
      </c>
      <c r="N302" s="31" t="str">
        <f t="shared" ca="1" si="1"/>
        <v>✅</v>
      </c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spans="1:28" ht="13" x14ac:dyDescent="0.15">
      <c r="A303" s="33">
        <f>'Scan to Sheets'!A303</f>
        <v>0</v>
      </c>
      <c r="B303" s="35">
        <f>'Scan to Sheets'!B303</f>
        <v>0</v>
      </c>
      <c r="C303" s="35">
        <f>'Scan to Sheets'!C303</f>
        <v>0</v>
      </c>
      <c r="D303" s="35">
        <f>'Scan to Sheets'!D303</f>
        <v>0</v>
      </c>
      <c r="E303" s="36" t="str">
        <f>IFERROR(VLOOKUP(C303,#REF!, 2, FALSE), "NO ENCONTRADO")</f>
        <v>NO ENCONTRADO</v>
      </c>
      <c r="F303" s="36" t="str">
        <f>IFERROR(VLOOKUP(C303,#REF!, 3, FALSE), "NO ENCONTRADO")</f>
        <v>NO ENCONTRADO</v>
      </c>
      <c r="G303" s="36" t="str">
        <f>IFERROR(VLOOKUP(C303,#REF!, 4, FALSE), "NO ENCONTRADO")</f>
        <v>NO ENCONTRADO</v>
      </c>
      <c r="H303" s="36" t="str">
        <f>IFERROR(VLOOKUP(C303,#REF!, 5, FALSE), "NO ENCONTRADO")</f>
        <v>NO ENCONTRADO</v>
      </c>
      <c r="I303" s="15"/>
      <c r="J303" s="36"/>
      <c r="K303" s="42"/>
      <c r="L303" s="15"/>
      <c r="M303" s="39">
        <f t="shared" ca="1" si="0"/>
        <v>46026</v>
      </c>
      <c r="N303" s="40" t="str">
        <f t="shared" ca="1" si="1"/>
        <v>✅</v>
      </c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 ht="13" x14ac:dyDescent="0.15">
      <c r="A304" s="24">
        <f>'Scan to Sheets'!A304</f>
        <v>0</v>
      </c>
      <c r="B304" s="26">
        <f>'Scan to Sheets'!B304</f>
        <v>0</v>
      </c>
      <c r="C304" s="26">
        <f>'Scan to Sheets'!C304</f>
        <v>0</v>
      </c>
      <c r="D304" s="26">
        <f>'Scan to Sheets'!D304</f>
        <v>0</v>
      </c>
      <c r="E304" s="27" t="str">
        <f>IFERROR(VLOOKUP(C304,#REF!, 2, FALSE), "NO ENCONTRADO")</f>
        <v>NO ENCONTRADO</v>
      </c>
      <c r="F304" s="27" t="str">
        <f>IFERROR(VLOOKUP(C304,#REF!, 3, FALSE), "NO ENCONTRADO")</f>
        <v>NO ENCONTRADO</v>
      </c>
      <c r="G304" s="27" t="str">
        <f>IFERROR(VLOOKUP(C304,#REF!, 4, FALSE), "NO ENCONTRADO")</f>
        <v>NO ENCONTRADO</v>
      </c>
      <c r="H304" s="27" t="str">
        <f>IFERROR(VLOOKUP(C304,#REF!, 5, FALSE), "NO ENCONTRADO")</f>
        <v>NO ENCONTRADO</v>
      </c>
      <c r="I304" s="14"/>
      <c r="J304" s="27"/>
      <c r="K304" s="41"/>
      <c r="L304" s="14"/>
      <c r="M304" s="30">
        <f t="shared" ca="1" si="0"/>
        <v>46026</v>
      </c>
      <c r="N304" s="31" t="str">
        <f t="shared" ca="1" si="1"/>
        <v>✅</v>
      </c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 spans="1:28" ht="13" x14ac:dyDescent="0.15">
      <c r="A305" s="33">
        <f>'Scan to Sheets'!A305</f>
        <v>0</v>
      </c>
      <c r="B305" s="35">
        <f>'Scan to Sheets'!B305</f>
        <v>0</v>
      </c>
      <c r="C305" s="35">
        <f>'Scan to Sheets'!C305</f>
        <v>0</v>
      </c>
      <c r="D305" s="35">
        <f>'Scan to Sheets'!D305</f>
        <v>0</v>
      </c>
      <c r="E305" s="36" t="str">
        <f>IFERROR(VLOOKUP(C305,#REF!, 2, FALSE), "NO ENCONTRADO")</f>
        <v>NO ENCONTRADO</v>
      </c>
      <c r="F305" s="36" t="str">
        <f>IFERROR(VLOOKUP(C305,#REF!, 3, FALSE), "NO ENCONTRADO")</f>
        <v>NO ENCONTRADO</v>
      </c>
      <c r="G305" s="36" t="str">
        <f>IFERROR(VLOOKUP(C305,#REF!, 4, FALSE), "NO ENCONTRADO")</f>
        <v>NO ENCONTRADO</v>
      </c>
      <c r="H305" s="36" t="str">
        <f>IFERROR(VLOOKUP(C305,#REF!, 5, FALSE), "NO ENCONTRADO")</f>
        <v>NO ENCONTRADO</v>
      </c>
      <c r="I305" s="15"/>
      <c r="J305" s="36"/>
      <c r="K305" s="42"/>
      <c r="L305" s="15"/>
      <c r="M305" s="39">
        <f t="shared" ca="1" si="0"/>
        <v>46026</v>
      </c>
      <c r="N305" s="40" t="str">
        <f t="shared" ca="1" si="1"/>
        <v>✅</v>
      </c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 spans="1:28" ht="13" x14ac:dyDescent="0.15">
      <c r="A306" s="24">
        <f>'Scan to Sheets'!A306</f>
        <v>0</v>
      </c>
      <c r="B306" s="26">
        <f>'Scan to Sheets'!B306</f>
        <v>0</v>
      </c>
      <c r="C306" s="26">
        <f>'Scan to Sheets'!C306</f>
        <v>0</v>
      </c>
      <c r="D306" s="26">
        <f>'Scan to Sheets'!D306</f>
        <v>0</v>
      </c>
      <c r="E306" s="27" t="str">
        <f>IFERROR(VLOOKUP(C306,#REF!, 2, FALSE), "NO ENCONTRADO")</f>
        <v>NO ENCONTRADO</v>
      </c>
      <c r="F306" s="27" t="str">
        <f>IFERROR(VLOOKUP(C306,#REF!, 3, FALSE), "NO ENCONTRADO")</f>
        <v>NO ENCONTRADO</v>
      </c>
      <c r="G306" s="27" t="str">
        <f>IFERROR(VLOOKUP(C306,#REF!, 4, FALSE), "NO ENCONTRADO")</f>
        <v>NO ENCONTRADO</v>
      </c>
      <c r="H306" s="27" t="str">
        <f>IFERROR(VLOOKUP(C306,#REF!, 5, FALSE), "NO ENCONTRADO")</f>
        <v>NO ENCONTRADO</v>
      </c>
      <c r="I306" s="14"/>
      <c r="J306" s="27"/>
      <c r="K306" s="41"/>
      <c r="L306" s="14"/>
      <c r="M306" s="30">
        <f t="shared" ca="1" si="0"/>
        <v>46026</v>
      </c>
      <c r="N306" s="31" t="str">
        <f t="shared" ca="1" si="1"/>
        <v>✅</v>
      </c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 spans="1:28" ht="13" x14ac:dyDescent="0.15">
      <c r="A307" s="33">
        <f>'Scan to Sheets'!A307</f>
        <v>0</v>
      </c>
      <c r="B307" s="35">
        <f>'Scan to Sheets'!B307</f>
        <v>0</v>
      </c>
      <c r="C307" s="35">
        <f>'Scan to Sheets'!C307</f>
        <v>0</v>
      </c>
      <c r="D307" s="35">
        <f>'Scan to Sheets'!D307</f>
        <v>0</v>
      </c>
      <c r="E307" s="36" t="str">
        <f>IFERROR(VLOOKUP(C307,#REF!, 2, FALSE), "NO ENCONTRADO")</f>
        <v>NO ENCONTRADO</v>
      </c>
      <c r="F307" s="36" t="str">
        <f>IFERROR(VLOOKUP(C307,#REF!, 3, FALSE), "NO ENCONTRADO")</f>
        <v>NO ENCONTRADO</v>
      </c>
      <c r="G307" s="36" t="str">
        <f>IFERROR(VLOOKUP(C307,#REF!, 4, FALSE), "NO ENCONTRADO")</f>
        <v>NO ENCONTRADO</v>
      </c>
      <c r="H307" s="36" t="str">
        <f>IFERROR(VLOOKUP(C307,#REF!, 5, FALSE), "NO ENCONTRADO")</f>
        <v>NO ENCONTRADO</v>
      </c>
      <c r="I307" s="15"/>
      <c r="J307" s="36"/>
      <c r="K307" s="42"/>
      <c r="L307" s="15"/>
      <c r="M307" s="39">
        <f t="shared" ca="1" si="0"/>
        <v>46026</v>
      </c>
      <c r="N307" s="40" t="str">
        <f t="shared" ca="1" si="1"/>
        <v>✅</v>
      </c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 spans="1:28" ht="13" x14ac:dyDescent="0.15">
      <c r="A308" s="24">
        <f>'Scan to Sheets'!A308</f>
        <v>0</v>
      </c>
      <c r="B308" s="26">
        <f>'Scan to Sheets'!B308</f>
        <v>0</v>
      </c>
      <c r="C308" s="26">
        <f>'Scan to Sheets'!C308</f>
        <v>0</v>
      </c>
      <c r="D308" s="26">
        <f>'Scan to Sheets'!D308</f>
        <v>0</v>
      </c>
      <c r="E308" s="27" t="str">
        <f>IFERROR(VLOOKUP(C308,#REF!, 2, FALSE), "NO ENCONTRADO")</f>
        <v>NO ENCONTRADO</v>
      </c>
      <c r="F308" s="27" t="str">
        <f>IFERROR(VLOOKUP(C308,#REF!, 3, FALSE), "NO ENCONTRADO")</f>
        <v>NO ENCONTRADO</v>
      </c>
      <c r="G308" s="27" t="str">
        <f>IFERROR(VLOOKUP(C308,#REF!, 4, FALSE), "NO ENCONTRADO")</f>
        <v>NO ENCONTRADO</v>
      </c>
      <c r="H308" s="27" t="str">
        <f>IFERROR(VLOOKUP(C308,#REF!, 5, FALSE), "NO ENCONTRADO")</f>
        <v>NO ENCONTRADO</v>
      </c>
      <c r="I308" s="14"/>
      <c r="J308" s="27"/>
      <c r="K308" s="41"/>
      <c r="L308" s="14"/>
      <c r="M308" s="30">
        <f t="shared" ca="1" si="0"/>
        <v>46026</v>
      </c>
      <c r="N308" s="31" t="str">
        <f t="shared" ca="1" si="1"/>
        <v>✅</v>
      </c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 spans="1:28" ht="13" x14ac:dyDescent="0.15">
      <c r="A309" s="33">
        <f>'Scan to Sheets'!A309</f>
        <v>0</v>
      </c>
      <c r="B309" s="35">
        <f>'Scan to Sheets'!B309</f>
        <v>0</v>
      </c>
      <c r="C309" s="35">
        <f>'Scan to Sheets'!C309</f>
        <v>0</v>
      </c>
      <c r="D309" s="35">
        <f>'Scan to Sheets'!D309</f>
        <v>0</v>
      </c>
      <c r="E309" s="36" t="str">
        <f>IFERROR(VLOOKUP(C309,#REF!, 2, FALSE), "NO ENCONTRADO")</f>
        <v>NO ENCONTRADO</v>
      </c>
      <c r="F309" s="36" t="str">
        <f>IFERROR(VLOOKUP(C309,#REF!, 3, FALSE), "NO ENCONTRADO")</f>
        <v>NO ENCONTRADO</v>
      </c>
      <c r="G309" s="36" t="str">
        <f>IFERROR(VLOOKUP(C309,#REF!, 4, FALSE), "NO ENCONTRADO")</f>
        <v>NO ENCONTRADO</v>
      </c>
      <c r="H309" s="36" t="str">
        <f>IFERROR(VLOOKUP(C309,#REF!, 5, FALSE), "NO ENCONTRADO")</f>
        <v>NO ENCONTRADO</v>
      </c>
      <c r="I309" s="15"/>
      <c r="J309" s="36"/>
      <c r="K309" s="42"/>
      <c r="L309" s="15"/>
      <c r="M309" s="39">
        <f t="shared" ca="1" si="0"/>
        <v>46026</v>
      </c>
      <c r="N309" s="40" t="str">
        <f t="shared" ca="1" si="1"/>
        <v>✅</v>
      </c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 spans="1:28" ht="13" x14ac:dyDescent="0.15">
      <c r="A310" s="24">
        <f>'Scan to Sheets'!A310</f>
        <v>0</v>
      </c>
      <c r="B310" s="26">
        <f>'Scan to Sheets'!B310</f>
        <v>0</v>
      </c>
      <c r="C310" s="26">
        <f>'Scan to Sheets'!C310</f>
        <v>0</v>
      </c>
      <c r="D310" s="26">
        <f>'Scan to Sheets'!D310</f>
        <v>0</v>
      </c>
      <c r="E310" s="27" t="str">
        <f>IFERROR(VLOOKUP(C310,#REF!, 2, FALSE), "NO ENCONTRADO")</f>
        <v>NO ENCONTRADO</v>
      </c>
      <c r="F310" s="27" t="str">
        <f>IFERROR(VLOOKUP(C310,#REF!, 3, FALSE), "NO ENCONTRADO")</f>
        <v>NO ENCONTRADO</v>
      </c>
      <c r="G310" s="27" t="str">
        <f>IFERROR(VLOOKUP(C310,#REF!, 4, FALSE), "NO ENCONTRADO")</f>
        <v>NO ENCONTRADO</v>
      </c>
      <c r="H310" s="27" t="str">
        <f>IFERROR(VLOOKUP(C310,#REF!, 5, FALSE), "NO ENCONTRADO")</f>
        <v>NO ENCONTRADO</v>
      </c>
      <c r="I310" s="14"/>
      <c r="J310" s="27"/>
      <c r="K310" s="41"/>
      <c r="L310" s="14"/>
      <c r="M310" s="30">
        <f t="shared" ca="1" si="0"/>
        <v>46026</v>
      </c>
      <c r="N310" s="31" t="str">
        <f t="shared" ca="1" si="1"/>
        <v>✅</v>
      </c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 spans="1:28" ht="13" x14ac:dyDescent="0.15">
      <c r="A311" s="33">
        <f>'Scan to Sheets'!A311</f>
        <v>0</v>
      </c>
      <c r="B311" s="35">
        <f>'Scan to Sheets'!B311</f>
        <v>0</v>
      </c>
      <c r="C311" s="35">
        <f>'Scan to Sheets'!C311</f>
        <v>0</v>
      </c>
      <c r="D311" s="35">
        <f>'Scan to Sheets'!D311</f>
        <v>0</v>
      </c>
      <c r="E311" s="36" t="str">
        <f>IFERROR(VLOOKUP(C311,#REF!, 2, FALSE), "NO ENCONTRADO")</f>
        <v>NO ENCONTRADO</v>
      </c>
      <c r="F311" s="36" t="str">
        <f>IFERROR(VLOOKUP(C311,#REF!, 3, FALSE), "NO ENCONTRADO")</f>
        <v>NO ENCONTRADO</v>
      </c>
      <c r="G311" s="36" t="str">
        <f>IFERROR(VLOOKUP(C311,#REF!, 4, FALSE), "NO ENCONTRADO")</f>
        <v>NO ENCONTRADO</v>
      </c>
      <c r="H311" s="36" t="str">
        <f>IFERROR(VLOOKUP(C311,#REF!, 5, FALSE), "NO ENCONTRADO")</f>
        <v>NO ENCONTRADO</v>
      </c>
      <c r="I311" s="15"/>
      <c r="J311" s="36"/>
      <c r="K311" s="42"/>
      <c r="L311" s="15"/>
      <c r="M311" s="39">
        <f t="shared" ca="1" si="0"/>
        <v>46026</v>
      </c>
      <c r="N311" s="40" t="str">
        <f t="shared" ca="1" si="1"/>
        <v>✅</v>
      </c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 spans="1:28" ht="13" x14ac:dyDescent="0.15">
      <c r="A312" s="24">
        <f>'Scan to Sheets'!A312</f>
        <v>0</v>
      </c>
      <c r="B312" s="26">
        <f>'Scan to Sheets'!B312</f>
        <v>0</v>
      </c>
      <c r="C312" s="26">
        <f>'Scan to Sheets'!C312</f>
        <v>0</v>
      </c>
      <c r="D312" s="26">
        <f>'Scan to Sheets'!D312</f>
        <v>0</v>
      </c>
      <c r="E312" s="27" t="str">
        <f>IFERROR(VLOOKUP(C312,#REF!, 2, FALSE), "NO ENCONTRADO")</f>
        <v>NO ENCONTRADO</v>
      </c>
      <c r="F312" s="27" t="str">
        <f>IFERROR(VLOOKUP(C312,#REF!, 3, FALSE), "NO ENCONTRADO")</f>
        <v>NO ENCONTRADO</v>
      </c>
      <c r="G312" s="27" t="str">
        <f>IFERROR(VLOOKUP(C312,#REF!, 4, FALSE), "NO ENCONTRADO")</f>
        <v>NO ENCONTRADO</v>
      </c>
      <c r="H312" s="27" t="str">
        <f>IFERROR(VLOOKUP(C312,#REF!, 5, FALSE), "NO ENCONTRADO")</f>
        <v>NO ENCONTRADO</v>
      </c>
      <c r="I312" s="14"/>
      <c r="J312" s="27"/>
      <c r="K312" s="41"/>
      <c r="L312" s="14"/>
      <c r="M312" s="30">
        <f t="shared" ca="1" si="0"/>
        <v>46026</v>
      </c>
      <c r="N312" s="31" t="str">
        <f t="shared" ca="1" si="1"/>
        <v>✅</v>
      </c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 spans="1:28" ht="13" x14ac:dyDescent="0.15">
      <c r="A313" s="33">
        <f>'Scan to Sheets'!A313</f>
        <v>0</v>
      </c>
      <c r="B313" s="35">
        <f>'Scan to Sheets'!B313</f>
        <v>0</v>
      </c>
      <c r="C313" s="35">
        <f>'Scan to Sheets'!C313</f>
        <v>0</v>
      </c>
      <c r="D313" s="35">
        <f>'Scan to Sheets'!D313</f>
        <v>0</v>
      </c>
      <c r="E313" s="36" t="str">
        <f>IFERROR(VLOOKUP(C313,#REF!, 2, FALSE), "NO ENCONTRADO")</f>
        <v>NO ENCONTRADO</v>
      </c>
      <c r="F313" s="36" t="str">
        <f>IFERROR(VLOOKUP(C313,#REF!, 3, FALSE), "NO ENCONTRADO")</f>
        <v>NO ENCONTRADO</v>
      </c>
      <c r="G313" s="36" t="str">
        <f>IFERROR(VLOOKUP(C313,#REF!, 4, FALSE), "NO ENCONTRADO")</f>
        <v>NO ENCONTRADO</v>
      </c>
      <c r="H313" s="36" t="str">
        <f>IFERROR(VLOOKUP(C313,#REF!, 5, FALSE), "NO ENCONTRADO")</f>
        <v>NO ENCONTRADO</v>
      </c>
      <c r="I313" s="15"/>
      <c r="J313" s="36"/>
      <c r="K313" s="42"/>
      <c r="L313" s="15"/>
      <c r="M313" s="39">
        <f t="shared" ca="1" si="0"/>
        <v>46026</v>
      </c>
      <c r="N313" s="40" t="str">
        <f t="shared" ca="1" si="1"/>
        <v>✅</v>
      </c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 spans="1:28" ht="13" x14ac:dyDescent="0.15">
      <c r="A314" s="24">
        <f>'Scan to Sheets'!A314</f>
        <v>0</v>
      </c>
      <c r="B314" s="26">
        <f>'Scan to Sheets'!B314</f>
        <v>0</v>
      </c>
      <c r="C314" s="26">
        <f>'Scan to Sheets'!C314</f>
        <v>0</v>
      </c>
      <c r="D314" s="26">
        <f>'Scan to Sheets'!D314</f>
        <v>0</v>
      </c>
      <c r="E314" s="27" t="str">
        <f>IFERROR(VLOOKUP(C314,#REF!, 2, FALSE), "NO ENCONTRADO")</f>
        <v>NO ENCONTRADO</v>
      </c>
      <c r="F314" s="27" t="str">
        <f>IFERROR(VLOOKUP(C314,#REF!, 3, FALSE), "NO ENCONTRADO")</f>
        <v>NO ENCONTRADO</v>
      </c>
      <c r="G314" s="27" t="str">
        <f>IFERROR(VLOOKUP(C314,#REF!, 4, FALSE), "NO ENCONTRADO")</f>
        <v>NO ENCONTRADO</v>
      </c>
      <c r="H314" s="27" t="str">
        <f>IFERROR(VLOOKUP(C314,#REF!, 5, FALSE), "NO ENCONTRADO")</f>
        <v>NO ENCONTRADO</v>
      </c>
      <c r="I314" s="14"/>
      <c r="J314" s="27"/>
      <c r="K314" s="41"/>
      <c r="L314" s="14"/>
      <c r="M314" s="30">
        <f t="shared" ca="1" si="0"/>
        <v>46026</v>
      </c>
      <c r="N314" s="31" t="str">
        <f t="shared" ca="1" si="1"/>
        <v>✅</v>
      </c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 spans="1:28" ht="13" x14ac:dyDescent="0.15">
      <c r="A315" s="33">
        <f>'Scan to Sheets'!A315</f>
        <v>0</v>
      </c>
      <c r="B315" s="35">
        <f>'Scan to Sheets'!B315</f>
        <v>0</v>
      </c>
      <c r="C315" s="35">
        <f>'Scan to Sheets'!C315</f>
        <v>0</v>
      </c>
      <c r="D315" s="35">
        <f>'Scan to Sheets'!D315</f>
        <v>0</v>
      </c>
      <c r="E315" s="36" t="str">
        <f>IFERROR(VLOOKUP(C315,#REF!, 2, FALSE), "NO ENCONTRADO")</f>
        <v>NO ENCONTRADO</v>
      </c>
      <c r="F315" s="36" t="str">
        <f>IFERROR(VLOOKUP(C315,#REF!, 3, FALSE), "NO ENCONTRADO")</f>
        <v>NO ENCONTRADO</v>
      </c>
      <c r="G315" s="36" t="str">
        <f>IFERROR(VLOOKUP(C315,#REF!, 4, FALSE), "NO ENCONTRADO")</f>
        <v>NO ENCONTRADO</v>
      </c>
      <c r="H315" s="36" t="str">
        <f>IFERROR(VLOOKUP(C315,#REF!, 5, FALSE), "NO ENCONTRADO")</f>
        <v>NO ENCONTRADO</v>
      </c>
      <c r="I315" s="15"/>
      <c r="J315" s="36"/>
      <c r="K315" s="42"/>
      <c r="L315" s="15"/>
      <c r="M315" s="39">
        <f t="shared" ca="1" si="0"/>
        <v>46026</v>
      </c>
      <c r="N315" s="40" t="str">
        <f t="shared" ca="1" si="1"/>
        <v>✅</v>
      </c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spans="1:28" ht="13" x14ac:dyDescent="0.15">
      <c r="A316" s="24">
        <f>'Scan to Sheets'!A316</f>
        <v>0</v>
      </c>
      <c r="B316" s="26">
        <f>'Scan to Sheets'!B316</f>
        <v>0</v>
      </c>
      <c r="C316" s="26">
        <f>'Scan to Sheets'!C316</f>
        <v>0</v>
      </c>
      <c r="D316" s="26">
        <f>'Scan to Sheets'!D316</f>
        <v>0</v>
      </c>
      <c r="E316" s="27" t="str">
        <f>IFERROR(VLOOKUP(C316,#REF!, 2, FALSE), "NO ENCONTRADO")</f>
        <v>NO ENCONTRADO</v>
      </c>
      <c r="F316" s="27" t="str">
        <f>IFERROR(VLOOKUP(C316,#REF!, 3, FALSE), "NO ENCONTRADO")</f>
        <v>NO ENCONTRADO</v>
      </c>
      <c r="G316" s="27" t="str">
        <f>IFERROR(VLOOKUP(C316,#REF!, 4, FALSE), "NO ENCONTRADO")</f>
        <v>NO ENCONTRADO</v>
      </c>
      <c r="H316" s="27" t="str">
        <f>IFERROR(VLOOKUP(C316,#REF!, 5, FALSE), "NO ENCONTRADO")</f>
        <v>NO ENCONTRADO</v>
      </c>
      <c r="I316" s="14"/>
      <c r="J316" s="27"/>
      <c r="K316" s="41"/>
      <c r="L316" s="14"/>
      <c r="M316" s="30">
        <f t="shared" ca="1" si="0"/>
        <v>46026</v>
      </c>
      <c r="N316" s="31" t="str">
        <f t="shared" ca="1" si="1"/>
        <v>✅</v>
      </c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pans="1:28" ht="13" x14ac:dyDescent="0.15">
      <c r="A317" s="33">
        <f>'Scan to Sheets'!A317</f>
        <v>0</v>
      </c>
      <c r="B317" s="35">
        <f>'Scan to Sheets'!B317</f>
        <v>0</v>
      </c>
      <c r="C317" s="35">
        <f>'Scan to Sheets'!C317</f>
        <v>0</v>
      </c>
      <c r="D317" s="35">
        <f>'Scan to Sheets'!D317</f>
        <v>0</v>
      </c>
      <c r="E317" s="36" t="str">
        <f>IFERROR(VLOOKUP(C317,#REF!, 2, FALSE), "NO ENCONTRADO")</f>
        <v>NO ENCONTRADO</v>
      </c>
      <c r="F317" s="36" t="str">
        <f>IFERROR(VLOOKUP(C317,#REF!, 3, FALSE), "NO ENCONTRADO")</f>
        <v>NO ENCONTRADO</v>
      </c>
      <c r="G317" s="36" t="str">
        <f>IFERROR(VLOOKUP(C317,#REF!, 4, FALSE), "NO ENCONTRADO")</f>
        <v>NO ENCONTRADO</v>
      </c>
      <c r="H317" s="36" t="str">
        <f>IFERROR(VLOOKUP(C317,#REF!, 5, FALSE), "NO ENCONTRADO")</f>
        <v>NO ENCONTRADO</v>
      </c>
      <c r="I317" s="15"/>
      <c r="J317" s="36"/>
      <c r="K317" s="42"/>
      <c r="L317" s="15"/>
      <c r="M317" s="39">
        <f t="shared" ca="1" si="0"/>
        <v>46026</v>
      </c>
      <c r="N317" s="40" t="str">
        <f t="shared" ca="1" si="1"/>
        <v>✅</v>
      </c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spans="1:28" ht="13" x14ac:dyDescent="0.15">
      <c r="A318" s="24">
        <f>'Scan to Sheets'!A318</f>
        <v>0</v>
      </c>
      <c r="B318" s="26">
        <f>'Scan to Sheets'!B318</f>
        <v>0</v>
      </c>
      <c r="C318" s="26">
        <f>'Scan to Sheets'!C318</f>
        <v>0</v>
      </c>
      <c r="D318" s="26">
        <f>'Scan to Sheets'!D318</f>
        <v>0</v>
      </c>
      <c r="E318" s="27" t="str">
        <f>IFERROR(VLOOKUP(C318,#REF!, 2, FALSE), "NO ENCONTRADO")</f>
        <v>NO ENCONTRADO</v>
      </c>
      <c r="F318" s="27" t="str">
        <f>IFERROR(VLOOKUP(C318,#REF!, 3, FALSE), "NO ENCONTRADO")</f>
        <v>NO ENCONTRADO</v>
      </c>
      <c r="G318" s="27" t="str">
        <f>IFERROR(VLOOKUP(C318,#REF!, 4, FALSE), "NO ENCONTRADO")</f>
        <v>NO ENCONTRADO</v>
      </c>
      <c r="H318" s="27" t="str">
        <f>IFERROR(VLOOKUP(C318,#REF!, 5, FALSE), "NO ENCONTRADO")</f>
        <v>NO ENCONTRADO</v>
      </c>
      <c r="I318" s="14"/>
      <c r="J318" s="27"/>
      <c r="K318" s="41"/>
      <c r="L318" s="14"/>
      <c r="M318" s="30">
        <f t="shared" ca="1" si="0"/>
        <v>46026</v>
      </c>
      <c r="N318" s="31" t="str">
        <f t="shared" ca="1" si="1"/>
        <v>✅</v>
      </c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 ht="13" x14ac:dyDescent="0.15">
      <c r="A319" s="33">
        <f>'Scan to Sheets'!A319</f>
        <v>0</v>
      </c>
      <c r="B319" s="35">
        <f>'Scan to Sheets'!B319</f>
        <v>0</v>
      </c>
      <c r="C319" s="35">
        <f>'Scan to Sheets'!C319</f>
        <v>0</v>
      </c>
      <c r="D319" s="35">
        <f>'Scan to Sheets'!D319</f>
        <v>0</v>
      </c>
      <c r="E319" s="36" t="str">
        <f>IFERROR(VLOOKUP(C319,#REF!, 2, FALSE), "NO ENCONTRADO")</f>
        <v>NO ENCONTRADO</v>
      </c>
      <c r="F319" s="36" t="str">
        <f>IFERROR(VLOOKUP(C319,#REF!, 3, FALSE), "NO ENCONTRADO")</f>
        <v>NO ENCONTRADO</v>
      </c>
      <c r="G319" s="36" t="str">
        <f>IFERROR(VLOOKUP(C319,#REF!, 4, FALSE), "NO ENCONTRADO")</f>
        <v>NO ENCONTRADO</v>
      </c>
      <c r="H319" s="36" t="str">
        <f>IFERROR(VLOOKUP(C319,#REF!, 5, FALSE), "NO ENCONTRADO")</f>
        <v>NO ENCONTRADO</v>
      </c>
      <c r="I319" s="15"/>
      <c r="J319" s="36"/>
      <c r="K319" s="42"/>
      <c r="L319" s="15"/>
      <c r="M319" s="39">
        <f t="shared" ca="1" si="0"/>
        <v>46026</v>
      </c>
      <c r="N319" s="40" t="str">
        <f t="shared" ca="1" si="1"/>
        <v>✅</v>
      </c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spans="1:28" ht="13" x14ac:dyDescent="0.15">
      <c r="A320" s="24">
        <f>'Scan to Sheets'!A320</f>
        <v>0</v>
      </c>
      <c r="B320" s="26">
        <f>'Scan to Sheets'!B320</f>
        <v>0</v>
      </c>
      <c r="C320" s="26">
        <f>'Scan to Sheets'!C320</f>
        <v>0</v>
      </c>
      <c r="D320" s="26">
        <f>'Scan to Sheets'!D320</f>
        <v>0</v>
      </c>
      <c r="E320" s="27" t="str">
        <f>IFERROR(VLOOKUP(C320,#REF!, 2, FALSE), "NO ENCONTRADO")</f>
        <v>NO ENCONTRADO</v>
      </c>
      <c r="F320" s="27" t="str">
        <f>IFERROR(VLOOKUP(C320,#REF!, 3, FALSE), "NO ENCONTRADO")</f>
        <v>NO ENCONTRADO</v>
      </c>
      <c r="G320" s="27" t="str">
        <f>IFERROR(VLOOKUP(C320,#REF!, 4, FALSE), "NO ENCONTRADO")</f>
        <v>NO ENCONTRADO</v>
      </c>
      <c r="H320" s="27" t="str">
        <f>IFERROR(VLOOKUP(C320,#REF!, 5, FALSE), "NO ENCONTRADO")</f>
        <v>NO ENCONTRADO</v>
      </c>
      <c r="I320" s="14"/>
      <c r="J320" s="27"/>
      <c r="K320" s="41"/>
      <c r="L320" s="14"/>
      <c r="M320" s="30">
        <f t="shared" ca="1" si="0"/>
        <v>46026</v>
      </c>
      <c r="N320" s="31" t="str">
        <f t="shared" ca="1" si="1"/>
        <v>✅</v>
      </c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spans="1:28" ht="13" x14ac:dyDescent="0.15">
      <c r="A321" s="33">
        <f>'Scan to Sheets'!A321</f>
        <v>0</v>
      </c>
      <c r="B321" s="35">
        <f>'Scan to Sheets'!B321</f>
        <v>0</v>
      </c>
      <c r="C321" s="35">
        <f>'Scan to Sheets'!C321</f>
        <v>0</v>
      </c>
      <c r="D321" s="35">
        <f>'Scan to Sheets'!D321</f>
        <v>0</v>
      </c>
      <c r="E321" s="36" t="str">
        <f>IFERROR(VLOOKUP(C321,#REF!, 2, FALSE), "NO ENCONTRADO")</f>
        <v>NO ENCONTRADO</v>
      </c>
      <c r="F321" s="36" t="str">
        <f>IFERROR(VLOOKUP(C321,#REF!, 3, FALSE), "NO ENCONTRADO")</f>
        <v>NO ENCONTRADO</v>
      </c>
      <c r="G321" s="36" t="str">
        <f>IFERROR(VLOOKUP(C321,#REF!, 4, FALSE), "NO ENCONTRADO")</f>
        <v>NO ENCONTRADO</v>
      </c>
      <c r="H321" s="36" t="str">
        <f>IFERROR(VLOOKUP(C321,#REF!, 5, FALSE), "NO ENCONTRADO")</f>
        <v>NO ENCONTRADO</v>
      </c>
      <c r="I321" s="15"/>
      <c r="J321" s="36"/>
      <c r="K321" s="42"/>
      <c r="L321" s="15"/>
      <c r="M321" s="39">
        <f t="shared" ca="1" si="0"/>
        <v>46026</v>
      </c>
      <c r="N321" s="40" t="str">
        <f t="shared" ca="1" si="1"/>
        <v>✅</v>
      </c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 ht="13" x14ac:dyDescent="0.15">
      <c r="A322" s="24">
        <f>'Scan to Sheets'!A322</f>
        <v>0</v>
      </c>
      <c r="B322" s="26">
        <f>'Scan to Sheets'!B322</f>
        <v>0</v>
      </c>
      <c r="C322" s="26">
        <f>'Scan to Sheets'!C322</f>
        <v>0</v>
      </c>
      <c r="D322" s="26">
        <f>'Scan to Sheets'!D322</f>
        <v>0</v>
      </c>
      <c r="E322" s="27" t="str">
        <f>IFERROR(VLOOKUP(C322,#REF!, 2, FALSE), "NO ENCONTRADO")</f>
        <v>NO ENCONTRADO</v>
      </c>
      <c r="F322" s="27" t="str">
        <f>IFERROR(VLOOKUP(C322,#REF!, 3, FALSE), "NO ENCONTRADO")</f>
        <v>NO ENCONTRADO</v>
      </c>
      <c r="G322" s="27" t="str">
        <f>IFERROR(VLOOKUP(C322,#REF!, 4, FALSE), "NO ENCONTRADO")</f>
        <v>NO ENCONTRADO</v>
      </c>
      <c r="H322" s="27" t="str">
        <f>IFERROR(VLOOKUP(C322,#REF!, 5, FALSE), "NO ENCONTRADO")</f>
        <v>NO ENCONTRADO</v>
      </c>
      <c r="I322" s="14"/>
      <c r="J322" s="27"/>
      <c r="K322" s="41"/>
      <c r="L322" s="14"/>
      <c r="M322" s="30">
        <f t="shared" ca="1" si="0"/>
        <v>46026</v>
      </c>
      <c r="N322" s="31" t="str">
        <f t="shared" ca="1" si="1"/>
        <v>✅</v>
      </c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spans="1:28" ht="13" x14ac:dyDescent="0.15">
      <c r="A323" s="33">
        <f>'Scan to Sheets'!A323</f>
        <v>0</v>
      </c>
      <c r="B323" s="35">
        <f>'Scan to Sheets'!B323</f>
        <v>0</v>
      </c>
      <c r="C323" s="35">
        <f>'Scan to Sheets'!C323</f>
        <v>0</v>
      </c>
      <c r="D323" s="35">
        <f>'Scan to Sheets'!D323</f>
        <v>0</v>
      </c>
      <c r="E323" s="36" t="str">
        <f>IFERROR(VLOOKUP(C323,#REF!, 2, FALSE), "NO ENCONTRADO")</f>
        <v>NO ENCONTRADO</v>
      </c>
      <c r="F323" s="36" t="str">
        <f>IFERROR(VLOOKUP(C323,#REF!, 3, FALSE), "NO ENCONTRADO")</f>
        <v>NO ENCONTRADO</v>
      </c>
      <c r="G323" s="36" t="str">
        <f>IFERROR(VLOOKUP(C323,#REF!, 4, FALSE), "NO ENCONTRADO")</f>
        <v>NO ENCONTRADO</v>
      </c>
      <c r="H323" s="36" t="str">
        <f>IFERROR(VLOOKUP(C323,#REF!, 5, FALSE), "NO ENCONTRADO")</f>
        <v>NO ENCONTRADO</v>
      </c>
      <c r="I323" s="15"/>
      <c r="J323" s="36"/>
      <c r="K323" s="42"/>
      <c r="L323" s="15"/>
      <c r="M323" s="39">
        <f t="shared" ca="1" si="0"/>
        <v>46026</v>
      </c>
      <c r="N323" s="40" t="str">
        <f t="shared" ca="1" si="1"/>
        <v>✅</v>
      </c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spans="1:28" ht="13" x14ac:dyDescent="0.15">
      <c r="A324" s="24">
        <f>'Scan to Sheets'!A324</f>
        <v>0</v>
      </c>
      <c r="B324" s="26">
        <f>'Scan to Sheets'!B324</f>
        <v>0</v>
      </c>
      <c r="C324" s="26">
        <f>'Scan to Sheets'!C324</f>
        <v>0</v>
      </c>
      <c r="D324" s="26">
        <f>'Scan to Sheets'!D324</f>
        <v>0</v>
      </c>
      <c r="E324" s="27" t="str">
        <f>IFERROR(VLOOKUP(C324,#REF!, 2, FALSE), "NO ENCONTRADO")</f>
        <v>NO ENCONTRADO</v>
      </c>
      <c r="F324" s="27" t="str">
        <f>IFERROR(VLOOKUP(C324,#REF!, 3, FALSE), "NO ENCONTRADO")</f>
        <v>NO ENCONTRADO</v>
      </c>
      <c r="G324" s="27" t="str">
        <f>IFERROR(VLOOKUP(C324,#REF!, 4, FALSE), "NO ENCONTRADO")</f>
        <v>NO ENCONTRADO</v>
      </c>
      <c r="H324" s="27" t="str">
        <f>IFERROR(VLOOKUP(C324,#REF!, 5, FALSE), "NO ENCONTRADO")</f>
        <v>NO ENCONTRADO</v>
      </c>
      <c r="I324" s="14"/>
      <c r="J324" s="27"/>
      <c r="K324" s="41"/>
      <c r="L324" s="14"/>
      <c r="M324" s="30">
        <f t="shared" ca="1" si="0"/>
        <v>46026</v>
      </c>
      <c r="N324" s="31" t="str">
        <f t="shared" ca="1" si="1"/>
        <v>✅</v>
      </c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spans="1:28" ht="13" x14ac:dyDescent="0.15">
      <c r="A325" s="33">
        <f>'Scan to Sheets'!A325</f>
        <v>0</v>
      </c>
      <c r="B325" s="35">
        <f>'Scan to Sheets'!B325</f>
        <v>0</v>
      </c>
      <c r="C325" s="35">
        <f>'Scan to Sheets'!C325</f>
        <v>0</v>
      </c>
      <c r="D325" s="35">
        <f>'Scan to Sheets'!D325</f>
        <v>0</v>
      </c>
      <c r="E325" s="36" t="str">
        <f>IFERROR(VLOOKUP(C325,#REF!, 2, FALSE), "NO ENCONTRADO")</f>
        <v>NO ENCONTRADO</v>
      </c>
      <c r="F325" s="36" t="str">
        <f>IFERROR(VLOOKUP(C325,#REF!, 3, FALSE), "NO ENCONTRADO")</f>
        <v>NO ENCONTRADO</v>
      </c>
      <c r="G325" s="36" t="str">
        <f>IFERROR(VLOOKUP(C325,#REF!, 4, FALSE), "NO ENCONTRADO")</f>
        <v>NO ENCONTRADO</v>
      </c>
      <c r="H325" s="36" t="str">
        <f>IFERROR(VLOOKUP(C325,#REF!, 5, FALSE), "NO ENCONTRADO")</f>
        <v>NO ENCONTRADO</v>
      </c>
      <c r="I325" s="15"/>
      <c r="J325" s="36"/>
      <c r="K325" s="42"/>
      <c r="L325" s="15"/>
      <c r="M325" s="39">
        <f t="shared" ca="1" si="0"/>
        <v>46026</v>
      </c>
      <c r="N325" s="40" t="str">
        <f t="shared" ca="1" si="1"/>
        <v>✅</v>
      </c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spans="1:28" ht="13" x14ac:dyDescent="0.15">
      <c r="A326" s="24">
        <f>'Scan to Sheets'!A326</f>
        <v>0</v>
      </c>
      <c r="B326" s="26">
        <f>'Scan to Sheets'!B326</f>
        <v>0</v>
      </c>
      <c r="C326" s="26">
        <f>'Scan to Sheets'!C326</f>
        <v>0</v>
      </c>
      <c r="D326" s="26">
        <f>'Scan to Sheets'!D326</f>
        <v>0</v>
      </c>
      <c r="E326" s="27" t="str">
        <f>IFERROR(VLOOKUP(C326,#REF!, 2, FALSE), "NO ENCONTRADO")</f>
        <v>NO ENCONTRADO</v>
      </c>
      <c r="F326" s="27" t="str">
        <f>IFERROR(VLOOKUP(C326,#REF!, 3, FALSE), "NO ENCONTRADO")</f>
        <v>NO ENCONTRADO</v>
      </c>
      <c r="G326" s="27" t="str">
        <f>IFERROR(VLOOKUP(C326,#REF!, 4, FALSE), "NO ENCONTRADO")</f>
        <v>NO ENCONTRADO</v>
      </c>
      <c r="H326" s="27" t="str">
        <f>IFERROR(VLOOKUP(C326,#REF!, 5, FALSE), "NO ENCONTRADO")</f>
        <v>NO ENCONTRADO</v>
      </c>
      <c r="I326" s="14"/>
      <c r="J326" s="27"/>
      <c r="K326" s="41"/>
      <c r="L326" s="14"/>
      <c r="M326" s="30">
        <f t="shared" ca="1" si="0"/>
        <v>46026</v>
      </c>
      <c r="N326" s="31" t="str">
        <f t="shared" ca="1" si="1"/>
        <v>✅</v>
      </c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spans="1:28" ht="13" x14ac:dyDescent="0.15">
      <c r="A327" s="33">
        <f>'Scan to Sheets'!A327</f>
        <v>0</v>
      </c>
      <c r="B327" s="35">
        <f>'Scan to Sheets'!B327</f>
        <v>0</v>
      </c>
      <c r="C327" s="35">
        <f>'Scan to Sheets'!C327</f>
        <v>0</v>
      </c>
      <c r="D327" s="35">
        <f>'Scan to Sheets'!D327</f>
        <v>0</v>
      </c>
      <c r="E327" s="36" t="str">
        <f>IFERROR(VLOOKUP(C327,#REF!, 2, FALSE), "NO ENCONTRADO")</f>
        <v>NO ENCONTRADO</v>
      </c>
      <c r="F327" s="36" t="str">
        <f>IFERROR(VLOOKUP(C327,#REF!, 3, FALSE), "NO ENCONTRADO")</f>
        <v>NO ENCONTRADO</v>
      </c>
      <c r="G327" s="36" t="str">
        <f>IFERROR(VLOOKUP(C327,#REF!, 4, FALSE), "NO ENCONTRADO")</f>
        <v>NO ENCONTRADO</v>
      </c>
      <c r="H327" s="36" t="str">
        <f>IFERROR(VLOOKUP(C327,#REF!, 5, FALSE), "NO ENCONTRADO")</f>
        <v>NO ENCONTRADO</v>
      </c>
      <c r="I327" s="15"/>
      <c r="J327" s="36"/>
      <c r="K327" s="42"/>
      <c r="L327" s="15"/>
      <c r="M327" s="39">
        <f t="shared" ca="1" si="0"/>
        <v>46026</v>
      </c>
      <c r="N327" s="40" t="str">
        <f t="shared" ca="1" si="1"/>
        <v>✅</v>
      </c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spans="1:28" ht="13" x14ac:dyDescent="0.15">
      <c r="A328" s="24">
        <f>'Scan to Sheets'!A328</f>
        <v>0</v>
      </c>
      <c r="B328" s="26">
        <f>'Scan to Sheets'!B328</f>
        <v>0</v>
      </c>
      <c r="C328" s="26">
        <f>'Scan to Sheets'!C328</f>
        <v>0</v>
      </c>
      <c r="D328" s="26">
        <f>'Scan to Sheets'!D328</f>
        <v>0</v>
      </c>
      <c r="E328" s="27" t="str">
        <f>IFERROR(VLOOKUP(C328,#REF!, 2, FALSE), "NO ENCONTRADO")</f>
        <v>NO ENCONTRADO</v>
      </c>
      <c r="F328" s="27" t="str">
        <f>IFERROR(VLOOKUP(C328,#REF!, 3, FALSE), "NO ENCONTRADO")</f>
        <v>NO ENCONTRADO</v>
      </c>
      <c r="G328" s="27" t="str">
        <f>IFERROR(VLOOKUP(C328,#REF!, 4, FALSE), "NO ENCONTRADO")</f>
        <v>NO ENCONTRADO</v>
      </c>
      <c r="H328" s="27" t="str">
        <f>IFERROR(VLOOKUP(C328,#REF!, 5, FALSE), "NO ENCONTRADO")</f>
        <v>NO ENCONTRADO</v>
      </c>
      <c r="I328" s="14"/>
      <c r="J328" s="27"/>
      <c r="K328" s="41"/>
      <c r="L328" s="14"/>
      <c r="M328" s="30">
        <f t="shared" ca="1" si="0"/>
        <v>46026</v>
      </c>
      <c r="N328" s="31" t="str">
        <f t="shared" ca="1" si="1"/>
        <v>✅</v>
      </c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 spans="1:28" ht="13" x14ac:dyDescent="0.15">
      <c r="A329" s="33">
        <f>'Scan to Sheets'!A329</f>
        <v>0</v>
      </c>
      <c r="B329" s="35">
        <f>'Scan to Sheets'!B329</f>
        <v>0</v>
      </c>
      <c r="C329" s="35">
        <f>'Scan to Sheets'!C329</f>
        <v>0</v>
      </c>
      <c r="D329" s="35">
        <f>'Scan to Sheets'!D329</f>
        <v>0</v>
      </c>
      <c r="E329" s="36" t="str">
        <f>IFERROR(VLOOKUP(C329,#REF!, 2, FALSE), "NO ENCONTRADO")</f>
        <v>NO ENCONTRADO</v>
      </c>
      <c r="F329" s="36" t="str">
        <f>IFERROR(VLOOKUP(C329,#REF!, 3, FALSE), "NO ENCONTRADO")</f>
        <v>NO ENCONTRADO</v>
      </c>
      <c r="G329" s="36" t="str">
        <f>IFERROR(VLOOKUP(C329,#REF!, 4, FALSE), "NO ENCONTRADO")</f>
        <v>NO ENCONTRADO</v>
      </c>
      <c r="H329" s="36" t="str">
        <f>IFERROR(VLOOKUP(C329,#REF!, 5, FALSE), "NO ENCONTRADO")</f>
        <v>NO ENCONTRADO</v>
      </c>
      <c r="I329" s="15"/>
      <c r="J329" s="36"/>
      <c r="K329" s="42"/>
      <c r="L329" s="15"/>
      <c r="M329" s="39">
        <f t="shared" ca="1" si="0"/>
        <v>46026</v>
      </c>
      <c r="N329" s="40" t="str">
        <f t="shared" ca="1" si="1"/>
        <v>✅</v>
      </c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 spans="1:28" ht="13" x14ac:dyDescent="0.15">
      <c r="A330" s="24">
        <f>'Scan to Sheets'!A330</f>
        <v>0</v>
      </c>
      <c r="B330" s="26">
        <f>'Scan to Sheets'!B330</f>
        <v>0</v>
      </c>
      <c r="C330" s="26">
        <f>'Scan to Sheets'!C330</f>
        <v>0</v>
      </c>
      <c r="D330" s="26">
        <f>'Scan to Sheets'!D330</f>
        <v>0</v>
      </c>
      <c r="E330" s="27" t="str">
        <f>IFERROR(VLOOKUP(C330,#REF!, 2, FALSE), "NO ENCONTRADO")</f>
        <v>NO ENCONTRADO</v>
      </c>
      <c r="F330" s="27" t="str">
        <f>IFERROR(VLOOKUP(C330,#REF!, 3, FALSE), "NO ENCONTRADO")</f>
        <v>NO ENCONTRADO</v>
      </c>
      <c r="G330" s="27" t="str">
        <f>IFERROR(VLOOKUP(C330,#REF!, 4, FALSE), "NO ENCONTRADO")</f>
        <v>NO ENCONTRADO</v>
      </c>
      <c r="H330" s="27" t="str">
        <f>IFERROR(VLOOKUP(C330,#REF!, 5, FALSE), "NO ENCONTRADO")</f>
        <v>NO ENCONTRADO</v>
      </c>
      <c r="I330" s="14"/>
      <c r="J330" s="27"/>
      <c r="K330" s="41"/>
      <c r="L330" s="14"/>
      <c r="M330" s="30">
        <f t="shared" ca="1" si="0"/>
        <v>46026</v>
      </c>
      <c r="N330" s="31" t="str">
        <f t="shared" ca="1" si="1"/>
        <v>✅</v>
      </c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 spans="1:28" ht="13" x14ac:dyDescent="0.15">
      <c r="A331" s="33">
        <f>'Scan to Sheets'!A331</f>
        <v>0</v>
      </c>
      <c r="B331" s="35">
        <f>'Scan to Sheets'!B331</f>
        <v>0</v>
      </c>
      <c r="C331" s="35">
        <f>'Scan to Sheets'!C331</f>
        <v>0</v>
      </c>
      <c r="D331" s="35">
        <f>'Scan to Sheets'!D331</f>
        <v>0</v>
      </c>
      <c r="E331" s="36" t="str">
        <f>IFERROR(VLOOKUP(C331,#REF!, 2, FALSE), "NO ENCONTRADO")</f>
        <v>NO ENCONTRADO</v>
      </c>
      <c r="F331" s="36" t="str">
        <f>IFERROR(VLOOKUP(C331,#REF!, 3, FALSE), "NO ENCONTRADO")</f>
        <v>NO ENCONTRADO</v>
      </c>
      <c r="G331" s="36" t="str">
        <f>IFERROR(VLOOKUP(C331,#REF!, 4, FALSE), "NO ENCONTRADO")</f>
        <v>NO ENCONTRADO</v>
      </c>
      <c r="H331" s="36" t="str">
        <f>IFERROR(VLOOKUP(C331,#REF!, 5, FALSE), "NO ENCONTRADO")</f>
        <v>NO ENCONTRADO</v>
      </c>
      <c r="I331" s="15"/>
      <c r="J331" s="36"/>
      <c r="K331" s="42"/>
      <c r="L331" s="15"/>
      <c r="M331" s="39">
        <f t="shared" ca="1" si="0"/>
        <v>46026</v>
      </c>
      <c r="N331" s="40" t="str">
        <f t="shared" ca="1" si="1"/>
        <v>✅</v>
      </c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 spans="1:28" ht="13" x14ac:dyDescent="0.15">
      <c r="A332" s="24">
        <f>'Scan to Sheets'!A332</f>
        <v>0</v>
      </c>
      <c r="B332" s="26">
        <f>'Scan to Sheets'!B332</f>
        <v>0</v>
      </c>
      <c r="C332" s="26">
        <f>'Scan to Sheets'!C332</f>
        <v>0</v>
      </c>
      <c r="D332" s="26">
        <f>'Scan to Sheets'!D332</f>
        <v>0</v>
      </c>
      <c r="E332" s="27" t="str">
        <f>IFERROR(VLOOKUP(C332,#REF!, 2, FALSE), "NO ENCONTRADO")</f>
        <v>NO ENCONTRADO</v>
      </c>
      <c r="F332" s="27" t="str">
        <f>IFERROR(VLOOKUP(C332,#REF!, 3, FALSE), "NO ENCONTRADO")</f>
        <v>NO ENCONTRADO</v>
      </c>
      <c r="G332" s="27" t="str">
        <f>IFERROR(VLOOKUP(C332,#REF!, 4, FALSE), "NO ENCONTRADO")</f>
        <v>NO ENCONTRADO</v>
      </c>
      <c r="H332" s="27" t="str">
        <f>IFERROR(VLOOKUP(C332,#REF!, 5, FALSE), "NO ENCONTRADO")</f>
        <v>NO ENCONTRADO</v>
      </c>
      <c r="I332" s="14"/>
      <c r="J332" s="27"/>
      <c r="K332" s="41"/>
      <c r="L332" s="14"/>
      <c r="M332" s="30">
        <f t="shared" ca="1" si="0"/>
        <v>46026</v>
      </c>
      <c r="N332" s="31" t="str">
        <f t="shared" ca="1" si="1"/>
        <v>✅</v>
      </c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 spans="1:28" ht="13" x14ac:dyDescent="0.15">
      <c r="A333" s="33">
        <f>'Scan to Sheets'!A333</f>
        <v>0</v>
      </c>
      <c r="B333" s="35">
        <f>'Scan to Sheets'!B333</f>
        <v>0</v>
      </c>
      <c r="C333" s="35">
        <f>'Scan to Sheets'!C333</f>
        <v>0</v>
      </c>
      <c r="D333" s="35">
        <f>'Scan to Sheets'!D333</f>
        <v>0</v>
      </c>
      <c r="E333" s="36" t="str">
        <f>IFERROR(VLOOKUP(C333,#REF!, 2, FALSE), "NO ENCONTRADO")</f>
        <v>NO ENCONTRADO</v>
      </c>
      <c r="F333" s="36" t="str">
        <f>IFERROR(VLOOKUP(C333,#REF!, 3, FALSE), "NO ENCONTRADO")</f>
        <v>NO ENCONTRADO</v>
      </c>
      <c r="G333" s="36" t="str">
        <f>IFERROR(VLOOKUP(C333,#REF!, 4, FALSE), "NO ENCONTRADO")</f>
        <v>NO ENCONTRADO</v>
      </c>
      <c r="H333" s="36" t="str">
        <f>IFERROR(VLOOKUP(C333,#REF!, 5, FALSE), "NO ENCONTRADO")</f>
        <v>NO ENCONTRADO</v>
      </c>
      <c r="I333" s="15"/>
      <c r="J333" s="36"/>
      <c r="K333" s="42"/>
      <c r="L333" s="15"/>
      <c r="M333" s="39">
        <f t="shared" ca="1" si="0"/>
        <v>46026</v>
      </c>
      <c r="N333" s="40" t="str">
        <f t="shared" ca="1" si="1"/>
        <v>✅</v>
      </c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 spans="1:28" ht="13" x14ac:dyDescent="0.15">
      <c r="A334" s="24">
        <f>'Scan to Sheets'!A334</f>
        <v>0</v>
      </c>
      <c r="B334" s="26">
        <f>'Scan to Sheets'!B334</f>
        <v>0</v>
      </c>
      <c r="C334" s="26">
        <f>'Scan to Sheets'!C334</f>
        <v>0</v>
      </c>
      <c r="D334" s="26">
        <f>'Scan to Sheets'!D334</f>
        <v>0</v>
      </c>
      <c r="E334" s="27" t="str">
        <f>IFERROR(VLOOKUP(C334,#REF!, 2, FALSE), "NO ENCONTRADO")</f>
        <v>NO ENCONTRADO</v>
      </c>
      <c r="F334" s="27" t="str">
        <f>IFERROR(VLOOKUP(C334,#REF!, 3, FALSE), "NO ENCONTRADO")</f>
        <v>NO ENCONTRADO</v>
      </c>
      <c r="G334" s="27" t="str">
        <f>IFERROR(VLOOKUP(C334,#REF!, 4, FALSE), "NO ENCONTRADO")</f>
        <v>NO ENCONTRADO</v>
      </c>
      <c r="H334" s="27" t="str">
        <f>IFERROR(VLOOKUP(C334,#REF!, 5, FALSE), "NO ENCONTRADO")</f>
        <v>NO ENCONTRADO</v>
      </c>
      <c r="I334" s="14"/>
      <c r="J334" s="27"/>
      <c r="K334" s="41"/>
      <c r="L334" s="14"/>
      <c r="M334" s="30">
        <f t="shared" ca="1" si="0"/>
        <v>46026</v>
      </c>
      <c r="N334" s="31" t="str">
        <f t="shared" ca="1" si="1"/>
        <v>✅</v>
      </c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 spans="1:28" ht="13" x14ac:dyDescent="0.15">
      <c r="A335" s="33">
        <f>'Scan to Sheets'!A335</f>
        <v>0</v>
      </c>
      <c r="B335" s="35">
        <f>'Scan to Sheets'!B335</f>
        <v>0</v>
      </c>
      <c r="C335" s="35">
        <f>'Scan to Sheets'!C335</f>
        <v>0</v>
      </c>
      <c r="D335" s="35">
        <f>'Scan to Sheets'!D335</f>
        <v>0</v>
      </c>
      <c r="E335" s="36" t="str">
        <f>IFERROR(VLOOKUP(C335,#REF!, 2, FALSE), "NO ENCONTRADO")</f>
        <v>NO ENCONTRADO</v>
      </c>
      <c r="F335" s="36" t="str">
        <f>IFERROR(VLOOKUP(C335,#REF!, 3, FALSE), "NO ENCONTRADO")</f>
        <v>NO ENCONTRADO</v>
      </c>
      <c r="G335" s="36" t="str">
        <f>IFERROR(VLOOKUP(C335,#REF!, 4, FALSE), "NO ENCONTRADO")</f>
        <v>NO ENCONTRADO</v>
      </c>
      <c r="H335" s="36" t="str">
        <f>IFERROR(VLOOKUP(C335,#REF!, 5, FALSE), "NO ENCONTRADO")</f>
        <v>NO ENCONTRADO</v>
      </c>
      <c r="I335" s="15"/>
      <c r="J335" s="36"/>
      <c r="K335" s="42"/>
      <c r="L335" s="15"/>
      <c r="M335" s="39">
        <f t="shared" ca="1" si="0"/>
        <v>46026</v>
      </c>
      <c r="N335" s="40" t="str">
        <f t="shared" ca="1" si="1"/>
        <v>✅</v>
      </c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 spans="1:28" ht="13" x14ac:dyDescent="0.15">
      <c r="A336" s="24">
        <f>'Scan to Sheets'!A336</f>
        <v>0</v>
      </c>
      <c r="B336" s="26">
        <f>'Scan to Sheets'!B336</f>
        <v>0</v>
      </c>
      <c r="C336" s="26">
        <f>'Scan to Sheets'!C336</f>
        <v>0</v>
      </c>
      <c r="D336" s="26">
        <f>'Scan to Sheets'!D336</f>
        <v>0</v>
      </c>
      <c r="E336" s="27" t="str">
        <f>IFERROR(VLOOKUP(C336,#REF!, 2, FALSE), "NO ENCONTRADO")</f>
        <v>NO ENCONTRADO</v>
      </c>
      <c r="F336" s="27" t="str">
        <f>IFERROR(VLOOKUP(C336,#REF!, 3, FALSE), "NO ENCONTRADO")</f>
        <v>NO ENCONTRADO</v>
      </c>
      <c r="G336" s="27" t="str">
        <f>IFERROR(VLOOKUP(C336,#REF!, 4, FALSE), "NO ENCONTRADO")</f>
        <v>NO ENCONTRADO</v>
      </c>
      <c r="H336" s="27" t="str">
        <f>IFERROR(VLOOKUP(C336,#REF!, 5, FALSE), "NO ENCONTRADO")</f>
        <v>NO ENCONTRADO</v>
      </c>
      <c r="I336" s="14"/>
      <c r="J336" s="27"/>
      <c r="K336" s="41"/>
      <c r="L336" s="14"/>
      <c r="M336" s="30">
        <f t="shared" ca="1" si="0"/>
        <v>46026</v>
      </c>
      <c r="N336" s="31" t="str">
        <f t="shared" ca="1" si="1"/>
        <v>✅</v>
      </c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 spans="1:28" ht="13" x14ac:dyDescent="0.15">
      <c r="A337" s="33">
        <f>'Scan to Sheets'!A337</f>
        <v>0</v>
      </c>
      <c r="B337" s="35">
        <f>'Scan to Sheets'!B337</f>
        <v>0</v>
      </c>
      <c r="C337" s="35">
        <f>'Scan to Sheets'!C337</f>
        <v>0</v>
      </c>
      <c r="D337" s="35">
        <f>'Scan to Sheets'!D337</f>
        <v>0</v>
      </c>
      <c r="E337" s="36" t="str">
        <f>IFERROR(VLOOKUP(C337,#REF!, 2, FALSE), "NO ENCONTRADO")</f>
        <v>NO ENCONTRADO</v>
      </c>
      <c r="F337" s="36" t="str">
        <f>IFERROR(VLOOKUP(C337,#REF!, 3, FALSE), "NO ENCONTRADO")</f>
        <v>NO ENCONTRADO</v>
      </c>
      <c r="G337" s="36" t="str">
        <f>IFERROR(VLOOKUP(C337,#REF!, 4, FALSE), "NO ENCONTRADO")</f>
        <v>NO ENCONTRADO</v>
      </c>
      <c r="H337" s="36" t="str">
        <f>IFERROR(VLOOKUP(C337,#REF!, 5, FALSE), "NO ENCONTRADO")</f>
        <v>NO ENCONTRADO</v>
      </c>
      <c r="I337" s="15"/>
      <c r="J337" s="36"/>
      <c r="K337" s="42"/>
      <c r="L337" s="15"/>
      <c r="M337" s="39">
        <f t="shared" ca="1" si="0"/>
        <v>46026</v>
      </c>
      <c r="N337" s="40" t="str">
        <f t="shared" ca="1" si="1"/>
        <v>✅</v>
      </c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 spans="1:28" ht="13" x14ac:dyDescent="0.15">
      <c r="A338" s="24">
        <f>'Scan to Sheets'!A338</f>
        <v>0</v>
      </c>
      <c r="B338" s="26">
        <f>'Scan to Sheets'!B338</f>
        <v>0</v>
      </c>
      <c r="C338" s="26">
        <f>'Scan to Sheets'!C338</f>
        <v>0</v>
      </c>
      <c r="D338" s="26">
        <f>'Scan to Sheets'!D338</f>
        <v>0</v>
      </c>
      <c r="E338" s="27" t="str">
        <f>IFERROR(VLOOKUP(C338,#REF!, 2, FALSE), "NO ENCONTRADO")</f>
        <v>NO ENCONTRADO</v>
      </c>
      <c r="F338" s="27" t="str">
        <f>IFERROR(VLOOKUP(C338,#REF!, 3, FALSE), "NO ENCONTRADO")</f>
        <v>NO ENCONTRADO</v>
      </c>
      <c r="G338" s="27" t="str">
        <f>IFERROR(VLOOKUP(C338,#REF!, 4, FALSE), "NO ENCONTRADO")</f>
        <v>NO ENCONTRADO</v>
      </c>
      <c r="H338" s="27" t="str">
        <f>IFERROR(VLOOKUP(C338,#REF!, 5, FALSE), "NO ENCONTRADO")</f>
        <v>NO ENCONTRADO</v>
      </c>
      <c r="I338" s="14"/>
      <c r="J338" s="27"/>
      <c r="K338" s="41"/>
      <c r="L338" s="14"/>
      <c r="M338" s="30">
        <f t="shared" ca="1" si="0"/>
        <v>46026</v>
      </c>
      <c r="N338" s="31" t="str">
        <f t="shared" ca="1" si="1"/>
        <v>✅</v>
      </c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 spans="1:28" ht="13" x14ac:dyDescent="0.15">
      <c r="A339" s="33">
        <f>'Scan to Sheets'!A339</f>
        <v>0</v>
      </c>
      <c r="B339" s="35">
        <f>'Scan to Sheets'!B339</f>
        <v>0</v>
      </c>
      <c r="C339" s="35">
        <f>'Scan to Sheets'!C339</f>
        <v>0</v>
      </c>
      <c r="D339" s="35">
        <f>'Scan to Sheets'!D339</f>
        <v>0</v>
      </c>
      <c r="E339" s="36" t="str">
        <f>IFERROR(VLOOKUP(C339,#REF!, 2, FALSE), "NO ENCONTRADO")</f>
        <v>NO ENCONTRADO</v>
      </c>
      <c r="F339" s="36" t="str">
        <f>IFERROR(VLOOKUP(C339,#REF!, 3, FALSE), "NO ENCONTRADO")</f>
        <v>NO ENCONTRADO</v>
      </c>
      <c r="G339" s="36" t="str">
        <f>IFERROR(VLOOKUP(C339,#REF!, 4, FALSE), "NO ENCONTRADO")</f>
        <v>NO ENCONTRADO</v>
      </c>
      <c r="H339" s="36" t="str">
        <f>IFERROR(VLOOKUP(C339,#REF!, 5, FALSE), "NO ENCONTRADO")</f>
        <v>NO ENCONTRADO</v>
      </c>
      <c r="I339" s="15"/>
      <c r="J339" s="36"/>
      <c r="K339" s="42"/>
      <c r="L339" s="15"/>
      <c r="M339" s="39">
        <f t="shared" ca="1" si="0"/>
        <v>46026</v>
      </c>
      <c r="N339" s="40" t="str">
        <f t="shared" ca="1" si="1"/>
        <v>✅</v>
      </c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spans="1:28" ht="13" x14ac:dyDescent="0.15">
      <c r="A340" s="24">
        <f>'Scan to Sheets'!A340</f>
        <v>0</v>
      </c>
      <c r="B340" s="26">
        <f>'Scan to Sheets'!B340</f>
        <v>0</v>
      </c>
      <c r="C340" s="26">
        <f>'Scan to Sheets'!C340</f>
        <v>0</v>
      </c>
      <c r="D340" s="26">
        <f>'Scan to Sheets'!D340</f>
        <v>0</v>
      </c>
      <c r="E340" s="27" t="str">
        <f>IFERROR(VLOOKUP(C340,#REF!, 2, FALSE), "NO ENCONTRADO")</f>
        <v>NO ENCONTRADO</v>
      </c>
      <c r="F340" s="27" t="str">
        <f>IFERROR(VLOOKUP(C340,#REF!, 3, FALSE), "NO ENCONTRADO")</f>
        <v>NO ENCONTRADO</v>
      </c>
      <c r="G340" s="27" t="str">
        <f>IFERROR(VLOOKUP(C340,#REF!, 4, FALSE), "NO ENCONTRADO")</f>
        <v>NO ENCONTRADO</v>
      </c>
      <c r="H340" s="27" t="str">
        <f>IFERROR(VLOOKUP(C340,#REF!, 5, FALSE), "NO ENCONTRADO")</f>
        <v>NO ENCONTRADO</v>
      </c>
      <c r="I340" s="14"/>
      <c r="J340" s="27"/>
      <c r="K340" s="41"/>
      <c r="L340" s="14"/>
      <c r="M340" s="30">
        <f t="shared" ca="1" si="0"/>
        <v>46026</v>
      </c>
      <c r="N340" s="31" t="str">
        <f t="shared" ca="1" si="1"/>
        <v>✅</v>
      </c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spans="1:28" ht="13" x14ac:dyDescent="0.15">
      <c r="A341" s="33">
        <f>'Scan to Sheets'!A341</f>
        <v>0</v>
      </c>
      <c r="B341" s="35">
        <f>'Scan to Sheets'!B341</f>
        <v>0</v>
      </c>
      <c r="C341" s="35">
        <f>'Scan to Sheets'!C341</f>
        <v>0</v>
      </c>
      <c r="D341" s="35">
        <f>'Scan to Sheets'!D341</f>
        <v>0</v>
      </c>
      <c r="E341" s="36" t="str">
        <f>IFERROR(VLOOKUP(C341,#REF!, 2, FALSE), "NO ENCONTRADO")</f>
        <v>NO ENCONTRADO</v>
      </c>
      <c r="F341" s="36" t="str">
        <f>IFERROR(VLOOKUP(C341,#REF!, 3, FALSE), "NO ENCONTRADO")</f>
        <v>NO ENCONTRADO</v>
      </c>
      <c r="G341" s="36" t="str">
        <f>IFERROR(VLOOKUP(C341,#REF!, 4, FALSE), "NO ENCONTRADO")</f>
        <v>NO ENCONTRADO</v>
      </c>
      <c r="H341" s="36" t="str">
        <f>IFERROR(VLOOKUP(C341,#REF!, 5, FALSE), "NO ENCONTRADO")</f>
        <v>NO ENCONTRADO</v>
      </c>
      <c r="I341" s="15"/>
      <c r="J341" s="36"/>
      <c r="K341" s="42"/>
      <c r="L341" s="15"/>
      <c r="M341" s="39">
        <f t="shared" ca="1" si="0"/>
        <v>46026</v>
      </c>
      <c r="N341" s="40" t="str">
        <f t="shared" ca="1" si="1"/>
        <v>✅</v>
      </c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spans="1:28" ht="13" x14ac:dyDescent="0.15">
      <c r="A342" s="24">
        <f>'Scan to Sheets'!A342</f>
        <v>0</v>
      </c>
      <c r="B342" s="26">
        <f>'Scan to Sheets'!B342</f>
        <v>0</v>
      </c>
      <c r="C342" s="26">
        <f>'Scan to Sheets'!C342</f>
        <v>0</v>
      </c>
      <c r="D342" s="26">
        <f>'Scan to Sheets'!D342</f>
        <v>0</v>
      </c>
      <c r="E342" s="27" t="str">
        <f>IFERROR(VLOOKUP(C342,#REF!, 2, FALSE), "NO ENCONTRADO")</f>
        <v>NO ENCONTRADO</v>
      </c>
      <c r="F342" s="27" t="str">
        <f>IFERROR(VLOOKUP(C342,#REF!, 3, FALSE), "NO ENCONTRADO")</f>
        <v>NO ENCONTRADO</v>
      </c>
      <c r="G342" s="27" t="str">
        <f>IFERROR(VLOOKUP(C342,#REF!, 4, FALSE), "NO ENCONTRADO")</f>
        <v>NO ENCONTRADO</v>
      </c>
      <c r="H342" s="27" t="str">
        <f>IFERROR(VLOOKUP(C342,#REF!, 5, FALSE), "NO ENCONTRADO")</f>
        <v>NO ENCONTRADO</v>
      </c>
      <c r="I342" s="14"/>
      <c r="J342" s="27"/>
      <c r="K342" s="41"/>
      <c r="L342" s="14"/>
      <c r="M342" s="30">
        <f t="shared" ca="1" si="0"/>
        <v>46026</v>
      </c>
      <c r="N342" s="31" t="str">
        <f t="shared" ca="1" si="1"/>
        <v>✅</v>
      </c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spans="1:28" ht="13" x14ac:dyDescent="0.15">
      <c r="A343" s="33">
        <f>'Scan to Sheets'!A343</f>
        <v>0</v>
      </c>
      <c r="B343" s="35">
        <f>'Scan to Sheets'!B343</f>
        <v>0</v>
      </c>
      <c r="C343" s="35">
        <f>'Scan to Sheets'!C343</f>
        <v>0</v>
      </c>
      <c r="D343" s="35">
        <f>'Scan to Sheets'!D343</f>
        <v>0</v>
      </c>
      <c r="E343" s="36" t="str">
        <f>IFERROR(VLOOKUP(C343,#REF!, 2, FALSE), "NO ENCONTRADO")</f>
        <v>NO ENCONTRADO</v>
      </c>
      <c r="F343" s="36" t="str">
        <f>IFERROR(VLOOKUP(C343,#REF!, 3, FALSE), "NO ENCONTRADO")</f>
        <v>NO ENCONTRADO</v>
      </c>
      <c r="G343" s="36" t="str">
        <f>IFERROR(VLOOKUP(C343,#REF!, 4, FALSE), "NO ENCONTRADO")</f>
        <v>NO ENCONTRADO</v>
      </c>
      <c r="H343" s="36" t="str">
        <f>IFERROR(VLOOKUP(C343,#REF!, 5, FALSE), "NO ENCONTRADO")</f>
        <v>NO ENCONTRADO</v>
      </c>
      <c r="I343" s="15"/>
      <c r="J343" s="36"/>
      <c r="K343" s="42"/>
      <c r="L343" s="15"/>
      <c r="M343" s="39">
        <f t="shared" ca="1" si="0"/>
        <v>46026</v>
      </c>
      <c r="N343" s="40" t="str">
        <f t="shared" ca="1" si="1"/>
        <v>✅</v>
      </c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spans="1:28" ht="13" x14ac:dyDescent="0.15">
      <c r="A344" s="24">
        <f>'Scan to Sheets'!A344</f>
        <v>0</v>
      </c>
      <c r="B344" s="26">
        <f>'Scan to Sheets'!B344</f>
        <v>0</v>
      </c>
      <c r="C344" s="26">
        <f>'Scan to Sheets'!C344</f>
        <v>0</v>
      </c>
      <c r="D344" s="26">
        <f>'Scan to Sheets'!D344</f>
        <v>0</v>
      </c>
      <c r="E344" s="27" t="str">
        <f>IFERROR(VLOOKUP(C344,#REF!, 2, FALSE), "NO ENCONTRADO")</f>
        <v>NO ENCONTRADO</v>
      </c>
      <c r="F344" s="27" t="str">
        <f>IFERROR(VLOOKUP(C344,#REF!, 3, FALSE), "NO ENCONTRADO")</f>
        <v>NO ENCONTRADO</v>
      </c>
      <c r="G344" s="27" t="str">
        <f>IFERROR(VLOOKUP(C344,#REF!, 4, FALSE), "NO ENCONTRADO")</f>
        <v>NO ENCONTRADO</v>
      </c>
      <c r="H344" s="27" t="str">
        <f>IFERROR(VLOOKUP(C344,#REF!, 5, FALSE), "NO ENCONTRADO")</f>
        <v>NO ENCONTRADO</v>
      </c>
      <c r="I344" s="14"/>
      <c r="J344" s="27"/>
      <c r="K344" s="41"/>
      <c r="L344" s="14"/>
      <c r="M344" s="30">
        <f t="shared" ca="1" si="0"/>
        <v>46026</v>
      </c>
      <c r="N344" s="31" t="str">
        <f t="shared" ca="1" si="1"/>
        <v>✅</v>
      </c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spans="1:28" ht="13" x14ac:dyDescent="0.15">
      <c r="A345" s="33">
        <f>'Scan to Sheets'!A345</f>
        <v>0</v>
      </c>
      <c r="B345" s="35">
        <f>'Scan to Sheets'!B345</f>
        <v>0</v>
      </c>
      <c r="C345" s="35">
        <f>'Scan to Sheets'!C345</f>
        <v>0</v>
      </c>
      <c r="D345" s="35">
        <f>'Scan to Sheets'!D345</f>
        <v>0</v>
      </c>
      <c r="E345" s="36" t="str">
        <f>IFERROR(VLOOKUP(C345,#REF!, 2, FALSE), "NO ENCONTRADO")</f>
        <v>NO ENCONTRADO</v>
      </c>
      <c r="F345" s="36" t="str">
        <f>IFERROR(VLOOKUP(C345,#REF!, 3, FALSE), "NO ENCONTRADO")</f>
        <v>NO ENCONTRADO</v>
      </c>
      <c r="G345" s="36" t="str">
        <f>IFERROR(VLOOKUP(C345,#REF!, 4, FALSE), "NO ENCONTRADO")</f>
        <v>NO ENCONTRADO</v>
      </c>
      <c r="H345" s="36" t="str">
        <f>IFERROR(VLOOKUP(C345,#REF!, 5, FALSE), "NO ENCONTRADO")</f>
        <v>NO ENCONTRADO</v>
      </c>
      <c r="I345" s="15"/>
      <c r="J345" s="36"/>
      <c r="K345" s="42"/>
      <c r="L345" s="15"/>
      <c r="M345" s="39">
        <f t="shared" ca="1" si="0"/>
        <v>46026</v>
      </c>
      <c r="N345" s="40" t="str">
        <f t="shared" ca="1" si="1"/>
        <v>✅</v>
      </c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spans="1:28" ht="13" x14ac:dyDescent="0.15">
      <c r="A346" s="24">
        <f>'Scan to Sheets'!A346</f>
        <v>0</v>
      </c>
      <c r="B346" s="26">
        <f>'Scan to Sheets'!B346</f>
        <v>0</v>
      </c>
      <c r="C346" s="26">
        <f>'Scan to Sheets'!C346</f>
        <v>0</v>
      </c>
      <c r="D346" s="26">
        <f>'Scan to Sheets'!D346</f>
        <v>0</v>
      </c>
      <c r="E346" s="27" t="str">
        <f>IFERROR(VLOOKUP(C346,#REF!, 2, FALSE), "NO ENCONTRADO")</f>
        <v>NO ENCONTRADO</v>
      </c>
      <c r="F346" s="27" t="str">
        <f>IFERROR(VLOOKUP(C346,#REF!, 3, FALSE), "NO ENCONTRADO")</f>
        <v>NO ENCONTRADO</v>
      </c>
      <c r="G346" s="27" t="str">
        <f>IFERROR(VLOOKUP(C346,#REF!, 4, FALSE), "NO ENCONTRADO")</f>
        <v>NO ENCONTRADO</v>
      </c>
      <c r="H346" s="27" t="str">
        <f>IFERROR(VLOOKUP(C346,#REF!, 5, FALSE), "NO ENCONTRADO")</f>
        <v>NO ENCONTRADO</v>
      </c>
      <c r="I346" s="14"/>
      <c r="J346" s="27"/>
      <c r="K346" s="41"/>
      <c r="L346" s="14"/>
      <c r="M346" s="30">
        <f t="shared" ca="1" si="0"/>
        <v>46026</v>
      </c>
      <c r="N346" s="31" t="str">
        <f t="shared" ca="1" si="1"/>
        <v>✅</v>
      </c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spans="1:28" ht="13" x14ac:dyDescent="0.15">
      <c r="A347" s="33">
        <f>'Scan to Sheets'!A347</f>
        <v>0</v>
      </c>
      <c r="B347" s="35">
        <f>'Scan to Sheets'!B347</f>
        <v>0</v>
      </c>
      <c r="C347" s="35">
        <f>'Scan to Sheets'!C347</f>
        <v>0</v>
      </c>
      <c r="D347" s="35">
        <f>'Scan to Sheets'!D347</f>
        <v>0</v>
      </c>
      <c r="E347" s="36" t="str">
        <f>IFERROR(VLOOKUP(C347,#REF!, 2, FALSE), "NO ENCONTRADO")</f>
        <v>NO ENCONTRADO</v>
      </c>
      <c r="F347" s="36" t="str">
        <f>IFERROR(VLOOKUP(C347,#REF!, 3, FALSE), "NO ENCONTRADO")</f>
        <v>NO ENCONTRADO</v>
      </c>
      <c r="G347" s="36" t="str">
        <f>IFERROR(VLOOKUP(C347,#REF!, 4, FALSE), "NO ENCONTRADO")</f>
        <v>NO ENCONTRADO</v>
      </c>
      <c r="H347" s="36" t="str">
        <f>IFERROR(VLOOKUP(C347,#REF!, 5, FALSE), "NO ENCONTRADO")</f>
        <v>NO ENCONTRADO</v>
      </c>
      <c r="I347" s="15"/>
      <c r="J347" s="36"/>
      <c r="K347" s="42"/>
      <c r="L347" s="15"/>
      <c r="M347" s="39">
        <f t="shared" ca="1" si="0"/>
        <v>46026</v>
      </c>
      <c r="N347" s="40" t="str">
        <f t="shared" ca="1" si="1"/>
        <v>✅</v>
      </c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spans="1:28" ht="13" x14ac:dyDescent="0.15">
      <c r="A348" s="24">
        <f>'Scan to Sheets'!A348</f>
        <v>0</v>
      </c>
      <c r="B348" s="26">
        <f>'Scan to Sheets'!B348</f>
        <v>0</v>
      </c>
      <c r="C348" s="26">
        <f>'Scan to Sheets'!C348</f>
        <v>0</v>
      </c>
      <c r="D348" s="26">
        <f>'Scan to Sheets'!D348</f>
        <v>0</v>
      </c>
      <c r="E348" s="27" t="str">
        <f>IFERROR(VLOOKUP(C348,#REF!, 2, FALSE), "NO ENCONTRADO")</f>
        <v>NO ENCONTRADO</v>
      </c>
      <c r="F348" s="27" t="str">
        <f>IFERROR(VLOOKUP(C348,#REF!, 3, FALSE), "NO ENCONTRADO")</f>
        <v>NO ENCONTRADO</v>
      </c>
      <c r="G348" s="27" t="str">
        <f>IFERROR(VLOOKUP(C348,#REF!, 4, FALSE), "NO ENCONTRADO")</f>
        <v>NO ENCONTRADO</v>
      </c>
      <c r="H348" s="27" t="str">
        <f>IFERROR(VLOOKUP(C348,#REF!, 5, FALSE), "NO ENCONTRADO")</f>
        <v>NO ENCONTRADO</v>
      </c>
      <c r="I348" s="14"/>
      <c r="J348" s="27"/>
      <c r="K348" s="41"/>
      <c r="L348" s="14"/>
      <c r="M348" s="30">
        <f t="shared" ca="1" si="0"/>
        <v>46026</v>
      </c>
      <c r="N348" s="31" t="str">
        <f t="shared" ca="1" si="1"/>
        <v>✅</v>
      </c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spans="1:28" ht="13" x14ac:dyDescent="0.15">
      <c r="A349" s="33">
        <f>'Scan to Sheets'!A349</f>
        <v>0</v>
      </c>
      <c r="B349" s="35">
        <f>'Scan to Sheets'!B349</f>
        <v>0</v>
      </c>
      <c r="C349" s="35">
        <f>'Scan to Sheets'!C349</f>
        <v>0</v>
      </c>
      <c r="D349" s="35">
        <f>'Scan to Sheets'!D349</f>
        <v>0</v>
      </c>
      <c r="E349" s="36" t="str">
        <f>IFERROR(VLOOKUP(C349,#REF!, 2, FALSE), "NO ENCONTRADO")</f>
        <v>NO ENCONTRADO</v>
      </c>
      <c r="F349" s="36" t="str">
        <f>IFERROR(VLOOKUP(C349,#REF!, 3, FALSE), "NO ENCONTRADO")</f>
        <v>NO ENCONTRADO</v>
      </c>
      <c r="G349" s="36" t="str">
        <f>IFERROR(VLOOKUP(C349,#REF!, 4, FALSE), "NO ENCONTRADO")</f>
        <v>NO ENCONTRADO</v>
      </c>
      <c r="H349" s="36" t="str">
        <f>IFERROR(VLOOKUP(C349,#REF!, 5, FALSE), "NO ENCONTRADO")</f>
        <v>NO ENCONTRADO</v>
      </c>
      <c r="I349" s="15"/>
      <c r="J349" s="36"/>
      <c r="K349" s="42"/>
      <c r="L349" s="15"/>
      <c r="M349" s="39">
        <f t="shared" ca="1" si="0"/>
        <v>46026</v>
      </c>
      <c r="N349" s="40" t="str">
        <f t="shared" ca="1" si="1"/>
        <v>✅</v>
      </c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spans="1:28" ht="13" x14ac:dyDescent="0.15">
      <c r="A350" s="24">
        <f>'Scan to Sheets'!A350</f>
        <v>0</v>
      </c>
      <c r="B350" s="26">
        <f>'Scan to Sheets'!B350</f>
        <v>0</v>
      </c>
      <c r="C350" s="26">
        <f>'Scan to Sheets'!C350</f>
        <v>0</v>
      </c>
      <c r="D350" s="26">
        <f>'Scan to Sheets'!D350</f>
        <v>0</v>
      </c>
      <c r="E350" s="27" t="str">
        <f>IFERROR(VLOOKUP(C350,#REF!, 2, FALSE), "NO ENCONTRADO")</f>
        <v>NO ENCONTRADO</v>
      </c>
      <c r="F350" s="27" t="str">
        <f>IFERROR(VLOOKUP(C350,#REF!, 3, FALSE), "NO ENCONTRADO")</f>
        <v>NO ENCONTRADO</v>
      </c>
      <c r="G350" s="27" t="str">
        <f>IFERROR(VLOOKUP(C350,#REF!, 4, FALSE), "NO ENCONTRADO")</f>
        <v>NO ENCONTRADO</v>
      </c>
      <c r="H350" s="27" t="str">
        <f>IFERROR(VLOOKUP(C350,#REF!, 5, FALSE), "NO ENCONTRADO")</f>
        <v>NO ENCONTRADO</v>
      </c>
      <c r="I350" s="14"/>
      <c r="J350" s="27"/>
      <c r="K350" s="41"/>
      <c r="L350" s="14"/>
      <c r="M350" s="30">
        <f t="shared" ca="1" si="0"/>
        <v>46026</v>
      </c>
      <c r="N350" s="31" t="str">
        <f t="shared" ca="1" si="1"/>
        <v>✅</v>
      </c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spans="1:28" ht="13" x14ac:dyDescent="0.15">
      <c r="A351" s="33">
        <f>'Scan to Sheets'!A351</f>
        <v>0</v>
      </c>
      <c r="B351" s="35">
        <f>'Scan to Sheets'!B351</f>
        <v>0</v>
      </c>
      <c r="C351" s="35">
        <f>'Scan to Sheets'!C351</f>
        <v>0</v>
      </c>
      <c r="D351" s="35">
        <f>'Scan to Sheets'!D351</f>
        <v>0</v>
      </c>
      <c r="E351" s="36" t="str">
        <f>IFERROR(VLOOKUP(C351,#REF!, 2, FALSE), "NO ENCONTRADO")</f>
        <v>NO ENCONTRADO</v>
      </c>
      <c r="F351" s="36" t="str">
        <f>IFERROR(VLOOKUP(C351,#REF!, 3, FALSE), "NO ENCONTRADO")</f>
        <v>NO ENCONTRADO</v>
      </c>
      <c r="G351" s="36" t="str">
        <f>IFERROR(VLOOKUP(C351,#REF!, 4, FALSE), "NO ENCONTRADO")</f>
        <v>NO ENCONTRADO</v>
      </c>
      <c r="H351" s="36" t="str">
        <f>IFERROR(VLOOKUP(C351,#REF!, 5, FALSE), "NO ENCONTRADO")</f>
        <v>NO ENCONTRADO</v>
      </c>
      <c r="I351" s="15"/>
      <c r="J351" s="36"/>
      <c r="K351" s="42"/>
      <c r="L351" s="15"/>
      <c r="M351" s="39">
        <f t="shared" ca="1" si="0"/>
        <v>46026</v>
      </c>
      <c r="N351" s="40" t="str">
        <f t="shared" ca="1" si="1"/>
        <v>✅</v>
      </c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spans="1:28" ht="13" x14ac:dyDescent="0.15">
      <c r="A352" s="24">
        <f>'Scan to Sheets'!A352</f>
        <v>0</v>
      </c>
      <c r="B352" s="26">
        <f>'Scan to Sheets'!B352</f>
        <v>0</v>
      </c>
      <c r="C352" s="26">
        <f>'Scan to Sheets'!C352</f>
        <v>0</v>
      </c>
      <c r="D352" s="26">
        <f>'Scan to Sheets'!D352</f>
        <v>0</v>
      </c>
      <c r="E352" s="27" t="str">
        <f>IFERROR(VLOOKUP(C352,#REF!, 2, FALSE), "NO ENCONTRADO")</f>
        <v>NO ENCONTRADO</v>
      </c>
      <c r="F352" s="27" t="str">
        <f>IFERROR(VLOOKUP(C352,#REF!, 3, FALSE), "NO ENCONTRADO")</f>
        <v>NO ENCONTRADO</v>
      </c>
      <c r="G352" s="27" t="str">
        <f>IFERROR(VLOOKUP(C352,#REF!, 4, FALSE), "NO ENCONTRADO")</f>
        <v>NO ENCONTRADO</v>
      </c>
      <c r="H352" s="27" t="str">
        <f>IFERROR(VLOOKUP(C352,#REF!, 5, FALSE), "NO ENCONTRADO")</f>
        <v>NO ENCONTRADO</v>
      </c>
      <c r="I352" s="14"/>
      <c r="J352" s="27"/>
      <c r="K352" s="41"/>
      <c r="L352" s="14"/>
      <c r="M352" s="30">
        <f t="shared" ca="1" si="0"/>
        <v>46026</v>
      </c>
      <c r="N352" s="31" t="str">
        <f t="shared" ca="1" si="1"/>
        <v>✅</v>
      </c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 spans="1:28" ht="13" x14ac:dyDescent="0.15">
      <c r="A353" s="33">
        <f>'Scan to Sheets'!A353</f>
        <v>0</v>
      </c>
      <c r="B353" s="35">
        <f>'Scan to Sheets'!B353</f>
        <v>0</v>
      </c>
      <c r="C353" s="35">
        <f>'Scan to Sheets'!C353</f>
        <v>0</v>
      </c>
      <c r="D353" s="35">
        <f>'Scan to Sheets'!D353</f>
        <v>0</v>
      </c>
      <c r="E353" s="36" t="str">
        <f>IFERROR(VLOOKUP(C353,#REF!, 2, FALSE), "NO ENCONTRADO")</f>
        <v>NO ENCONTRADO</v>
      </c>
      <c r="F353" s="36" t="str">
        <f>IFERROR(VLOOKUP(C353,#REF!, 3, FALSE), "NO ENCONTRADO")</f>
        <v>NO ENCONTRADO</v>
      </c>
      <c r="G353" s="36" t="str">
        <f>IFERROR(VLOOKUP(C353,#REF!, 4, FALSE), "NO ENCONTRADO")</f>
        <v>NO ENCONTRADO</v>
      </c>
      <c r="H353" s="36" t="str">
        <f>IFERROR(VLOOKUP(C353,#REF!, 5, FALSE), "NO ENCONTRADO")</f>
        <v>NO ENCONTRADO</v>
      </c>
      <c r="I353" s="15"/>
      <c r="J353" s="36"/>
      <c r="K353" s="42"/>
      <c r="L353" s="15"/>
      <c r="M353" s="39">
        <f t="shared" ca="1" si="0"/>
        <v>46026</v>
      </c>
      <c r="N353" s="40" t="str">
        <f t="shared" ca="1" si="1"/>
        <v>✅</v>
      </c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 spans="1:28" ht="13" x14ac:dyDescent="0.15">
      <c r="A354" s="24">
        <f>'Scan to Sheets'!A354</f>
        <v>0</v>
      </c>
      <c r="B354" s="26">
        <f>'Scan to Sheets'!B354</f>
        <v>0</v>
      </c>
      <c r="C354" s="26">
        <f>'Scan to Sheets'!C354</f>
        <v>0</v>
      </c>
      <c r="D354" s="26">
        <f>'Scan to Sheets'!D354</f>
        <v>0</v>
      </c>
      <c r="E354" s="27" t="str">
        <f>IFERROR(VLOOKUP(C354,#REF!, 2, FALSE), "NO ENCONTRADO")</f>
        <v>NO ENCONTRADO</v>
      </c>
      <c r="F354" s="27" t="str">
        <f>IFERROR(VLOOKUP(C354,#REF!, 3, FALSE), "NO ENCONTRADO")</f>
        <v>NO ENCONTRADO</v>
      </c>
      <c r="G354" s="27" t="str">
        <f>IFERROR(VLOOKUP(C354,#REF!, 4, FALSE), "NO ENCONTRADO")</f>
        <v>NO ENCONTRADO</v>
      </c>
      <c r="H354" s="27" t="str">
        <f>IFERROR(VLOOKUP(C354,#REF!, 5, FALSE), "NO ENCONTRADO")</f>
        <v>NO ENCONTRADO</v>
      </c>
      <c r="I354" s="14"/>
      <c r="J354" s="27"/>
      <c r="K354" s="41"/>
      <c r="L354" s="14"/>
      <c r="M354" s="30">
        <f t="shared" ca="1" si="0"/>
        <v>46026</v>
      </c>
      <c r="N354" s="31" t="str">
        <f t="shared" ca="1" si="1"/>
        <v>✅</v>
      </c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 spans="1:28" ht="13" x14ac:dyDescent="0.15">
      <c r="A355" s="33">
        <f>'Scan to Sheets'!A355</f>
        <v>0</v>
      </c>
      <c r="B355" s="35">
        <f>'Scan to Sheets'!B355</f>
        <v>0</v>
      </c>
      <c r="C355" s="35">
        <f>'Scan to Sheets'!C355</f>
        <v>0</v>
      </c>
      <c r="D355" s="35">
        <f>'Scan to Sheets'!D355</f>
        <v>0</v>
      </c>
      <c r="E355" s="36" t="str">
        <f>IFERROR(VLOOKUP(C355,#REF!, 2, FALSE), "NO ENCONTRADO")</f>
        <v>NO ENCONTRADO</v>
      </c>
      <c r="F355" s="36" t="str">
        <f>IFERROR(VLOOKUP(C355,#REF!, 3, FALSE), "NO ENCONTRADO")</f>
        <v>NO ENCONTRADO</v>
      </c>
      <c r="G355" s="36" t="str">
        <f>IFERROR(VLOOKUP(C355,#REF!, 4, FALSE), "NO ENCONTRADO")</f>
        <v>NO ENCONTRADO</v>
      </c>
      <c r="H355" s="36" t="str">
        <f>IFERROR(VLOOKUP(C355,#REF!, 5, FALSE), "NO ENCONTRADO")</f>
        <v>NO ENCONTRADO</v>
      </c>
      <c r="I355" s="15"/>
      <c r="J355" s="36"/>
      <c r="K355" s="42"/>
      <c r="L355" s="15"/>
      <c r="M355" s="39">
        <f t="shared" ca="1" si="0"/>
        <v>46026</v>
      </c>
      <c r="N355" s="40" t="str">
        <f t="shared" ca="1" si="1"/>
        <v>✅</v>
      </c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 spans="1:28" ht="13" x14ac:dyDescent="0.15">
      <c r="A356" s="24">
        <f>'Scan to Sheets'!A356</f>
        <v>0</v>
      </c>
      <c r="B356" s="26">
        <f>'Scan to Sheets'!B356</f>
        <v>0</v>
      </c>
      <c r="C356" s="26">
        <f>'Scan to Sheets'!C356</f>
        <v>0</v>
      </c>
      <c r="D356" s="26">
        <f>'Scan to Sheets'!D356</f>
        <v>0</v>
      </c>
      <c r="E356" s="27" t="str">
        <f>IFERROR(VLOOKUP(C356,#REF!, 2, FALSE), "NO ENCONTRADO")</f>
        <v>NO ENCONTRADO</v>
      </c>
      <c r="F356" s="27" t="str">
        <f>IFERROR(VLOOKUP(C356,#REF!, 3, FALSE), "NO ENCONTRADO")</f>
        <v>NO ENCONTRADO</v>
      </c>
      <c r="G356" s="27" t="str">
        <f>IFERROR(VLOOKUP(C356,#REF!, 4, FALSE), "NO ENCONTRADO")</f>
        <v>NO ENCONTRADO</v>
      </c>
      <c r="H356" s="27" t="str">
        <f>IFERROR(VLOOKUP(C356,#REF!, 5, FALSE), "NO ENCONTRADO")</f>
        <v>NO ENCONTRADO</v>
      </c>
      <c r="I356" s="14"/>
      <c r="J356" s="27"/>
      <c r="K356" s="41"/>
      <c r="L356" s="14"/>
      <c r="M356" s="30">
        <f t="shared" ca="1" si="0"/>
        <v>46026</v>
      </c>
      <c r="N356" s="31" t="str">
        <f t="shared" ca="1" si="1"/>
        <v>✅</v>
      </c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 spans="1:28" ht="13" x14ac:dyDescent="0.15">
      <c r="A357" s="33">
        <f>'Scan to Sheets'!A357</f>
        <v>0</v>
      </c>
      <c r="B357" s="35">
        <f>'Scan to Sheets'!B357</f>
        <v>0</v>
      </c>
      <c r="C357" s="35">
        <f>'Scan to Sheets'!C357</f>
        <v>0</v>
      </c>
      <c r="D357" s="35">
        <f>'Scan to Sheets'!D357</f>
        <v>0</v>
      </c>
      <c r="E357" s="36" t="str">
        <f>IFERROR(VLOOKUP(C357,#REF!, 2, FALSE), "NO ENCONTRADO")</f>
        <v>NO ENCONTRADO</v>
      </c>
      <c r="F357" s="36" t="str">
        <f>IFERROR(VLOOKUP(C357,#REF!, 3, FALSE), "NO ENCONTRADO")</f>
        <v>NO ENCONTRADO</v>
      </c>
      <c r="G357" s="36" t="str">
        <f>IFERROR(VLOOKUP(C357,#REF!, 4, FALSE), "NO ENCONTRADO")</f>
        <v>NO ENCONTRADO</v>
      </c>
      <c r="H357" s="36" t="str">
        <f>IFERROR(VLOOKUP(C357,#REF!, 5, FALSE), "NO ENCONTRADO")</f>
        <v>NO ENCONTRADO</v>
      </c>
      <c r="I357" s="15"/>
      <c r="J357" s="36"/>
      <c r="K357" s="42"/>
      <c r="L357" s="15"/>
      <c r="M357" s="39">
        <f t="shared" ca="1" si="0"/>
        <v>46026</v>
      </c>
      <c r="N357" s="40" t="str">
        <f t="shared" ca="1" si="1"/>
        <v>✅</v>
      </c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 spans="1:28" ht="13" x14ac:dyDescent="0.15">
      <c r="A358" s="24">
        <f>'Scan to Sheets'!A358</f>
        <v>0</v>
      </c>
      <c r="B358" s="26">
        <f>'Scan to Sheets'!B358</f>
        <v>0</v>
      </c>
      <c r="C358" s="26">
        <f>'Scan to Sheets'!C358</f>
        <v>0</v>
      </c>
      <c r="D358" s="26">
        <f>'Scan to Sheets'!D358</f>
        <v>0</v>
      </c>
      <c r="E358" s="27" t="str">
        <f>IFERROR(VLOOKUP(C358,#REF!, 2, FALSE), "NO ENCONTRADO")</f>
        <v>NO ENCONTRADO</v>
      </c>
      <c r="F358" s="27" t="str">
        <f>IFERROR(VLOOKUP(C358,#REF!, 3, FALSE), "NO ENCONTRADO")</f>
        <v>NO ENCONTRADO</v>
      </c>
      <c r="G358" s="27" t="str">
        <f>IFERROR(VLOOKUP(C358,#REF!, 4, FALSE), "NO ENCONTRADO")</f>
        <v>NO ENCONTRADO</v>
      </c>
      <c r="H358" s="27" t="str">
        <f>IFERROR(VLOOKUP(C358,#REF!, 5, FALSE), "NO ENCONTRADO")</f>
        <v>NO ENCONTRADO</v>
      </c>
      <c r="I358" s="14"/>
      <c r="J358" s="27"/>
      <c r="K358" s="41"/>
      <c r="L358" s="14"/>
      <c r="M358" s="30">
        <f t="shared" ca="1" si="0"/>
        <v>46026</v>
      </c>
      <c r="N358" s="31" t="str">
        <f t="shared" ca="1" si="1"/>
        <v>✅</v>
      </c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 spans="1:28" ht="13" x14ac:dyDescent="0.15">
      <c r="A359" s="33">
        <f>'Scan to Sheets'!A359</f>
        <v>0</v>
      </c>
      <c r="B359" s="35">
        <f>'Scan to Sheets'!B359</f>
        <v>0</v>
      </c>
      <c r="C359" s="35">
        <f>'Scan to Sheets'!C359</f>
        <v>0</v>
      </c>
      <c r="D359" s="35">
        <f>'Scan to Sheets'!D359</f>
        <v>0</v>
      </c>
      <c r="E359" s="36" t="str">
        <f>IFERROR(VLOOKUP(C359,#REF!, 2, FALSE), "NO ENCONTRADO")</f>
        <v>NO ENCONTRADO</v>
      </c>
      <c r="F359" s="36" t="str">
        <f>IFERROR(VLOOKUP(C359,#REF!, 3, FALSE), "NO ENCONTRADO")</f>
        <v>NO ENCONTRADO</v>
      </c>
      <c r="G359" s="36" t="str">
        <f>IFERROR(VLOOKUP(C359,#REF!, 4, FALSE), "NO ENCONTRADO")</f>
        <v>NO ENCONTRADO</v>
      </c>
      <c r="H359" s="36" t="str">
        <f>IFERROR(VLOOKUP(C359,#REF!, 5, FALSE), "NO ENCONTRADO")</f>
        <v>NO ENCONTRADO</v>
      </c>
      <c r="I359" s="15"/>
      <c r="J359" s="36"/>
      <c r="K359" s="42"/>
      <c r="L359" s="15"/>
      <c r="M359" s="39">
        <f t="shared" ca="1" si="0"/>
        <v>46026</v>
      </c>
      <c r="N359" s="40" t="str">
        <f t="shared" ca="1" si="1"/>
        <v>✅</v>
      </c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 spans="1:28" ht="13" x14ac:dyDescent="0.15">
      <c r="A360" s="24">
        <f>'Scan to Sheets'!A360</f>
        <v>0</v>
      </c>
      <c r="B360" s="26">
        <f>'Scan to Sheets'!B360</f>
        <v>0</v>
      </c>
      <c r="C360" s="26">
        <f>'Scan to Sheets'!C360</f>
        <v>0</v>
      </c>
      <c r="D360" s="26">
        <f>'Scan to Sheets'!D360</f>
        <v>0</v>
      </c>
      <c r="E360" s="27" t="str">
        <f>IFERROR(VLOOKUP(C360,#REF!, 2, FALSE), "NO ENCONTRADO")</f>
        <v>NO ENCONTRADO</v>
      </c>
      <c r="F360" s="27" t="str">
        <f>IFERROR(VLOOKUP(C360,#REF!, 3, FALSE), "NO ENCONTRADO")</f>
        <v>NO ENCONTRADO</v>
      </c>
      <c r="G360" s="27" t="str">
        <f>IFERROR(VLOOKUP(C360,#REF!, 4, FALSE), "NO ENCONTRADO")</f>
        <v>NO ENCONTRADO</v>
      </c>
      <c r="H360" s="27" t="str">
        <f>IFERROR(VLOOKUP(C360,#REF!, 5, FALSE), "NO ENCONTRADO")</f>
        <v>NO ENCONTRADO</v>
      </c>
      <c r="I360" s="14"/>
      <c r="J360" s="27"/>
      <c r="K360" s="41"/>
      <c r="L360" s="14"/>
      <c r="M360" s="30">
        <f t="shared" ca="1" si="0"/>
        <v>46026</v>
      </c>
      <c r="N360" s="31" t="str">
        <f t="shared" ca="1" si="1"/>
        <v>✅</v>
      </c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 spans="1:28" ht="13" x14ac:dyDescent="0.15">
      <c r="A361" s="33">
        <f>'Scan to Sheets'!A361</f>
        <v>0</v>
      </c>
      <c r="B361" s="35">
        <f>'Scan to Sheets'!B361</f>
        <v>0</v>
      </c>
      <c r="C361" s="35">
        <f>'Scan to Sheets'!C361</f>
        <v>0</v>
      </c>
      <c r="D361" s="35">
        <f>'Scan to Sheets'!D361</f>
        <v>0</v>
      </c>
      <c r="E361" s="36" t="str">
        <f>IFERROR(VLOOKUP(C361,#REF!, 2, FALSE), "NO ENCONTRADO")</f>
        <v>NO ENCONTRADO</v>
      </c>
      <c r="F361" s="36" t="str">
        <f>IFERROR(VLOOKUP(C361,#REF!, 3, FALSE), "NO ENCONTRADO")</f>
        <v>NO ENCONTRADO</v>
      </c>
      <c r="G361" s="36" t="str">
        <f>IFERROR(VLOOKUP(C361,#REF!, 4, FALSE), "NO ENCONTRADO")</f>
        <v>NO ENCONTRADO</v>
      </c>
      <c r="H361" s="36" t="str">
        <f>IFERROR(VLOOKUP(C361,#REF!, 5, FALSE), "NO ENCONTRADO")</f>
        <v>NO ENCONTRADO</v>
      </c>
      <c r="I361" s="15"/>
      <c r="J361" s="36"/>
      <c r="K361" s="42"/>
      <c r="L361" s="15"/>
      <c r="M361" s="39">
        <f t="shared" ca="1" si="0"/>
        <v>46026</v>
      </c>
      <c r="N361" s="40" t="str">
        <f t="shared" ca="1" si="1"/>
        <v>✅</v>
      </c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 spans="1:28" ht="13" x14ac:dyDescent="0.15">
      <c r="A362" s="24">
        <f>'Scan to Sheets'!A362</f>
        <v>0</v>
      </c>
      <c r="B362" s="26">
        <f>'Scan to Sheets'!B362</f>
        <v>0</v>
      </c>
      <c r="C362" s="26">
        <f>'Scan to Sheets'!C362</f>
        <v>0</v>
      </c>
      <c r="D362" s="26">
        <f>'Scan to Sheets'!D362</f>
        <v>0</v>
      </c>
      <c r="E362" s="27" t="str">
        <f>IFERROR(VLOOKUP(C362,#REF!, 2, FALSE), "NO ENCONTRADO")</f>
        <v>NO ENCONTRADO</v>
      </c>
      <c r="F362" s="27" t="str">
        <f>IFERROR(VLOOKUP(C362,#REF!, 3, FALSE), "NO ENCONTRADO")</f>
        <v>NO ENCONTRADO</v>
      </c>
      <c r="G362" s="27" t="str">
        <f>IFERROR(VLOOKUP(C362,#REF!, 4, FALSE), "NO ENCONTRADO")</f>
        <v>NO ENCONTRADO</v>
      </c>
      <c r="H362" s="27" t="str">
        <f>IFERROR(VLOOKUP(C362,#REF!, 5, FALSE), "NO ENCONTRADO")</f>
        <v>NO ENCONTRADO</v>
      </c>
      <c r="I362" s="14"/>
      <c r="J362" s="27"/>
      <c r="K362" s="41"/>
      <c r="L362" s="14"/>
      <c r="M362" s="30">
        <f t="shared" ca="1" si="0"/>
        <v>46026</v>
      </c>
      <c r="N362" s="31" t="str">
        <f t="shared" ca="1" si="1"/>
        <v>✅</v>
      </c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 spans="1:28" ht="13" x14ac:dyDescent="0.15">
      <c r="A363" s="33">
        <f>'Scan to Sheets'!A363</f>
        <v>0</v>
      </c>
      <c r="B363" s="35">
        <f>'Scan to Sheets'!B363</f>
        <v>0</v>
      </c>
      <c r="C363" s="35">
        <f>'Scan to Sheets'!C363</f>
        <v>0</v>
      </c>
      <c r="D363" s="35">
        <f>'Scan to Sheets'!D363</f>
        <v>0</v>
      </c>
      <c r="E363" s="36" t="str">
        <f>IFERROR(VLOOKUP(C363,#REF!, 2, FALSE), "NO ENCONTRADO")</f>
        <v>NO ENCONTRADO</v>
      </c>
      <c r="F363" s="36" t="str">
        <f>IFERROR(VLOOKUP(C363,#REF!, 3, FALSE), "NO ENCONTRADO")</f>
        <v>NO ENCONTRADO</v>
      </c>
      <c r="G363" s="36" t="str">
        <f>IFERROR(VLOOKUP(C363,#REF!, 4, FALSE), "NO ENCONTRADO")</f>
        <v>NO ENCONTRADO</v>
      </c>
      <c r="H363" s="36" t="str">
        <f>IFERROR(VLOOKUP(C363,#REF!, 5, FALSE), "NO ENCONTRADO")</f>
        <v>NO ENCONTRADO</v>
      </c>
      <c r="I363" s="15"/>
      <c r="J363" s="36"/>
      <c r="K363" s="42"/>
      <c r="L363" s="15"/>
      <c r="M363" s="39">
        <f t="shared" ca="1" si="0"/>
        <v>46026</v>
      </c>
      <c r="N363" s="40" t="str">
        <f t="shared" ca="1" si="1"/>
        <v>✅</v>
      </c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spans="1:28" ht="13" x14ac:dyDescent="0.15">
      <c r="A364" s="24">
        <f>'Scan to Sheets'!A364</f>
        <v>0</v>
      </c>
      <c r="B364" s="26">
        <f>'Scan to Sheets'!B364</f>
        <v>0</v>
      </c>
      <c r="C364" s="26">
        <f>'Scan to Sheets'!C364</f>
        <v>0</v>
      </c>
      <c r="D364" s="26">
        <f>'Scan to Sheets'!D364</f>
        <v>0</v>
      </c>
      <c r="E364" s="27" t="str">
        <f>IFERROR(VLOOKUP(C364,#REF!, 2, FALSE), "NO ENCONTRADO")</f>
        <v>NO ENCONTRADO</v>
      </c>
      <c r="F364" s="27" t="str">
        <f>IFERROR(VLOOKUP(C364,#REF!, 3, FALSE), "NO ENCONTRADO")</f>
        <v>NO ENCONTRADO</v>
      </c>
      <c r="G364" s="27" t="str">
        <f>IFERROR(VLOOKUP(C364,#REF!, 4, FALSE), "NO ENCONTRADO")</f>
        <v>NO ENCONTRADO</v>
      </c>
      <c r="H364" s="27" t="str">
        <f>IFERROR(VLOOKUP(C364,#REF!, 5, FALSE), "NO ENCONTRADO")</f>
        <v>NO ENCONTRADO</v>
      </c>
      <c r="I364" s="14"/>
      <c r="J364" s="27"/>
      <c r="K364" s="41"/>
      <c r="L364" s="14"/>
      <c r="M364" s="30">
        <f t="shared" ca="1" si="0"/>
        <v>46026</v>
      </c>
      <c r="N364" s="31" t="str">
        <f t="shared" ca="1" si="1"/>
        <v>✅</v>
      </c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spans="1:28" ht="13" x14ac:dyDescent="0.15">
      <c r="A365" s="33">
        <f>'Scan to Sheets'!A365</f>
        <v>0</v>
      </c>
      <c r="B365" s="35">
        <f>'Scan to Sheets'!B365</f>
        <v>0</v>
      </c>
      <c r="C365" s="35">
        <f>'Scan to Sheets'!C365</f>
        <v>0</v>
      </c>
      <c r="D365" s="35">
        <f>'Scan to Sheets'!D365</f>
        <v>0</v>
      </c>
      <c r="E365" s="36" t="str">
        <f>IFERROR(VLOOKUP(C365,#REF!, 2, FALSE), "NO ENCONTRADO")</f>
        <v>NO ENCONTRADO</v>
      </c>
      <c r="F365" s="36" t="str">
        <f>IFERROR(VLOOKUP(C365,#REF!, 3, FALSE), "NO ENCONTRADO")</f>
        <v>NO ENCONTRADO</v>
      </c>
      <c r="G365" s="36" t="str">
        <f>IFERROR(VLOOKUP(C365,#REF!, 4, FALSE), "NO ENCONTRADO")</f>
        <v>NO ENCONTRADO</v>
      </c>
      <c r="H365" s="36" t="str">
        <f>IFERROR(VLOOKUP(C365,#REF!, 5, FALSE), "NO ENCONTRADO")</f>
        <v>NO ENCONTRADO</v>
      </c>
      <c r="I365" s="15"/>
      <c r="J365" s="36"/>
      <c r="K365" s="42"/>
      <c r="L365" s="15"/>
      <c r="M365" s="39">
        <f t="shared" ca="1" si="0"/>
        <v>46026</v>
      </c>
      <c r="N365" s="40" t="str">
        <f t="shared" ca="1" si="1"/>
        <v>✅</v>
      </c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spans="1:28" ht="13" x14ac:dyDescent="0.15">
      <c r="A366" s="24">
        <f>'Scan to Sheets'!A366</f>
        <v>0</v>
      </c>
      <c r="B366" s="26">
        <f>'Scan to Sheets'!B366</f>
        <v>0</v>
      </c>
      <c r="C366" s="26">
        <f>'Scan to Sheets'!C366</f>
        <v>0</v>
      </c>
      <c r="D366" s="26">
        <f>'Scan to Sheets'!D366</f>
        <v>0</v>
      </c>
      <c r="E366" s="27" t="str">
        <f>IFERROR(VLOOKUP(C366,#REF!, 2, FALSE), "NO ENCONTRADO")</f>
        <v>NO ENCONTRADO</v>
      </c>
      <c r="F366" s="27" t="str">
        <f>IFERROR(VLOOKUP(C366,#REF!, 3, FALSE), "NO ENCONTRADO")</f>
        <v>NO ENCONTRADO</v>
      </c>
      <c r="G366" s="27" t="str">
        <f>IFERROR(VLOOKUP(C366,#REF!, 4, FALSE), "NO ENCONTRADO")</f>
        <v>NO ENCONTRADO</v>
      </c>
      <c r="H366" s="27" t="str">
        <f>IFERROR(VLOOKUP(C366,#REF!, 5, FALSE), "NO ENCONTRADO")</f>
        <v>NO ENCONTRADO</v>
      </c>
      <c r="I366" s="14"/>
      <c r="J366" s="27"/>
      <c r="K366" s="41"/>
      <c r="L366" s="14"/>
      <c r="M366" s="30">
        <f t="shared" ca="1" si="0"/>
        <v>46026</v>
      </c>
      <c r="N366" s="31" t="str">
        <f t="shared" ca="1" si="1"/>
        <v>✅</v>
      </c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spans="1:28" ht="13" x14ac:dyDescent="0.15">
      <c r="A367" s="33">
        <f>'Scan to Sheets'!A367</f>
        <v>0</v>
      </c>
      <c r="B367" s="35">
        <f>'Scan to Sheets'!B367</f>
        <v>0</v>
      </c>
      <c r="C367" s="35">
        <f>'Scan to Sheets'!C367</f>
        <v>0</v>
      </c>
      <c r="D367" s="35">
        <f>'Scan to Sheets'!D367</f>
        <v>0</v>
      </c>
      <c r="E367" s="36" t="str">
        <f>IFERROR(VLOOKUP(C367,#REF!, 2, FALSE), "NO ENCONTRADO")</f>
        <v>NO ENCONTRADO</v>
      </c>
      <c r="F367" s="36" t="str">
        <f>IFERROR(VLOOKUP(C367,#REF!, 3, FALSE), "NO ENCONTRADO")</f>
        <v>NO ENCONTRADO</v>
      </c>
      <c r="G367" s="36" t="str">
        <f>IFERROR(VLOOKUP(C367,#REF!, 4, FALSE), "NO ENCONTRADO")</f>
        <v>NO ENCONTRADO</v>
      </c>
      <c r="H367" s="36" t="str">
        <f>IFERROR(VLOOKUP(C367,#REF!, 5, FALSE), "NO ENCONTRADO")</f>
        <v>NO ENCONTRADO</v>
      </c>
      <c r="I367" s="15"/>
      <c r="J367" s="36"/>
      <c r="K367" s="42"/>
      <c r="L367" s="15"/>
      <c r="M367" s="39">
        <f t="shared" ca="1" si="0"/>
        <v>46026</v>
      </c>
      <c r="N367" s="40" t="str">
        <f t="shared" ca="1" si="1"/>
        <v>✅</v>
      </c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spans="1:28" ht="13" x14ac:dyDescent="0.15">
      <c r="A368" s="24">
        <f>'Scan to Sheets'!A368</f>
        <v>0</v>
      </c>
      <c r="B368" s="26">
        <f>'Scan to Sheets'!B368</f>
        <v>0</v>
      </c>
      <c r="C368" s="26">
        <f>'Scan to Sheets'!C368</f>
        <v>0</v>
      </c>
      <c r="D368" s="26">
        <f>'Scan to Sheets'!D368</f>
        <v>0</v>
      </c>
      <c r="E368" s="27" t="str">
        <f>IFERROR(VLOOKUP(C368,#REF!, 2, FALSE), "NO ENCONTRADO")</f>
        <v>NO ENCONTRADO</v>
      </c>
      <c r="F368" s="27" t="str">
        <f>IFERROR(VLOOKUP(C368,#REF!, 3, FALSE), "NO ENCONTRADO")</f>
        <v>NO ENCONTRADO</v>
      </c>
      <c r="G368" s="27" t="str">
        <f>IFERROR(VLOOKUP(C368,#REF!, 4, FALSE), "NO ENCONTRADO")</f>
        <v>NO ENCONTRADO</v>
      </c>
      <c r="H368" s="27" t="str">
        <f>IFERROR(VLOOKUP(C368,#REF!, 5, FALSE), "NO ENCONTRADO")</f>
        <v>NO ENCONTRADO</v>
      </c>
      <c r="I368" s="14"/>
      <c r="J368" s="27"/>
      <c r="K368" s="41"/>
      <c r="L368" s="14"/>
      <c r="M368" s="30">
        <f t="shared" ca="1" si="0"/>
        <v>46026</v>
      </c>
      <c r="N368" s="31" t="str">
        <f t="shared" ca="1" si="1"/>
        <v>✅</v>
      </c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spans="1:28" ht="13" x14ac:dyDescent="0.15">
      <c r="A369" s="33">
        <f>'Scan to Sheets'!A369</f>
        <v>0</v>
      </c>
      <c r="B369" s="35">
        <f>'Scan to Sheets'!B369</f>
        <v>0</v>
      </c>
      <c r="C369" s="35">
        <f>'Scan to Sheets'!C369</f>
        <v>0</v>
      </c>
      <c r="D369" s="35">
        <f>'Scan to Sheets'!D369</f>
        <v>0</v>
      </c>
      <c r="E369" s="36" t="str">
        <f>IFERROR(VLOOKUP(C369,#REF!, 2, FALSE), "NO ENCONTRADO")</f>
        <v>NO ENCONTRADO</v>
      </c>
      <c r="F369" s="36" t="str">
        <f>IFERROR(VLOOKUP(C369,#REF!, 3, FALSE), "NO ENCONTRADO")</f>
        <v>NO ENCONTRADO</v>
      </c>
      <c r="G369" s="36" t="str">
        <f>IFERROR(VLOOKUP(C369,#REF!, 4, FALSE), "NO ENCONTRADO")</f>
        <v>NO ENCONTRADO</v>
      </c>
      <c r="H369" s="36" t="str">
        <f>IFERROR(VLOOKUP(C369,#REF!, 5, FALSE), "NO ENCONTRADO")</f>
        <v>NO ENCONTRADO</v>
      </c>
      <c r="I369" s="15"/>
      <c r="J369" s="36"/>
      <c r="K369" s="42"/>
      <c r="L369" s="15"/>
      <c r="M369" s="39">
        <f t="shared" ca="1" si="0"/>
        <v>46026</v>
      </c>
      <c r="N369" s="40" t="str">
        <f t="shared" ca="1" si="1"/>
        <v>✅</v>
      </c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spans="1:28" ht="13" x14ac:dyDescent="0.15">
      <c r="A370" s="24">
        <f>'Scan to Sheets'!A370</f>
        <v>0</v>
      </c>
      <c r="B370" s="26">
        <f>'Scan to Sheets'!B370</f>
        <v>0</v>
      </c>
      <c r="C370" s="26">
        <f>'Scan to Sheets'!C370</f>
        <v>0</v>
      </c>
      <c r="D370" s="26">
        <f>'Scan to Sheets'!D370</f>
        <v>0</v>
      </c>
      <c r="E370" s="27" t="str">
        <f>IFERROR(VLOOKUP(C370,#REF!, 2, FALSE), "NO ENCONTRADO")</f>
        <v>NO ENCONTRADO</v>
      </c>
      <c r="F370" s="27" t="str">
        <f>IFERROR(VLOOKUP(C370,#REF!, 3, FALSE), "NO ENCONTRADO")</f>
        <v>NO ENCONTRADO</v>
      </c>
      <c r="G370" s="27" t="str">
        <f>IFERROR(VLOOKUP(C370,#REF!, 4, FALSE), "NO ENCONTRADO")</f>
        <v>NO ENCONTRADO</v>
      </c>
      <c r="H370" s="27" t="str">
        <f>IFERROR(VLOOKUP(C370,#REF!, 5, FALSE), "NO ENCONTRADO")</f>
        <v>NO ENCONTRADO</v>
      </c>
      <c r="I370" s="14"/>
      <c r="J370" s="27"/>
      <c r="K370" s="41"/>
      <c r="L370" s="14"/>
      <c r="M370" s="30">
        <f t="shared" ca="1" si="0"/>
        <v>46026</v>
      </c>
      <c r="N370" s="31" t="str">
        <f t="shared" ca="1" si="1"/>
        <v>✅</v>
      </c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spans="1:28" ht="13" x14ac:dyDescent="0.15">
      <c r="A371" s="33">
        <f>'Scan to Sheets'!A371</f>
        <v>0</v>
      </c>
      <c r="B371" s="35">
        <f>'Scan to Sheets'!B371</f>
        <v>0</v>
      </c>
      <c r="C371" s="35">
        <f>'Scan to Sheets'!C371</f>
        <v>0</v>
      </c>
      <c r="D371" s="35">
        <f>'Scan to Sheets'!D371</f>
        <v>0</v>
      </c>
      <c r="E371" s="36" t="str">
        <f>IFERROR(VLOOKUP(C371,#REF!, 2, FALSE), "NO ENCONTRADO")</f>
        <v>NO ENCONTRADO</v>
      </c>
      <c r="F371" s="36" t="str">
        <f>IFERROR(VLOOKUP(C371,#REF!, 3, FALSE), "NO ENCONTRADO")</f>
        <v>NO ENCONTRADO</v>
      </c>
      <c r="G371" s="36" t="str">
        <f>IFERROR(VLOOKUP(C371,#REF!, 4, FALSE), "NO ENCONTRADO")</f>
        <v>NO ENCONTRADO</v>
      </c>
      <c r="H371" s="36" t="str">
        <f>IFERROR(VLOOKUP(C371,#REF!, 5, FALSE), "NO ENCONTRADO")</f>
        <v>NO ENCONTRADO</v>
      </c>
      <c r="I371" s="15"/>
      <c r="J371" s="36"/>
      <c r="K371" s="42"/>
      <c r="L371" s="15"/>
      <c r="M371" s="39">
        <f t="shared" ca="1" si="0"/>
        <v>46026</v>
      </c>
      <c r="N371" s="40" t="str">
        <f t="shared" ca="1" si="1"/>
        <v>✅</v>
      </c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spans="1:28" ht="13" x14ac:dyDescent="0.15">
      <c r="A372" s="24">
        <f>'Scan to Sheets'!A372</f>
        <v>0</v>
      </c>
      <c r="B372" s="26">
        <f>'Scan to Sheets'!B372</f>
        <v>0</v>
      </c>
      <c r="C372" s="26">
        <f>'Scan to Sheets'!C372</f>
        <v>0</v>
      </c>
      <c r="D372" s="26">
        <f>'Scan to Sheets'!D372</f>
        <v>0</v>
      </c>
      <c r="E372" s="27" t="str">
        <f>IFERROR(VLOOKUP(C372,#REF!, 2, FALSE), "NO ENCONTRADO")</f>
        <v>NO ENCONTRADO</v>
      </c>
      <c r="F372" s="27" t="str">
        <f>IFERROR(VLOOKUP(C372,#REF!, 3, FALSE), "NO ENCONTRADO")</f>
        <v>NO ENCONTRADO</v>
      </c>
      <c r="G372" s="27" t="str">
        <f>IFERROR(VLOOKUP(C372,#REF!, 4, FALSE), "NO ENCONTRADO")</f>
        <v>NO ENCONTRADO</v>
      </c>
      <c r="H372" s="27" t="str">
        <f>IFERROR(VLOOKUP(C372,#REF!, 5, FALSE), "NO ENCONTRADO")</f>
        <v>NO ENCONTRADO</v>
      </c>
      <c r="I372" s="14"/>
      <c r="J372" s="27"/>
      <c r="K372" s="41"/>
      <c r="L372" s="14"/>
      <c r="M372" s="30">
        <f t="shared" ca="1" si="0"/>
        <v>46026</v>
      </c>
      <c r="N372" s="31" t="str">
        <f t="shared" ca="1" si="1"/>
        <v>✅</v>
      </c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spans="1:28" ht="13" x14ac:dyDescent="0.15">
      <c r="A373" s="33">
        <f>'Scan to Sheets'!A373</f>
        <v>0</v>
      </c>
      <c r="B373" s="35">
        <f>'Scan to Sheets'!B373</f>
        <v>0</v>
      </c>
      <c r="C373" s="35">
        <f>'Scan to Sheets'!C373</f>
        <v>0</v>
      </c>
      <c r="D373" s="35">
        <f>'Scan to Sheets'!D373</f>
        <v>0</v>
      </c>
      <c r="E373" s="36" t="str">
        <f>IFERROR(VLOOKUP(C373,#REF!, 2, FALSE), "NO ENCONTRADO")</f>
        <v>NO ENCONTRADO</v>
      </c>
      <c r="F373" s="36" t="str">
        <f>IFERROR(VLOOKUP(C373,#REF!, 3, FALSE), "NO ENCONTRADO")</f>
        <v>NO ENCONTRADO</v>
      </c>
      <c r="G373" s="36" t="str">
        <f>IFERROR(VLOOKUP(C373,#REF!, 4, FALSE), "NO ENCONTRADO")</f>
        <v>NO ENCONTRADO</v>
      </c>
      <c r="H373" s="36" t="str">
        <f>IFERROR(VLOOKUP(C373,#REF!, 5, FALSE), "NO ENCONTRADO")</f>
        <v>NO ENCONTRADO</v>
      </c>
      <c r="I373" s="15"/>
      <c r="J373" s="36"/>
      <c r="K373" s="42"/>
      <c r="L373" s="15"/>
      <c r="M373" s="39">
        <f t="shared" ca="1" si="0"/>
        <v>46026</v>
      </c>
      <c r="N373" s="40" t="str">
        <f t="shared" ca="1" si="1"/>
        <v>✅</v>
      </c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spans="1:28" ht="13" x14ac:dyDescent="0.15">
      <c r="A374" s="24">
        <f>'Scan to Sheets'!A374</f>
        <v>0</v>
      </c>
      <c r="B374" s="26">
        <f>'Scan to Sheets'!B374</f>
        <v>0</v>
      </c>
      <c r="C374" s="26">
        <f>'Scan to Sheets'!C374</f>
        <v>0</v>
      </c>
      <c r="D374" s="26">
        <f>'Scan to Sheets'!D374</f>
        <v>0</v>
      </c>
      <c r="E374" s="27" t="str">
        <f>IFERROR(VLOOKUP(C374,#REF!, 2, FALSE), "NO ENCONTRADO")</f>
        <v>NO ENCONTRADO</v>
      </c>
      <c r="F374" s="27" t="str">
        <f>IFERROR(VLOOKUP(C374,#REF!, 3, FALSE), "NO ENCONTRADO")</f>
        <v>NO ENCONTRADO</v>
      </c>
      <c r="G374" s="27" t="str">
        <f>IFERROR(VLOOKUP(C374,#REF!, 4, FALSE), "NO ENCONTRADO")</f>
        <v>NO ENCONTRADO</v>
      </c>
      <c r="H374" s="27" t="str">
        <f>IFERROR(VLOOKUP(C374,#REF!, 5, FALSE), "NO ENCONTRADO")</f>
        <v>NO ENCONTRADO</v>
      </c>
      <c r="I374" s="14"/>
      <c r="J374" s="27"/>
      <c r="K374" s="41"/>
      <c r="L374" s="14"/>
      <c r="M374" s="30">
        <f t="shared" ca="1" si="0"/>
        <v>46026</v>
      </c>
      <c r="N374" s="31" t="str">
        <f t="shared" ca="1" si="1"/>
        <v>✅</v>
      </c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spans="1:28" ht="13" x14ac:dyDescent="0.15">
      <c r="A375" s="33">
        <f>'Scan to Sheets'!A375</f>
        <v>0</v>
      </c>
      <c r="B375" s="35">
        <f>'Scan to Sheets'!B375</f>
        <v>0</v>
      </c>
      <c r="C375" s="35">
        <f>'Scan to Sheets'!C375</f>
        <v>0</v>
      </c>
      <c r="D375" s="35">
        <f>'Scan to Sheets'!D375</f>
        <v>0</v>
      </c>
      <c r="E375" s="36" t="str">
        <f>IFERROR(VLOOKUP(C375,#REF!, 2, FALSE), "NO ENCONTRADO")</f>
        <v>NO ENCONTRADO</v>
      </c>
      <c r="F375" s="36" t="str">
        <f>IFERROR(VLOOKUP(C375,#REF!, 3, FALSE), "NO ENCONTRADO")</f>
        <v>NO ENCONTRADO</v>
      </c>
      <c r="G375" s="36" t="str">
        <f>IFERROR(VLOOKUP(C375,#REF!, 4, FALSE), "NO ENCONTRADO")</f>
        <v>NO ENCONTRADO</v>
      </c>
      <c r="H375" s="36" t="str">
        <f>IFERROR(VLOOKUP(C375,#REF!, 5, FALSE), "NO ENCONTRADO")</f>
        <v>NO ENCONTRADO</v>
      </c>
      <c r="I375" s="15"/>
      <c r="J375" s="36"/>
      <c r="K375" s="42"/>
      <c r="L375" s="15"/>
      <c r="M375" s="39">
        <f t="shared" ca="1" si="0"/>
        <v>46026</v>
      </c>
      <c r="N375" s="40" t="str">
        <f t="shared" ca="1" si="1"/>
        <v>✅</v>
      </c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spans="1:28" ht="13" x14ac:dyDescent="0.15">
      <c r="A376" s="24">
        <f>'Scan to Sheets'!A376</f>
        <v>0</v>
      </c>
      <c r="B376" s="26">
        <f>'Scan to Sheets'!B376</f>
        <v>0</v>
      </c>
      <c r="C376" s="26">
        <f>'Scan to Sheets'!C376</f>
        <v>0</v>
      </c>
      <c r="D376" s="26">
        <f>'Scan to Sheets'!D376</f>
        <v>0</v>
      </c>
      <c r="E376" s="27" t="str">
        <f>IFERROR(VLOOKUP(C376,#REF!, 2, FALSE), "NO ENCONTRADO")</f>
        <v>NO ENCONTRADO</v>
      </c>
      <c r="F376" s="27" t="str">
        <f>IFERROR(VLOOKUP(C376,#REF!, 3, FALSE), "NO ENCONTRADO")</f>
        <v>NO ENCONTRADO</v>
      </c>
      <c r="G376" s="27" t="str">
        <f>IFERROR(VLOOKUP(C376,#REF!, 4, FALSE), "NO ENCONTRADO")</f>
        <v>NO ENCONTRADO</v>
      </c>
      <c r="H376" s="27" t="str">
        <f>IFERROR(VLOOKUP(C376,#REF!, 5, FALSE), "NO ENCONTRADO")</f>
        <v>NO ENCONTRADO</v>
      </c>
      <c r="I376" s="14"/>
      <c r="J376" s="27"/>
      <c r="K376" s="41"/>
      <c r="L376" s="14"/>
      <c r="M376" s="30">
        <f t="shared" ca="1" si="0"/>
        <v>46026</v>
      </c>
      <c r="N376" s="31" t="str">
        <f t="shared" ca="1" si="1"/>
        <v>✅</v>
      </c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 spans="1:28" ht="13" x14ac:dyDescent="0.15">
      <c r="A377" s="33">
        <f>'Scan to Sheets'!A377</f>
        <v>0</v>
      </c>
      <c r="B377" s="35">
        <f>'Scan to Sheets'!B377</f>
        <v>0</v>
      </c>
      <c r="C377" s="35">
        <f>'Scan to Sheets'!C377</f>
        <v>0</v>
      </c>
      <c r="D377" s="35">
        <f>'Scan to Sheets'!D377</f>
        <v>0</v>
      </c>
      <c r="E377" s="36" t="str">
        <f>IFERROR(VLOOKUP(C377,#REF!, 2, FALSE), "NO ENCONTRADO")</f>
        <v>NO ENCONTRADO</v>
      </c>
      <c r="F377" s="36" t="str">
        <f>IFERROR(VLOOKUP(C377,#REF!, 3, FALSE), "NO ENCONTRADO")</f>
        <v>NO ENCONTRADO</v>
      </c>
      <c r="G377" s="36" t="str">
        <f>IFERROR(VLOOKUP(C377,#REF!, 4, FALSE), "NO ENCONTRADO")</f>
        <v>NO ENCONTRADO</v>
      </c>
      <c r="H377" s="36" t="str">
        <f>IFERROR(VLOOKUP(C377,#REF!, 5, FALSE), "NO ENCONTRADO")</f>
        <v>NO ENCONTRADO</v>
      </c>
      <c r="I377" s="15"/>
      <c r="J377" s="36"/>
      <c r="K377" s="42"/>
      <c r="L377" s="15"/>
      <c r="M377" s="39">
        <f t="shared" ca="1" si="0"/>
        <v>46026</v>
      </c>
      <c r="N377" s="40" t="str">
        <f t="shared" ca="1" si="1"/>
        <v>✅</v>
      </c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 spans="1:28" ht="13" x14ac:dyDescent="0.15">
      <c r="A378" s="24">
        <f>'Scan to Sheets'!A378</f>
        <v>0</v>
      </c>
      <c r="B378" s="26">
        <f>'Scan to Sheets'!B378</f>
        <v>0</v>
      </c>
      <c r="C378" s="26">
        <f>'Scan to Sheets'!C378</f>
        <v>0</v>
      </c>
      <c r="D378" s="26">
        <f>'Scan to Sheets'!D378</f>
        <v>0</v>
      </c>
      <c r="E378" s="27" t="str">
        <f>IFERROR(VLOOKUP(C378,#REF!, 2, FALSE), "NO ENCONTRADO")</f>
        <v>NO ENCONTRADO</v>
      </c>
      <c r="F378" s="27" t="str">
        <f>IFERROR(VLOOKUP(C378,#REF!, 3, FALSE), "NO ENCONTRADO")</f>
        <v>NO ENCONTRADO</v>
      </c>
      <c r="G378" s="27" t="str">
        <f>IFERROR(VLOOKUP(C378,#REF!, 4, FALSE), "NO ENCONTRADO")</f>
        <v>NO ENCONTRADO</v>
      </c>
      <c r="H378" s="27" t="str">
        <f>IFERROR(VLOOKUP(C378,#REF!, 5, FALSE), "NO ENCONTRADO")</f>
        <v>NO ENCONTRADO</v>
      </c>
      <c r="I378" s="14"/>
      <c r="J378" s="27"/>
      <c r="K378" s="41"/>
      <c r="L378" s="14"/>
      <c r="M378" s="30">
        <f t="shared" ca="1" si="0"/>
        <v>46026</v>
      </c>
      <c r="N378" s="31" t="str">
        <f t="shared" ca="1" si="1"/>
        <v>✅</v>
      </c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 spans="1:28" ht="13" x14ac:dyDescent="0.15">
      <c r="A379" s="33">
        <f>'Scan to Sheets'!A379</f>
        <v>0</v>
      </c>
      <c r="B379" s="35">
        <f>'Scan to Sheets'!B379</f>
        <v>0</v>
      </c>
      <c r="C379" s="35">
        <f>'Scan to Sheets'!C379</f>
        <v>0</v>
      </c>
      <c r="D379" s="35">
        <f>'Scan to Sheets'!D379</f>
        <v>0</v>
      </c>
      <c r="E379" s="36" t="str">
        <f>IFERROR(VLOOKUP(C379,#REF!, 2, FALSE), "NO ENCONTRADO")</f>
        <v>NO ENCONTRADO</v>
      </c>
      <c r="F379" s="36" t="str">
        <f>IFERROR(VLOOKUP(C379,#REF!, 3, FALSE), "NO ENCONTRADO")</f>
        <v>NO ENCONTRADO</v>
      </c>
      <c r="G379" s="36" t="str">
        <f>IFERROR(VLOOKUP(C379,#REF!, 4, FALSE), "NO ENCONTRADO")</f>
        <v>NO ENCONTRADO</v>
      </c>
      <c r="H379" s="36" t="str">
        <f>IFERROR(VLOOKUP(C379,#REF!, 5, FALSE), "NO ENCONTRADO")</f>
        <v>NO ENCONTRADO</v>
      </c>
      <c r="I379" s="15"/>
      <c r="J379" s="36"/>
      <c r="K379" s="42"/>
      <c r="L379" s="15"/>
      <c r="M379" s="39">
        <f t="shared" ca="1" si="0"/>
        <v>46026</v>
      </c>
      <c r="N379" s="40" t="str">
        <f t="shared" ca="1" si="1"/>
        <v>✅</v>
      </c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 spans="1:28" ht="13" x14ac:dyDescent="0.15">
      <c r="A380" s="24">
        <f>'Scan to Sheets'!A380</f>
        <v>0</v>
      </c>
      <c r="B380" s="26">
        <f>'Scan to Sheets'!B380</f>
        <v>0</v>
      </c>
      <c r="C380" s="26">
        <f>'Scan to Sheets'!C380</f>
        <v>0</v>
      </c>
      <c r="D380" s="26">
        <f>'Scan to Sheets'!D380</f>
        <v>0</v>
      </c>
      <c r="E380" s="27" t="str">
        <f>IFERROR(VLOOKUP(C380,#REF!, 2, FALSE), "NO ENCONTRADO")</f>
        <v>NO ENCONTRADO</v>
      </c>
      <c r="F380" s="27" t="str">
        <f>IFERROR(VLOOKUP(C380,#REF!, 3, FALSE), "NO ENCONTRADO")</f>
        <v>NO ENCONTRADO</v>
      </c>
      <c r="G380" s="27" t="str">
        <f>IFERROR(VLOOKUP(C380,#REF!, 4, FALSE), "NO ENCONTRADO")</f>
        <v>NO ENCONTRADO</v>
      </c>
      <c r="H380" s="27" t="str">
        <f>IFERROR(VLOOKUP(C380,#REF!, 5, FALSE), "NO ENCONTRADO")</f>
        <v>NO ENCONTRADO</v>
      </c>
      <c r="I380" s="14"/>
      <c r="J380" s="27"/>
      <c r="K380" s="41"/>
      <c r="L380" s="14"/>
      <c r="M380" s="30">
        <f t="shared" ca="1" si="0"/>
        <v>46026</v>
      </c>
      <c r="N380" s="31" t="str">
        <f t="shared" ca="1" si="1"/>
        <v>✅</v>
      </c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 spans="1:28" ht="13" x14ac:dyDescent="0.15">
      <c r="A381" s="33">
        <f>'Scan to Sheets'!A381</f>
        <v>0</v>
      </c>
      <c r="B381" s="35">
        <f>'Scan to Sheets'!B381</f>
        <v>0</v>
      </c>
      <c r="C381" s="35">
        <f>'Scan to Sheets'!C381</f>
        <v>0</v>
      </c>
      <c r="D381" s="35">
        <f>'Scan to Sheets'!D381</f>
        <v>0</v>
      </c>
      <c r="E381" s="36" t="str">
        <f>IFERROR(VLOOKUP(C381,#REF!, 2, FALSE), "NO ENCONTRADO")</f>
        <v>NO ENCONTRADO</v>
      </c>
      <c r="F381" s="36" t="str">
        <f>IFERROR(VLOOKUP(C381,#REF!, 3, FALSE), "NO ENCONTRADO")</f>
        <v>NO ENCONTRADO</v>
      </c>
      <c r="G381" s="36" t="str">
        <f>IFERROR(VLOOKUP(C381,#REF!, 4, FALSE), "NO ENCONTRADO")</f>
        <v>NO ENCONTRADO</v>
      </c>
      <c r="H381" s="36" t="str">
        <f>IFERROR(VLOOKUP(C381,#REF!, 5, FALSE), "NO ENCONTRADO")</f>
        <v>NO ENCONTRADO</v>
      </c>
      <c r="I381" s="15"/>
      <c r="J381" s="36"/>
      <c r="K381" s="42"/>
      <c r="L381" s="15"/>
      <c r="M381" s="39">
        <f t="shared" ca="1" si="0"/>
        <v>46026</v>
      </c>
      <c r="N381" s="40" t="str">
        <f t="shared" ca="1" si="1"/>
        <v>✅</v>
      </c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 spans="1:28" ht="13" x14ac:dyDescent="0.15">
      <c r="A382" s="24">
        <f>'Scan to Sheets'!A382</f>
        <v>0</v>
      </c>
      <c r="B382" s="26">
        <f>'Scan to Sheets'!B382</f>
        <v>0</v>
      </c>
      <c r="C382" s="26">
        <f>'Scan to Sheets'!C382</f>
        <v>0</v>
      </c>
      <c r="D382" s="26">
        <f>'Scan to Sheets'!D382</f>
        <v>0</v>
      </c>
      <c r="E382" s="27" t="str">
        <f>IFERROR(VLOOKUP(C382,#REF!, 2, FALSE), "NO ENCONTRADO")</f>
        <v>NO ENCONTRADO</v>
      </c>
      <c r="F382" s="27" t="str">
        <f>IFERROR(VLOOKUP(C382,#REF!, 3, FALSE), "NO ENCONTRADO")</f>
        <v>NO ENCONTRADO</v>
      </c>
      <c r="G382" s="27" t="str">
        <f>IFERROR(VLOOKUP(C382,#REF!, 4, FALSE), "NO ENCONTRADO")</f>
        <v>NO ENCONTRADO</v>
      </c>
      <c r="H382" s="27" t="str">
        <f>IFERROR(VLOOKUP(C382,#REF!, 5, FALSE), "NO ENCONTRADO")</f>
        <v>NO ENCONTRADO</v>
      </c>
      <c r="I382" s="14"/>
      <c r="J382" s="27"/>
      <c r="K382" s="41"/>
      <c r="L382" s="14"/>
      <c r="M382" s="30">
        <f t="shared" ca="1" si="0"/>
        <v>46026</v>
      </c>
      <c r="N382" s="31" t="str">
        <f t="shared" ca="1" si="1"/>
        <v>✅</v>
      </c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 spans="1:28" ht="13" x14ac:dyDescent="0.15">
      <c r="A383" s="33">
        <f>'Scan to Sheets'!A383</f>
        <v>0</v>
      </c>
      <c r="B383" s="35">
        <f>'Scan to Sheets'!B383</f>
        <v>0</v>
      </c>
      <c r="C383" s="35">
        <f>'Scan to Sheets'!C383</f>
        <v>0</v>
      </c>
      <c r="D383" s="35">
        <f>'Scan to Sheets'!D383</f>
        <v>0</v>
      </c>
      <c r="E383" s="36" t="str">
        <f>IFERROR(VLOOKUP(C383,#REF!, 2, FALSE), "NO ENCONTRADO")</f>
        <v>NO ENCONTRADO</v>
      </c>
      <c r="F383" s="36" t="str">
        <f>IFERROR(VLOOKUP(C383,#REF!, 3, FALSE), "NO ENCONTRADO")</f>
        <v>NO ENCONTRADO</v>
      </c>
      <c r="G383" s="36" t="str">
        <f>IFERROR(VLOOKUP(C383,#REF!, 4, FALSE), "NO ENCONTRADO")</f>
        <v>NO ENCONTRADO</v>
      </c>
      <c r="H383" s="36" t="str">
        <f>IFERROR(VLOOKUP(C383,#REF!, 5, FALSE), "NO ENCONTRADO")</f>
        <v>NO ENCONTRADO</v>
      </c>
      <c r="I383" s="15"/>
      <c r="J383" s="36"/>
      <c r="K383" s="42"/>
      <c r="L383" s="15"/>
      <c r="M383" s="39">
        <f t="shared" ca="1" si="0"/>
        <v>46026</v>
      </c>
      <c r="N383" s="40" t="str">
        <f t="shared" ca="1" si="1"/>
        <v>✅</v>
      </c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 spans="1:28" ht="13" x14ac:dyDescent="0.15">
      <c r="A384" s="24">
        <f>'Scan to Sheets'!A384</f>
        <v>0</v>
      </c>
      <c r="B384" s="26">
        <f>'Scan to Sheets'!B384</f>
        <v>0</v>
      </c>
      <c r="C384" s="26">
        <f>'Scan to Sheets'!C384</f>
        <v>0</v>
      </c>
      <c r="D384" s="26">
        <f>'Scan to Sheets'!D384</f>
        <v>0</v>
      </c>
      <c r="E384" s="27" t="str">
        <f>IFERROR(VLOOKUP(C384,#REF!, 2, FALSE), "NO ENCONTRADO")</f>
        <v>NO ENCONTRADO</v>
      </c>
      <c r="F384" s="27" t="str">
        <f>IFERROR(VLOOKUP(C384,#REF!, 3, FALSE), "NO ENCONTRADO")</f>
        <v>NO ENCONTRADO</v>
      </c>
      <c r="G384" s="27" t="str">
        <f>IFERROR(VLOOKUP(C384,#REF!, 4, FALSE), "NO ENCONTRADO")</f>
        <v>NO ENCONTRADO</v>
      </c>
      <c r="H384" s="27" t="str">
        <f>IFERROR(VLOOKUP(C384,#REF!, 5, FALSE), "NO ENCONTRADO")</f>
        <v>NO ENCONTRADO</v>
      </c>
      <c r="I384" s="14"/>
      <c r="J384" s="27"/>
      <c r="K384" s="41"/>
      <c r="L384" s="14"/>
      <c r="M384" s="30">
        <f t="shared" ca="1" si="0"/>
        <v>46026</v>
      </c>
      <c r="N384" s="31" t="str">
        <f t="shared" ca="1" si="1"/>
        <v>✅</v>
      </c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 spans="1:28" ht="13" x14ac:dyDescent="0.15">
      <c r="A385" s="33">
        <f>'Scan to Sheets'!A385</f>
        <v>0</v>
      </c>
      <c r="B385" s="35">
        <f>'Scan to Sheets'!B385</f>
        <v>0</v>
      </c>
      <c r="C385" s="35">
        <f>'Scan to Sheets'!C385</f>
        <v>0</v>
      </c>
      <c r="D385" s="35">
        <f>'Scan to Sheets'!D385</f>
        <v>0</v>
      </c>
      <c r="E385" s="36" t="str">
        <f>IFERROR(VLOOKUP(C385,#REF!, 2, FALSE), "NO ENCONTRADO")</f>
        <v>NO ENCONTRADO</v>
      </c>
      <c r="F385" s="36" t="str">
        <f>IFERROR(VLOOKUP(C385,#REF!, 3, FALSE), "NO ENCONTRADO")</f>
        <v>NO ENCONTRADO</v>
      </c>
      <c r="G385" s="36" t="str">
        <f>IFERROR(VLOOKUP(C385,#REF!, 4, FALSE), "NO ENCONTRADO")</f>
        <v>NO ENCONTRADO</v>
      </c>
      <c r="H385" s="36" t="str">
        <f>IFERROR(VLOOKUP(C385,#REF!, 5, FALSE), "NO ENCONTRADO")</f>
        <v>NO ENCONTRADO</v>
      </c>
      <c r="I385" s="15"/>
      <c r="J385" s="36"/>
      <c r="K385" s="42"/>
      <c r="L385" s="15"/>
      <c r="M385" s="39">
        <f t="shared" ca="1" si="0"/>
        <v>46026</v>
      </c>
      <c r="N385" s="40" t="str">
        <f t="shared" ca="1" si="1"/>
        <v>✅</v>
      </c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 spans="1:28" ht="13" x14ac:dyDescent="0.15">
      <c r="A386" s="24">
        <f>'Scan to Sheets'!A386</f>
        <v>0</v>
      </c>
      <c r="B386" s="26">
        <f>'Scan to Sheets'!B386</f>
        <v>0</v>
      </c>
      <c r="C386" s="26">
        <f>'Scan to Sheets'!C386</f>
        <v>0</v>
      </c>
      <c r="D386" s="26">
        <f>'Scan to Sheets'!D386</f>
        <v>0</v>
      </c>
      <c r="E386" s="27" t="str">
        <f>IFERROR(VLOOKUP(C386,#REF!, 2, FALSE), "NO ENCONTRADO")</f>
        <v>NO ENCONTRADO</v>
      </c>
      <c r="F386" s="27" t="str">
        <f>IFERROR(VLOOKUP(C386,#REF!, 3, FALSE), "NO ENCONTRADO")</f>
        <v>NO ENCONTRADO</v>
      </c>
      <c r="G386" s="27" t="str">
        <f>IFERROR(VLOOKUP(C386,#REF!, 4, FALSE), "NO ENCONTRADO")</f>
        <v>NO ENCONTRADO</v>
      </c>
      <c r="H386" s="27" t="str">
        <f>IFERROR(VLOOKUP(C386,#REF!, 5, FALSE), "NO ENCONTRADO")</f>
        <v>NO ENCONTRADO</v>
      </c>
      <c r="I386" s="14"/>
      <c r="J386" s="27"/>
      <c r="K386" s="41"/>
      <c r="L386" s="14"/>
      <c r="M386" s="30">
        <f t="shared" ca="1" si="0"/>
        <v>46026</v>
      </c>
      <c r="N386" s="31" t="str">
        <f t="shared" ca="1" si="1"/>
        <v>✅</v>
      </c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 spans="1:28" ht="13" x14ac:dyDescent="0.15">
      <c r="A387" s="33">
        <f>'Scan to Sheets'!A387</f>
        <v>0</v>
      </c>
      <c r="B387" s="35">
        <f>'Scan to Sheets'!B387</f>
        <v>0</v>
      </c>
      <c r="C387" s="35">
        <f>'Scan to Sheets'!C387</f>
        <v>0</v>
      </c>
      <c r="D387" s="35">
        <f>'Scan to Sheets'!D387</f>
        <v>0</v>
      </c>
      <c r="E387" s="36" t="str">
        <f>IFERROR(VLOOKUP(C387,#REF!, 2, FALSE), "NO ENCONTRADO")</f>
        <v>NO ENCONTRADO</v>
      </c>
      <c r="F387" s="36" t="str">
        <f>IFERROR(VLOOKUP(C387,#REF!, 3, FALSE), "NO ENCONTRADO")</f>
        <v>NO ENCONTRADO</v>
      </c>
      <c r="G387" s="36" t="str">
        <f>IFERROR(VLOOKUP(C387,#REF!, 4, FALSE), "NO ENCONTRADO")</f>
        <v>NO ENCONTRADO</v>
      </c>
      <c r="H387" s="36" t="str">
        <f>IFERROR(VLOOKUP(C387,#REF!, 5, FALSE), "NO ENCONTRADO")</f>
        <v>NO ENCONTRADO</v>
      </c>
      <c r="I387" s="15"/>
      <c r="J387" s="36"/>
      <c r="K387" s="42"/>
      <c r="L387" s="15"/>
      <c r="M387" s="39">
        <f t="shared" ca="1" si="0"/>
        <v>46026</v>
      </c>
      <c r="N387" s="40" t="str">
        <f t="shared" ca="1" si="1"/>
        <v>✅</v>
      </c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spans="1:28" ht="13" x14ac:dyDescent="0.15">
      <c r="A388" s="24">
        <f>'Scan to Sheets'!A388</f>
        <v>0</v>
      </c>
      <c r="B388" s="26">
        <f>'Scan to Sheets'!B388</f>
        <v>0</v>
      </c>
      <c r="C388" s="26">
        <f>'Scan to Sheets'!C388</f>
        <v>0</v>
      </c>
      <c r="D388" s="26">
        <f>'Scan to Sheets'!D388</f>
        <v>0</v>
      </c>
      <c r="E388" s="27" t="str">
        <f>IFERROR(VLOOKUP(C388,#REF!, 2, FALSE), "NO ENCONTRADO")</f>
        <v>NO ENCONTRADO</v>
      </c>
      <c r="F388" s="27" t="str">
        <f>IFERROR(VLOOKUP(C388,#REF!, 3, FALSE), "NO ENCONTRADO")</f>
        <v>NO ENCONTRADO</v>
      </c>
      <c r="G388" s="27" t="str">
        <f>IFERROR(VLOOKUP(C388,#REF!, 4, FALSE), "NO ENCONTRADO")</f>
        <v>NO ENCONTRADO</v>
      </c>
      <c r="H388" s="27" t="str">
        <f>IFERROR(VLOOKUP(C388,#REF!, 5, FALSE), "NO ENCONTRADO")</f>
        <v>NO ENCONTRADO</v>
      </c>
      <c r="I388" s="14"/>
      <c r="J388" s="27"/>
      <c r="K388" s="41"/>
      <c r="L388" s="14"/>
      <c r="M388" s="30">
        <f t="shared" ca="1" si="0"/>
        <v>46026</v>
      </c>
      <c r="N388" s="31" t="str">
        <f t="shared" ca="1" si="1"/>
        <v>✅</v>
      </c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spans="1:28" ht="13" x14ac:dyDescent="0.15">
      <c r="A389" s="33">
        <f>'Scan to Sheets'!A389</f>
        <v>0</v>
      </c>
      <c r="B389" s="35">
        <f>'Scan to Sheets'!B389</f>
        <v>0</v>
      </c>
      <c r="C389" s="35">
        <f>'Scan to Sheets'!C389</f>
        <v>0</v>
      </c>
      <c r="D389" s="35">
        <f>'Scan to Sheets'!D389</f>
        <v>0</v>
      </c>
      <c r="E389" s="36" t="str">
        <f>IFERROR(VLOOKUP(C389,#REF!, 2, FALSE), "NO ENCONTRADO")</f>
        <v>NO ENCONTRADO</v>
      </c>
      <c r="F389" s="36" t="str">
        <f>IFERROR(VLOOKUP(C389,#REF!, 3, FALSE), "NO ENCONTRADO")</f>
        <v>NO ENCONTRADO</v>
      </c>
      <c r="G389" s="36" t="str">
        <f>IFERROR(VLOOKUP(C389,#REF!, 4, FALSE), "NO ENCONTRADO")</f>
        <v>NO ENCONTRADO</v>
      </c>
      <c r="H389" s="36" t="str">
        <f>IFERROR(VLOOKUP(C389,#REF!, 5, FALSE), "NO ENCONTRADO")</f>
        <v>NO ENCONTRADO</v>
      </c>
      <c r="I389" s="15"/>
      <c r="J389" s="36"/>
      <c r="K389" s="42"/>
      <c r="L389" s="15"/>
      <c r="M389" s="39">
        <f t="shared" ca="1" si="0"/>
        <v>46026</v>
      </c>
      <c r="N389" s="40" t="str">
        <f t="shared" ca="1" si="1"/>
        <v>✅</v>
      </c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spans="1:28" ht="13" x14ac:dyDescent="0.15">
      <c r="A390" s="24">
        <f>'Scan to Sheets'!A390</f>
        <v>0</v>
      </c>
      <c r="B390" s="26">
        <f>'Scan to Sheets'!B390</f>
        <v>0</v>
      </c>
      <c r="C390" s="26">
        <f>'Scan to Sheets'!C390</f>
        <v>0</v>
      </c>
      <c r="D390" s="26">
        <f>'Scan to Sheets'!D390</f>
        <v>0</v>
      </c>
      <c r="E390" s="27" t="str">
        <f>IFERROR(VLOOKUP(C390,#REF!, 2, FALSE), "NO ENCONTRADO")</f>
        <v>NO ENCONTRADO</v>
      </c>
      <c r="F390" s="27" t="str">
        <f>IFERROR(VLOOKUP(C390,#REF!, 3, FALSE), "NO ENCONTRADO")</f>
        <v>NO ENCONTRADO</v>
      </c>
      <c r="G390" s="27" t="str">
        <f>IFERROR(VLOOKUP(C390,#REF!, 4, FALSE), "NO ENCONTRADO")</f>
        <v>NO ENCONTRADO</v>
      </c>
      <c r="H390" s="27" t="str">
        <f>IFERROR(VLOOKUP(C390,#REF!, 5, FALSE), "NO ENCONTRADO")</f>
        <v>NO ENCONTRADO</v>
      </c>
      <c r="I390" s="14"/>
      <c r="J390" s="27"/>
      <c r="K390" s="41"/>
      <c r="L390" s="14"/>
      <c r="M390" s="30">
        <f t="shared" ca="1" si="0"/>
        <v>46026</v>
      </c>
      <c r="N390" s="31" t="str">
        <f t="shared" ca="1" si="1"/>
        <v>✅</v>
      </c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spans="1:28" ht="13" x14ac:dyDescent="0.15">
      <c r="A391" s="33">
        <f>'Scan to Sheets'!A391</f>
        <v>0</v>
      </c>
      <c r="B391" s="35">
        <f>'Scan to Sheets'!B391</f>
        <v>0</v>
      </c>
      <c r="C391" s="35">
        <f>'Scan to Sheets'!C391</f>
        <v>0</v>
      </c>
      <c r="D391" s="35">
        <f>'Scan to Sheets'!D391</f>
        <v>0</v>
      </c>
      <c r="E391" s="36" t="str">
        <f>IFERROR(VLOOKUP(C391,#REF!, 2, FALSE), "NO ENCONTRADO")</f>
        <v>NO ENCONTRADO</v>
      </c>
      <c r="F391" s="36" t="str">
        <f>IFERROR(VLOOKUP(C391,#REF!, 3, FALSE), "NO ENCONTRADO")</f>
        <v>NO ENCONTRADO</v>
      </c>
      <c r="G391" s="36" t="str">
        <f>IFERROR(VLOOKUP(C391,#REF!, 4, FALSE), "NO ENCONTRADO")</f>
        <v>NO ENCONTRADO</v>
      </c>
      <c r="H391" s="36" t="str">
        <f>IFERROR(VLOOKUP(C391,#REF!, 5, FALSE), "NO ENCONTRADO")</f>
        <v>NO ENCONTRADO</v>
      </c>
      <c r="I391" s="15"/>
      <c r="J391" s="36"/>
      <c r="K391" s="42"/>
      <c r="L391" s="15"/>
      <c r="M391" s="39">
        <f t="shared" ca="1" si="0"/>
        <v>46026</v>
      </c>
      <c r="N391" s="40" t="str">
        <f t="shared" ca="1" si="1"/>
        <v>✅</v>
      </c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spans="1:28" ht="13" x14ac:dyDescent="0.15">
      <c r="A392" s="24">
        <f>'Scan to Sheets'!A392</f>
        <v>0</v>
      </c>
      <c r="B392" s="26">
        <f>'Scan to Sheets'!B392</f>
        <v>0</v>
      </c>
      <c r="C392" s="26">
        <f>'Scan to Sheets'!C392</f>
        <v>0</v>
      </c>
      <c r="D392" s="26">
        <f>'Scan to Sheets'!D392</f>
        <v>0</v>
      </c>
      <c r="E392" s="27" t="str">
        <f>IFERROR(VLOOKUP(C392,#REF!, 2, FALSE), "NO ENCONTRADO")</f>
        <v>NO ENCONTRADO</v>
      </c>
      <c r="F392" s="27" t="str">
        <f>IFERROR(VLOOKUP(C392,#REF!, 3, FALSE), "NO ENCONTRADO")</f>
        <v>NO ENCONTRADO</v>
      </c>
      <c r="G392" s="27" t="str">
        <f>IFERROR(VLOOKUP(C392,#REF!, 4, FALSE), "NO ENCONTRADO")</f>
        <v>NO ENCONTRADO</v>
      </c>
      <c r="H392" s="27" t="str">
        <f>IFERROR(VLOOKUP(C392,#REF!, 5, FALSE), "NO ENCONTRADO")</f>
        <v>NO ENCONTRADO</v>
      </c>
      <c r="I392" s="14"/>
      <c r="J392" s="27"/>
      <c r="K392" s="41"/>
      <c r="L392" s="14"/>
      <c r="M392" s="30">
        <f t="shared" ca="1" si="0"/>
        <v>46026</v>
      </c>
      <c r="N392" s="31" t="str">
        <f t="shared" ca="1" si="1"/>
        <v>✅</v>
      </c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spans="1:28" ht="13" x14ac:dyDescent="0.15">
      <c r="A393" s="33">
        <f>'Scan to Sheets'!A393</f>
        <v>0</v>
      </c>
      <c r="B393" s="35">
        <f>'Scan to Sheets'!B393</f>
        <v>0</v>
      </c>
      <c r="C393" s="35">
        <f>'Scan to Sheets'!C393</f>
        <v>0</v>
      </c>
      <c r="D393" s="35">
        <f>'Scan to Sheets'!D393</f>
        <v>0</v>
      </c>
      <c r="E393" s="36" t="str">
        <f>IFERROR(VLOOKUP(C393,#REF!, 2, FALSE), "NO ENCONTRADO")</f>
        <v>NO ENCONTRADO</v>
      </c>
      <c r="F393" s="36" t="str">
        <f>IFERROR(VLOOKUP(C393,#REF!, 3, FALSE), "NO ENCONTRADO")</f>
        <v>NO ENCONTRADO</v>
      </c>
      <c r="G393" s="36" t="str">
        <f>IFERROR(VLOOKUP(C393,#REF!, 4, FALSE), "NO ENCONTRADO")</f>
        <v>NO ENCONTRADO</v>
      </c>
      <c r="H393" s="36" t="str">
        <f>IFERROR(VLOOKUP(C393,#REF!, 5, FALSE), "NO ENCONTRADO")</f>
        <v>NO ENCONTRADO</v>
      </c>
      <c r="I393" s="15"/>
      <c r="J393" s="36"/>
      <c r="K393" s="42"/>
      <c r="L393" s="15"/>
      <c r="M393" s="39">
        <f t="shared" ca="1" si="0"/>
        <v>46026</v>
      </c>
      <c r="N393" s="40" t="str">
        <f t="shared" ca="1" si="1"/>
        <v>✅</v>
      </c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spans="1:28" ht="13" x14ac:dyDescent="0.15">
      <c r="A394" s="24">
        <f>'Scan to Sheets'!A394</f>
        <v>0</v>
      </c>
      <c r="B394" s="26">
        <f>'Scan to Sheets'!B394</f>
        <v>0</v>
      </c>
      <c r="C394" s="26">
        <f>'Scan to Sheets'!C394</f>
        <v>0</v>
      </c>
      <c r="D394" s="26">
        <f>'Scan to Sheets'!D394</f>
        <v>0</v>
      </c>
      <c r="E394" s="27" t="str">
        <f>IFERROR(VLOOKUP(C394,#REF!, 2, FALSE), "NO ENCONTRADO")</f>
        <v>NO ENCONTRADO</v>
      </c>
      <c r="F394" s="27" t="str">
        <f>IFERROR(VLOOKUP(C394,#REF!, 3, FALSE), "NO ENCONTRADO")</f>
        <v>NO ENCONTRADO</v>
      </c>
      <c r="G394" s="27" t="str">
        <f>IFERROR(VLOOKUP(C394,#REF!, 4, FALSE), "NO ENCONTRADO")</f>
        <v>NO ENCONTRADO</v>
      </c>
      <c r="H394" s="27" t="str">
        <f>IFERROR(VLOOKUP(C394,#REF!, 5, FALSE), "NO ENCONTRADO")</f>
        <v>NO ENCONTRADO</v>
      </c>
      <c r="I394" s="14"/>
      <c r="J394" s="27"/>
      <c r="K394" s="41"/>
      <c r="L394" s="14"/>
      <c r="M394" s="30">
        <f t="shared" ca="1" si="0"/>
        <v>46026</v>
      </c>
      <c r="N394" s="31" t="str">
        <f t="shared" ca="1" si="1"/>
        <v>✅</v>
      </c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spans="1:28" ht="13" x14ac:dyDescent="0.15">
      <c r="A395" s="33">
        <f>'Scan to Sheets'!A395</f>
        <v>0</v>
      </c>
      <c r="B395" s="35">
        <f>'Scan to Sheets'!B395</f>
        <v>0</v>
      </c>
      <c r="C395" s="35">
        <f>'Scan to Sheets'!C395</f>
        <v>0</v>
      </c>
      <c r="D395" s="35">
        <f>'Scan to Sheets'!D395</f>
        <v>0</v>
      </c>
      <c r="E395" s="36" t="str">
        <f>IFERROR(VLOOKUP(C395,#REF!, 2, FALSE), "NO ENCONTRADO")</f>
        <v>NO ENCONTRADO</v>
      </c>
      <c r="F395" s="36" t="str">
        <f>IFERROR(VLOOKUP(C395,#REF!, 3, FALSE), "NO ENCONTRADO")</f>
        <v>NO ENCONTRADO</v>
      </c>
      <c r="G395" s="36" t="str">
        <f>IFERROR(VLOOKUP(C395,#REF!, 4, FALSE), "NO ENCONTRADO")</f>
        <v>NO ENCONTRADO</v>
      </c>
      <c r="H395" s="36" t="str">
        <f>IFERROR(VLOOKUP(C395,#REF!, 5, FALSE), "NO ENCONTRADO")</f>
        <v>NO ENCONTRADO</v>
      </c>
      <c r="I395" s="15"/>
      <c r="J395" s="36"/>
      <c r="K395" s="42"/>
      <c r="L395" s="15"/>
      <c r="M395" s="39">
        <f t="shared" ca="1" si="0"/>
        <v>46026</v>
      </c>
      <c r="N395" s="40" t="str">
        <f t="shared" ca="1" si="1"/>
        <v>✅</v>
      </c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spans="1:28" ht="13" x14ac:dyDescent="0.15">
      <c r="A396" s="24">
        <f>'Scan to Sheets'!A396</f>
        <v>0</v>
      </c>
      <c r="B396" s="26">
        <f>'Scan to Sheets'!B396</f>
        <v>0</v>
      </c>
      <c r="C396" s="26">
        <f>'Scan to Sheets'!C396</f>
        <v>0</v>
      </c>
      <c r="D396" s="26">
        <f>'Scan to Sheets'!D396</f>
        <v>0</v>
      </c>
      <c r="E396" s="27" t="str">
        <f>IFERROR(VLOOKUP(C396,#REF!, 2, FALSE), "NO ENCONTRADO")</f>
        <v>NO ENCONTRADO</v>
      </c>
      <c r="F396" s="27" t="str">
        <f>IFERROR(VLOOKUP(C396,#REF!, 3, FALSE), "NO ENCONTRADO")</f>
        <v>NO ENCONTRADO</v>
      </c>
      <c r="G396" s="27" t="str">
        <f>IFERROR(VLOOKUP(C396,#REF!, 4, FALSE), "NO ENCONTRADO")</f>
        <v>NO ENCONTRADO</v>
      </c>
      <c r="H396" s="27" t="str">
        <f>IFERROR(VLOOKUP(C396,#REF!, 5, FALSE), "NO ENCONTRADO")</f>
        <v>NO ENCONTRADO</v>
      </c>
      <c r="I396" s="14"/>
      <c r="J396" s="27"/>
      <c r="K396" s="41"/>
      <c r="L396" s="14"/>
      <c r="M396" s="30">
        <f t="shared" ca="1" si="0"/>
        <v>46026</v>
      </c>
      <c r="N396" s="31" t="str">
        <f t="shared" ca="1" si="1"/>
        <v>✅</v>
      </c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spans="1:28" ht="13" x14ac:dyDescent="0.15">
      <c r="A397" s="33">
        <f>'Scan to Sheets'!A397</f>
        <v>0</v>
      </c>
      <c r="B397" s="35">
        <f>'Scan to Sheets'!B397</f>
        <v>0</v>
      </c>
      <c r="C397" s="35">
        <f>'Scan to Sheets'!C397</f>
        <v>0</v>
      </c>
      <c r="D397" s="35">
        <f>'Scan to Sheets'!D397</f>
        <v>0</v>
      </c>
      <c r="E397" s="36" t="str">
        <f>IFERROR(VLOOKUP(C397,#REF!, 2, FALSE), "NO ENCONTRADO")</f>
        <v>NO ENCONTRADO</v>
      </c>
      <c r="F397" s="36" t="str">
        <f>IFERROR(VLOOKUP(C397,#REF!, 3, FALSE), "NO ENCONTRADO")</f>
        <v>NO ENCONTRADO</v>
      </c>
      <c r="G397" s="36" t="str">
        <f>IFERROR(VLOOKUP(C397,#REF!, 4, FALSE), "NO ENCONTRADO")</f>
        <v>NO ENCONTRADO</v>
      </c>
      <c r="H397" s="36" t="str">
        <f>IFERROR(VLOOKUP(C397,#REF!, 5, FALSE), "NO ENCONTRADO")</f>
        <v>NO ENCONTRADO</v>
      </c>
      <c r="I397" s="15"/>
      <c r="J397" s="36"/>
      <c r="K397" s="42"/>
      <c r="L397" s="15"/>
      <c r="M397" s="39">
        <f t="shared" ca="1" si="0"/>
        <v>46026</v>
      </c>
      <c r="N397" s="40" t="str">
        <f t="shared" ca="1" si="1"/>
        <v>✅</v>
      </c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spans="1:28" ht="13" x14ac:dyDescent="0.15">
      <c r="A398" s="24">
        <f>'Scan to Sheets'!A398</f>
        <v>0</v>
      </c>
      <c r="B398" s="26">
        <f>'Scan to Sheets'!B398</f>
        <v>0</v>
      </c>
      <c r="C398" s="26">
        <f>'Scan to Sheets'!C398</f>
        <v>0</v>
      </c>
      <c r="D398" s="26">
        <f>'Scan to Sheets'!D398</f>
        <v>0</v>
      </c>
      <c r="E398" s="27" t="str">
        <f>IFERROR(VLOOKUP(C398,#REF!, 2, FALSE), "NO ENCONTRADO")</f>
        <v>NO ENCONTRADO</v>
      </c>
      <c r="F398" s="27" t="str">
        <f>IFERROR(VLOOKUP(C398,#REF!, 3, FALSE), "NO ENCONTRADO")</f>
        <v>NO ENCONTRADO</v>
      </c>
      <c r="G398" s="27" t="str">
        <f>IFERROR(VLOOKUP(C398,#REF!, 4, FALSE), "NO ENCONTRADO")</f>
        <v>NO ENCONTRADO</v>
      </c>
      <c r="H398" s="27" t="str">
        <f>IFERROR(VLOOKUP(C398,#REF!, 5, FALSE), "NO ENCONTRADO")</f>
        <v>NO ENCONTRADO</v>
      </c>
      <c r="I398" s="14"/>
      <c r="J398" s="27"/>
      <c r="K398" s="41"/>
      <c r="L398" s="14"/>
      <c r="M398" s="30">
        <f t="shared" ca="1" si="0"/>
        <v>46026</v>
      </c>
      <c r="N398" s="31" t="str">
        <f t="shared" ca="1" si="1"/>
        <v>✅</v>
      </c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spans="1:28" ht="13" x14ac:dyDescent="0.15">
      <c r="A399" s="33">
        <f>'Scan to Sheets'!A399</f>
        <v>0</v>
      </c>
      <c r="B399" s="35">
        <f>'Scan to Sheets'!B399</f>
        <v>0</v>
      </c>
      <c r="C399" s="35">
        <f>'Scan to Sheets'!C399</f>
        <v>0</v>
      </c>
      <c r="D399" s="35">
        <f>'Scan to Sheets'!D399</f>
        <v>0</v>
      </c>
      <c r="E399" s="36" t="str">
        <f>IFERROR(VLOOKUP(C399,#REF!, 2, FALSE), "NO ENCONTRADO")</f>
        <v>NO ENCONTRADO</v>
      </c>
      <c r="F399" s="36" t="str">
        <f>IFERROR(VLOOKUP(C399,#REF!, 3, FALSE), "NO ENCONTRADO")</f>
        <v>NO ENCONTRADO</v>
      </c>
      <c r="G399" s="36" t="str">
        <f>IFERROR(VLOOKUP(C399,#REF!, 4, FALSE), "NO ENCONTRADO")</f>
        <v>NO ENCONTRADO</v>
      </c>
      <c r="H399" s="36" t="str">
        <f>IFERROR(VLOOKUP(C399,#REF!, 5, FALSE), "NO ENCONTRADO")</f>
        <v>NO ENCONTRADO</v>
      </c>
      <c r="I399" s="15"/>
      <c r="J399" s="36"/>
      <c r="K399" s="42"/>
      <c r="L399" s="15"/>
      <c r="M399" s="39">
        <f t="shared" ca="1" si="0"/>
        <v>46026</v>
      </c>
      <c r="N399" s="40" t="str">
        <f t="shared" ca="1" si="1"/>
        <v>✅</v>
      </c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spans="1:28" ht="13" x14ac:dyDescent="0.15">
      <c r="A400" s="24">
        <f>'Scan to Sheets'!A400</f>
        <v>0</v>
      </c>
      <c r="B400" s="26">
        <f>'Scan to Sheets'!B400</f>
        <v>0</v>
      </c>
      <c r="C400" s="26">
        <f>'Scan to Sheets'!C400</f>
        <v>0</v>
      </c>
      <c r="D400" s="26">
        <f>'Scan to Sheets'!D400</f>
        <v>0</v>
      </c>
      <c r="E400" s="27" t="str">
        <f>IFERROR(VLOOKUP(C400,#REF!, 2, FALSE), "NO ENCONTRADO")</f>
        <v>NO ENCONTRADO</v>
      </c>
      <c r="F400" s="27" t="str">
        <f>IFERROR(VLOOKUP(C400,#REF!, 3, FALSE), "NO ENCONTRADO")</f>
        <v>NO ENCONTRADO</v>
      </c>
      <c r="G400" s="27" t="str">
        <f>IFERROR(VLOOKUP(C400,#REF!, 4, FALSE), "NO ENCONTRADO")</f>
        <v>NO ENCONTRADO</v>
      </c>
      <c r="H400" s="27" t="str">
        <f>IFERROR(VLOOKUP(C400,#REF!, 5, FALSE), "NO ENCONTRADO")</f>
        <v>NO ENCONTRADO</v>
      </c>
      <c r="I400" s="14"/>
      <c r="J400" s="27"/>
      <c r="K400" s="41"/>
      <c r="L400" s="14"/>
      <c r="M400" s="30">
        <f t="shared" ca="1" si="0"/>
        <v>46026</v>
      </c>
      <c r="N400" s="31" t="str">
        <f t="shared" ca="1" si="1"/>
        <v>✅</v>
      </c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 spans="1:28" ht="13" x14ac:dyDescent="0.15">
      <c r="A401" s="33">
        <f>'Scan to Sheets'!A401</f>
        <v>0</v>
      </c>
      <c r="B401" s="35">
        <f>'Scan to Sheets'!B401</f>
        <v>0</v>
      </c>
      <c r="C401" s="35">
        <f>'Scan to Sheets'!C401</f>
        <v>0</v>
      </c>
      <c r="D401" s="35">
        <f>'Scan to Sheets'!D401</f>
        <v>0</v>
      </c>
      <c r="E401" s="36" t="str">
        <f>IFERROR(VLOOKUP(C401,#REF!, 2, FALSE), "NO ENCONTRADO")</f>
        <v>NO ENCONTRADO</v>
      </c>
      <c r="F401" s="36" t="str">
        <f>IFERROR(VLOOKUP(C401,#REF!, 3, FALSE), "NO ENCONTRADO")</f>
        <v>NO ENCONTRADO</v>
      </c>
      <c r="G401" s="36" t="str">
        <f>IFERROR(VLOOKUP(C401,#REF!, 4, FALSE), "NO ENCONTRADO")</f>
        <v>NO ENCONTRADO</v>
      </c>
      <c r="H401" s="36" t="str">
        <f>IFERROR(VLOOKUP(C401,#REF!, 5, FALSE), "NO ENCONTRADO")</f>
        <v>NO ENCONTRADO</v>
      </c>
      <c r="I401" s="15"/>
      <c r="J401" s="36"/>
      <c r="K401" s="42"/>
      <c r="L401" s="15"/>
      <c r="M401" s="39">
        <f t="shared" ca="1" si="0"/>
        <v>46026</v>
      </c>
      <c r="N401" s="40" t="str">
        <f t="shared" ca="1" si="1"/>
        <v>✅</v>
      </c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 spans="1:28" ht="13" x14ac:dyDescent="0.15">
      <c r="A402" s="24">
        <f>'Scan to Sheets'!A402</f>
        <v>0</v>
      </c>
      <c r="B402" s="26">
        <f>'Scan to Sheets'!B402</f>
        <v>0</v>
      </c>
      <c r="C402" s="26">
        <f>'Scan to Sheets'!C402</f>
        <v>0</v>
      </c>
      <c r="D402" s="26">
        <f>'Scan to Sheets'!D402</f>
        <v>0</v>
      </c>
      <c r="E402" s="27" t="str">
        <f>IFERROR(VLOOKUP(C402,#REF!, 2, FALSE), "NO ENCONTRADO")</f>
        <v>NO ENCONTRADO</v>
      </c>
      <c r="F402" s="27" t="str">
        <f>IFERROR(VLOOKUP(C402,#REF!, 3, FALSE), "NO ENCONTRADO")</f>
        <v>NO ENCONTRADO</v>
      </c>
      <c r="G402" s="27" t="str">
        <f>IFERROR(VLOOKUP(C402,#REF!, 4, FALSE), "NO ENCONTRADO")</f>
        <v>NO ENCONTRADO</v>
      </c>
      <c r="H402" s="27" t="str">
        <f>IFERROR(VLOOKUP(C402,#REF!, 5, FALSE), "NO ENCONTRADO")</f>
        <v>NO ENCONTRADO</v>
      </c>
      <c r="I402" s="14"/>
      <c r="J402" s="27"/>
      <c r="K402" s="41"/>
      <c r="L402" s="14"/>
      <c r="M402" s="30">
        <f t="shared" ca="1" si="0"/>
        <v>46026</v>
      </c>
      <c r="N402" s="31" t="str">
        <f t="shared" ca="1" si="1"/>
        <v>✅</v>
      </c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 spans="1:28" ht="13" x14ac:dyDescent="0.15">
      <c r="A403" s="33">
        <f>'Scan to Sheets'!A403</f>
        <v>0</v>
      </c>
      <c r="B403" s="35">
        <f>'Scan to Sheets'!B403</f>
        <v>0</v>
      </c>
      <c r="C403" s="35">
        <f>'Scan to Sheets'!C403</f>
        <v>0</v>
      </c>
      <c r="D403" s="35">
        <f>'Scan to Sheets'!D403</f>
        <v>0</v>
      </c>
      <c r="E403" s="36" t="str">
        <f>IFERROR(VLOOKUP(C403,#REF!, 2, FALSE), "NO ENCONTRADO")</f>
        <v>NO ENCONTRADO</v>
      </c>
      <c r="F403" s="36" t="str">
        <f>IFERROR(VLOOKUP(C403,#REF!, 3, FALSE), "NO ENCONTRADO")</f>
        <v>NO ENCONTRADO</v>
      </c>
      <c r="G403" s="36" t="str">
        <f>IFERROR(VLOOKUP(C403,#REF!, 4, FALSE), "NO ENCONTRADO")</f>
        <v>NO ENCONTRADO</v>
      </c>
      <c r="H403" s="36" t="str">
        <f>IFERROR(VLOOKUP(C403,#REF!, 5, FALSE), "NO ENCONTRADO")</f>
        <v>NO ENCONTRADO</v>
      </c>
      <c r="I403" s="15"/>
      <c r="J403" s="36"/>
      <c r="K403" s="42"/>
      <c r="L403" s="15"/>
      <c r="M403" s="39">
        <f t="shared" ca="1" si="0"/>
        <v>46026</v>
      </c>
      <c r="N403" s="40" t="str">
        <f t="shared" ca="1" si="1"/>
        <v>✅</v>
      </c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 spans="1:28" ht="13" x14ac:dyDescent="0.15">
      <c r="A404" s="24">
        <f>'Scan to Sheets'!A404</f>
        <v>0</v>
      </c>
      <c r="B404" s="26">
        <f>'Scan to Sheets'!B404</f>
        <v>0</v>
      </c>
      <c r="C404" s="26">
        <f>'Scan to Sheets'!C404</f>
        <v>0</v>
      </c>
      <c r="D404" s="26">
        <f>'Scan to Sheets'!D404</f>
        <v>0</v>
      </c>
      <c r="E404" s="27" t="str">
        <f>IFERROR(VLOOKUP(C404,#REF!, 2, FALSE), "NO ENCONTRADO")</f>
        <v>NO ENCONTRADO</v>
      </c>
      <c r="F404" s="27" t="str">
        <f>IFERROR(VLOOKUP(C404,#REF!, 3, FALSE), "NO ENCONTRADO")</f>
        <v>NO ENCONTRADO</v>
      </c>
      <c r="G404" s="27" t="str">
        <f>IFERROR(VLOOKUP(C404,#REF!, 4, FALSE), "NO ENCONTRADO")</f>
        <v>NO ENCONTRADO</v>
      </c>
      <c r="H404" s="27" t="str">
        <f>IFERROR(VLOOKUP(C404,#REF!, 5, FALSE), "NO ENCONTRADO")</f>
        <v>NO ENCONTRADO</v>
      </c>
      <c r="I404" s="14"/>
      <c r="J404" s="27"/>
      <c r="K404" s="41"/>
      <c r="L404" s="14"/>
      <c r="M404" s="30">
        <f t="shared" ca="1" si="0"/>
        <v>46026</v>
      </c>
      <c r="N404" s="31" t="str">
        <f t="shared" ca="1" si="1"/>
        <v>✅</v>
      </c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 spans="1:28" ht="13" x14ac:dyDescent="0.15">
      <c r="A405" s="33">
        <f>'Scan to Sheets'!A405</f>
        <v>0</v>
      </c>
      <c r="B405" s="35">
        <f>'Scan to Sheets'!B405</f>
        <v>0</v>
      </c>
      <c r="C405" s="35">
        <f>'Scan to Sheets'!C405</f>
        <v>0</v>
      </c>
      <c r="D405" s="35">
        <f>'Scan to Sheets'!D405</f>
        <v>0</v>
      </c>
      <c r="E405" s="36" t="str">
        <f>IFERROR(VLOOKUP(C405,#REF!, 2, FALSE), "NO ENCONTRADO")</f>
        <v>NO ENCONTRADO</v>
      </c>
      <c r="F405" s="36" t="str">
        <f>IFERROR(VLOOKUP(C405,#REF!, 3, FALSE), "NO ENCONTRADO")</f>
        <v>NO ENCONTRADO</v>
      </c>
      <c r="G405" s="36" t="str">
        <f>IFERROR(VLOOKUP(C405,#REF!, 4, FALSE), "NO ENCONTRADO")</f>
        <v>NO ENCONTRADO</v>
      </c>
      <c r="H405" s="36" t="str">
        <f>IFERROR(VLOOKUP(C405,#REF!, 5, FALSE), "NO ENCONTRADO")</f>
        <v>NO ENCONTRADO</v>
      </c>
      <c r="I405" s="15"/>
      <c r="J405" s="36"/>
      <c r="K405" s="42"/>
      <c r="L405" s="15"/>
      <c r="M405" s="39">
        <f t="shared" ca="1" si="0"/>
        <v>46026</v>
      </c>
      <c r="N405" s="40" t="str">
        <f t="shared" ca="1" si="1"/>
        <v>✅</v>
      </c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 spans="1:28" ht="13" x14ac:dyDescent="0.15">
      <c r="A406" s="24">
        <f>'Scan to Sheets'!A406</f>
        <v>0</v>
      </c>
      <c r="B406" s="26">
        <f>'Scan to Sheets'!B406</f>
        <v>0</v>
      </c>
      <c r="C406" s="26">
        <f>'Scan to Sheets'!C406</f>
        <v>0</v>
      </c>
      <c r="D406" s="26">
        <f>'Scan to Sheets'!D406</f>
        <v>0</v>
      </c>
      <c r="E406" s="27" t="str">
        <f>IFERROR(VLOOKUP(C406,#REF!, 2, FALSE), "NO ENCONTRADO")</f>
        <v>NO ENCONTRADO</v>
      </c>
      <c r="F406" s="27" t="str">
        <f>IFERROR(VLOOKUP(C406,#REF!, 3, FALSE), "NO ENCONTRADO")</f>
        <v>NO ENCONTRADO</v>
      </c>
      <c r="G406" s="27" t="str">
        <f>IFERROR(VLOOKUP(C406,#REF!, 4, FALSE), "NO ENCONTRADO")</f>
        <v>NO ENCONTRADO</v>
      </c>
      <c r="H406" s="27" t="str">
        <f>IFERROR(VLOOKUP(C406,#REF!, 5, FALSE), "NO ENCONTRADO")</f>
        <v>NO ENCONTRADO</v>
      </c>
      <c r="I406" s="14"/>
      <c r="J406" s="27"/>
      <c r="K406" s="41"/>
      <c r="L406" s="14"/>
      <c r="M406" s="30">
        <f t="shared" ca="1" si="0"/>
        <v>46026</v>
      </c>
      <c r="N406" s="31" t="str">
        <f t="shared" ca="1" si="1"/>
        <v>✅</v>
      </c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 spans="1:28" ht="13" x14ac:dyDescent="0.15">
      <c r="A407" s="33">
        <f>'Scan to Sheets'!A407</f>
        <v>0</v>
      </c>
      <c r="B407" s="35">
        <f>'Scan to Sheets'!B407</f>
        <v>0</v>
      </c>
      <c r="C407" s="35">
        <f>'Scan to Sheets'!C407</f>
        <v>0</v>
      </c>
      <c r="D407" s="35">
        <f>'Scan to Sheets'!D407</f>
        <v>0</v>
      </c>
      <c r="E407" s="36" t="str">
        <f>IFERROR(VLOOKUP(C407,#REF!, 2, FALSE), "NO ENCONTRADO")</f>
        <v>NO ENCONTRADO</v>
      </c>
      <c r="F407" s="36" t="str">
        <f>IFERROR(VLOOKUP(C407,#REF!, 3, FALSE), "NO ENCONTRADO")</f>
        <v>NO ENCONTRADO</v>
      </c>
      <c r="G407" s="36" t="str">
        <f>IFERROR(VLOOKUP(C407,#REF!, 4, FALSE), "NO ENCONTRADO")</f>
        <v>NO ENCONTRADO</v>
      </c>
      <c r="H407" s="36" t="str">
        <f>IFERROR(VLOOKUP(C407,#REF!, 5, FALSE), "NO ENCONTRADO")</f>
        <v>NO ENCONTRADO</v>
      </c>
      <c r="I407" s="15"/>
      <c r="J407" s="36"/>
      <c r="K407" s="42"/>
      <c r="L407" s="15"/>
      <c r="M407" s="39">
        <f t="shared" ca="1" si="0"/>
        <v>46026</v>
      </c>
      <c r="N407" s="40" t="str">
        <f t="shared" ca="1" si="1"/>
        <v>✅</v>
      </c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 spans="1:28" ht="13" x14ac:dyDescent="0.15">
      <c r="A408" s="24">
        <f>'Scan to Sheets'!A408</f>
        <v>0</v>
      </c>
      <c r="B408" s="26">
        <f>'Scan to Sheets'!B408</f>
        <v>0</v>
      </c>
      <c r="C408" s="26">
        <f>'Scan to Sheets'!C408</f>
        <v>0</v>
      </c>
      <c r="D408" s="26">
        <f>'Scan to Sheets'!D408</f>
        <v>0</v>
      </c>
      <c r="E408" s="27" t="str">
        <f>IFERROR(VLOOKUP(C408,#REF!, 2, FALSE), "NO ENCONTRADO")</f>
        <v>NO ENCONTRADO</v>
      </c>
      <c r="F408" s="27" t="str">
        <f>IFERROR(VLOOKUP(C408,#REF!, 3, FALSE), "NO ENCONTRADO")</f>
        <v>NO ENCONTRADO</v>
      </c>
      <c r="G408" s="27" t="str">
        <f>IFERROR(VLOOKUP(C408,#REF!, 4, FALSE), "NO ENCONTRADO")</f>
        <v>NO ENCONTRADO</v>
      </c>
      <c r="H408" s="27" t="str">
        <f>IFERROR(VLOOKUP(C408,#REF!, 5, FALSE), "NO ENCONTRADO")</f>
        <v>NO ENCONTRADO</v>
      </c>
      <c r="I408" s="14"/>
      <c r="J408" s="27"/>
      <c r="K408" s="41"/>
      <c r="L408" s="14"/>
      <c r="M408" s="30">
        <f t="shared" ca="1" si="0"/>
        <v>46026</v>
      </c>
      <c r="N408" s="31" t="str">
        <f t="shared" ca="1" si="1"/>
        <v>✅</v>
      </c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 spans="1:28" ht="13" x14ac:dyDescent="0.15">
      <c r="A409" s="33">
        <f>'Scan to Sheets'!A409</f>
        <v>0</v>
      </c>
      <c r="B409" s="35">
        <f>'Scan to Sheets'!B409</f>
        <v>0</v>
      </c>
      <c r="C409" s="35">
        <f>'Scan to Sheets'!C409</f>
        <v>0</v>
      </c>
      <c r="D409" s="35">
        <f>'Scan to Sheets'!D409</f>
        <v>0</v>
      </c>
      <c r="E409" s="36" t="str">
        <f>IFERROR(VLOOKUP(C409,#REF!, 2, FALSE), "NO ENCONTRADO")</f>
        <v>NO ENCONTRADO</v>
      </c>
      <c r="F409" s="36" t="str">
        <f>IFERROR(VLOOKUP(C409,#REF!, 3, FALSE), "NO ENCONTRADO")</f>
        <v>NO ENCONTRADO</v>
      </c>
      <c r="G409" s="36" t="str">
        <f>IFERROR(VLOOKUP(C409,#REF!, 4, FALSE), "NO ENCONTRADO")</f>
        <v>NO ENCONTRADO</v>
      </c>
      <c r="H409" s="36" t="str">
        <f>IFERROR(VLOOKUP(C409,#REF!, 5, FALSE), "NO ENCONTRADO")</f>
        <v>NO ENCONTRADO</v>
      </c>
      <c r="I409" s="15"/>
      <c r="J409" s="36"/>
      <c r="K409" s="42"/>
      <c r="L409" s="15"/>
      <c r="M409" s="39">
        <f t="shared" ca="1" si="0"/>
        <v>46026</v>
      </c>
      <c r="N409" s="40" t="str">
        <f t="shared" ca="1" si="1"/>
        <v>✅</v>
      </c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 spans="1:28" ht="13" x14ac:dyDescent="0.15">
      <c r="A410" s="24">
        <f>'Scan to Sheets'!A410</f>
        <v>0</v>
      </c>
      <c r="B410" s="26">
        <f>'Scan to Sheets'!B410</f>
        <v>0</v>
      </c>
      <c r="C410" s="26">
        <f>'Scan to Sheets'!C410</f>
        <v>0</v>
      </c>
      <c r="D410" s="26">
        <f>'Scan to Sheets'!D410</f>
        <v>0</v>
      </c>
      <c r="E410" s="27" t="str">
        <f>IFERROR(VLOOKUP(C410,#REF!, 2, FALSE), "NO ENCONTRADO")</f>
        <v>NO ENCONTRADO</v>
      </c>
      <c r="F410" s="27" t="str">
        <f>IFERROR(VLOOKUP(C410,#REF!, 3, FALSE), "NO ENCONTRADO")</f>
        <v>NO ENCONTRADO</v>
      </c>
      <c r="G410" s="27" t="str">
        <f>IFERROR(VLOOKUP(C410,#REF!, 4, FALSE), "NO ENCONTRADO")</f>
        <v>NO ENCONTRADO</v>
      </c>
      <c r="H410" s="27" t="str">
        <f>IFERROR(VLOOKUP(C410,#REF!, 5, FALSE), "NO ENCONTRADO")</f>
        <v>NO ENCONTRADO</v>
      </c>
      <c r="I410" s="14"/>
      <c r="J410" s="27"/>
      <c r="K410" s="41"/>
      <c r="L410" s="14"/>
      <c r="M410" s="30">
        <f t="shared" ca="1" si="0"/>
        <v>46026</v>
      </c>
      <c r="N410" s="31" t="str">
        <f t="shared" ca="1" si="1"/>
        <v>✅</v>
      </c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 spans="1:28" ht="13" x14ac:dyDescent="0.15">
      <c r="A411" s="33">
        <f>'Scan to Sheets'!A411</f>
        <v>0</v>
      </c>
      <c r="B411" s="35">
        <f>'Scan to Sheets'!B411</f>
        <v>0</v>
      </c>
      <c r="C411" s="35">
        <f>'Scan to Sheets'!C411</f>
        <v>0</v>
      </c>
      <c r="D411" s="35">
        <f>'Scan to Sheets'!D411</f>
        <v>0</v>
      </c>
      <c r="E411" s="36" t="str">
        <f>IFERROR(VLOOKUP(C411,#REF!, 2, FALSE), "NO ENCONTRADO")</f>
        <v>NO ENCONTRADO</v>
      </c>
      <c r="F411" s="36" t="str">
        <f>IFERROR(VLOOKUP(C411,#REF!, 3, FALSE), "NO ENCONTRADO")</f>
        <v>NO ENCONTRADO</v>
      </c>
      <c r="G411" s="36" t="str">
        <f>IFERROR(VLOOKUP(C411,#REF!, 4, FALSE), "NO ENCONTRADO")</f>
        <v>NO ENCONTRADO</v>
      </c>
      <c r="H411" s="36" t="str">
        <f>IFERROR(VLOOKUP(C411,#REF!, 5, FALSE), "NO ENCONTRADO")</f>
        <v>NO ENCONTRADO</v>
      </c>
      <c r="I411" s="15"/>
      <c r="J411" s="36"/>
      <c r="K411" s="42"/>
      <c r="L411" s="15"/>
      <c r="M411" s="39">
        <f t="shared" ca="1" si="0"/>
        <v>46026</v>
      </c>
      <c r="N411" s="40" t="str">
        <f t="shared" ca="1" si="1"/>
        <v>✅</v>
      </c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spans="1:28" ht="13" x14ac:dyDescent="0.15">
      <c r="A412" s="24">
        <f>'Scan to Sheets'!A412</f>
        <v>0</v>
      </c>
      <c r="B412" s="26">
        <f>'Scan to Sheets'!B412</f>
        <v>0</v>
      </c>
      <c r="C412" s="26">
        <f>'Scan to Sheets'!C412</f>
        <v>0</v>
      </c>
      <c r="D412" s="26">
        <f>'Scan to Sheets'!D412</f>
        <v>0</v>
      </c>
      <c r="E412" s="27" t="str">
        <f>IFERROR(VLOOKUP(C412,#REF!, 2, FALSE), "NO ENCONTRADO")</f>
        <v>NO ENCONTRADO</v>
      </c>
      <c r="F412" s="27" t="str">
        <f>IFERROR(VLOOKUP(C412,#REF!, 3, FALSE), "NO ENCONTRADO")</f>
        <v>NO ENCONTRADO</v>
      </c>
      <c r="G412" s="27" t="str">
        <f>IFERROR(VLOOKUP(C412,#REF!, 4, FALSE), "NO ENCONTRADO")</f>
        <v>NO ENCONTRADO</v>
      </c>
      <c r="H412" s="27" t="str">
        <f>IFERROR(VLOOKUP(C412,#REF!, 5, FALSE), "NO ENCONTRADO")</f>
        <v>NO ENCONTRADO</v>
      </c>
      <c r="I412" s="14"/>
      <c r="J412" s="27"/>
      <c r="K412" s="41"/>
      <c r="L412" s="14"/>
      <c r="M412" s="30">
        <f t="shared" ca="1" si="0"/>
        <v>46026</v>
      </c>
      <c r="N412" s="31" t="str">
        <f t="shared" ca="1" si="1"/>
        <v>✅</v>
      </c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spans="1:28" ht="13" x14ac:dyDescent="0.15">
      <c r="A413" s="33">
        <f>'Scan to Sheets'!A413</f>
        <v>0</v>
      </c>
      <c r="B413" s="35">
        <f>'Scan to Sheets'!B413</f>
        <v>0</v>
      </c>
      <c r="C413" s="35">
        <f>'Scan to Sheets'!C413</f>
        <v>0</v>
      </c>
      <c r="D413" s="35">
        <f>'Scan to Sheets'!D413</f>
        <v>0</v>
      </c>
      <c r="E413" s="36" t="str">
        <f>IFERROR(VLOOKUP(C413,#REF!, 2, FALSE), "NO ENCONTRADO")</f>
        <v>NO ENCONTRADO</v>
      </c>
      <c r="F413" s="36" t="str">
        <f>IFERROR(VLOOKUP(C413,#REF!, 3, FALSE), "NO ENCONTRADO")</f>
        <v>NO ENCONTRADO</v>
      </c>
      <c r="G413" s="36" t="str">
        <f>IFERROR(VLOOKUP(C413,#REF!, 4, FALSE), "NO ENCONTRADO")</f>
        <v>NO ENCONTRADO</v>
      </c>
      <c r="H413" s="36" t="str">
        <f>IFERROR(VLOOKUP(C413,#REF!, 5, FALSE), "NO ENCONTRADO")</f>
        <v>NO ENCONTRADO</v>
      </c>
      <c r="I413" s="15"/>
      <c r="J413" s="36"/>
      <c r="K413" s="42"/>
      <c r="L413" s="15"/>
      <c r="M413" s="39">
        <f t="shared" ca="1" si="0"/>
        <v>46026</v>
      </c>
      <c r="N413" s="40" t="str">
        <f t="shared" ca="1" si="1"/>
        <v>✅</v>
      </c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spans="1:28" ht="13" x14ac:dyDescent="0.15">
      <c r="A414" s="24">
        <f>'Scan to Sheets'!A414</f>
        <v>0</v>
      </c>
      <c r="B414" s="26">
        <f>'Scan to Sheets'!B414</f>
        <v>0</v>
      </c>
      <c r="C414" s="26">
        <f>'Scan to Sheets'!C414</f>
        <v>0</v>
      </c>
      <c r="D414" s="26">
        <f>'Scan to Sheets'!D414</f>
        <v>0</v>
      </c>
      <c r="E414" s="27" t="str">
        <f>IFERROR(VLOOKUP(C414,#REF!, 2, FALSE), "NO ENCONTRADO")</f>
        <v>NO ENCONTRADO</v>
      </c>
      <c r="F414" s="27" t="str">
        <f>IFERROR(VLOOKUP(C414,#REF!, 3, FALSE), "NO ENCONTRADO")</f>
        <v>NO ENCONTRADO</v>
      </c>
      <c r="G414" s="27" t="str">
        <f>IFERROR(VLOOKUP(C414,#REF!, 4, FALSE), "NO ENCONTRADO")</f>
        <v>NO ENCONTRADO</v>
      </c>
      <c r="H414" s="27" t="str">
        <f>IFERROR(VLOOKUP(C414,#REF!, 5, FALSE), "NO ENCONTRADO")</f>
        <v>NO ENCONTRADO</v>
      </c>
      <c r="I414" s="14"/>
      <c r="J414" s="27"/>
      <c r="K414" s="41"/>
      <c r="L414" s="14"/>
      <c r="M414" s="30">
        <f t="shared" ca="1" si="0"/>
        <v>46026</v>
      </c>
      <c r="N414" s="31" t="str">
        <f t="shared" ca="1" si="1"/>
        <v>✅</v>
      </c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spans="1:28" ht="13" x14ac:dyDescent="0.15">
      <c r="A415" s="33">
        <f>'Scan to Sheets'!A415</f>
        <v>0</v>
      </c>
      <c r="B415" s="35">
        <f>'Scan to Sheets'!B415</f>
        <v>0</v>
      </c>
      <c r="C415" s="35">
        <f>'Scan to Sheets'!C415</f>
        <v>0</v>
      </c>
      <c r="D415" s="35">
        <f>'Scan to Sheets'!D415</f>
        <v>0</v>
      </c>
      <c r="E415" s="36" t="str">
        <f>IFERROR(VLOOKUP(C415,#REF!, 2, FALSE), "NO ENCONTRADO")</f>
        <v>NO ENCONTRADO</v>
      </c>
      <c r="F415" s="36" t="str">
        <f>IFERROR(VLOOKUP(C415,#REF!, 3, FALSE), "NO ENCONTRADO")</f>
        <v>NO ENCONTRADO</v>
      </c>
      <c r="G415" s="36" t="str">
        <f>IFERROR(VLOOKUP(C415,#REF!, 4, FALSE), "NO ENCONTRADO")</f>
        <v>NO ENCONTRADO</v>
      </c>
      <c r="H415" s="36" t="str">
        <f>IFERROR(VLOOKUP(C415,#REF!, 5, FALSE), "NO ENCONTRADO")</f>
        <v>NO ENCONTRADO</v>
      </c>
      <c r="I415" s="15"/>
      <c r="J415" s="36"/>
      <c r="K415" s="42"/>
      <c r="L415" s="15"/>
      <c r="M415" s="39">
        <f t="shared" ca="1" si="0"/>
        <v>46026</v>
      </c>
      <c r="N415" s="40" t="str">
        <f t="shared" ca="1" si="1"/>
        <v>✅</v>
      </c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spans="1:28" ht="13" x14ac:dyDescent="0.15">
      <c r="A416" s="24">
        <f>'Scan to Sheets'!A416</f>
        <v>0</v>
      </c>
      <c r="B416" s="26">
        <f>'Scan to Sheets'!B416</f>
        <v>0</v>
      </c>
      <c r="C416" s="26">
        <f>'Scan to Sheets'!C416</f>
        <v>0</v>
      </c>
      <c r="D416" s="26">
        <f>'Scan to Sheets'!D416</f>
        <v>0</v>
      </c>
      <c r="E416" s="27" t="str">
        <f>IFERROR(VLOOKUP(C416,#REF!, 2, FALSE), "NO ENCONTRADO")</f>
        <v>NO ENCONTRADO</v>
      </c>
      <c r="F416" s="27" t="str">
        <f>IFERROR(VLOOKUP(C416,#REF!, 3, FALSE), "NO ENCONTRADO")</f>
        <v>NO ENCONTRADO</v>
      </c>
      <c r="G416" s="27" t="str">
        <f>IFERROR(VLOOKUP(C416,#REF!, 4, FALSE), "NO ENCONTRADO")</f>
        <v>NO ENCONTRADO</v>
      </c>
      <c r="H416" s="27" t="str">
        <f>IFERROR(VLOOKUP(C416,#REF!, 5, FALSE), "NO ENCONTRADO")</f>
        <v>NO ENCONTRADO</v>
      </c>
      <c r="I416" s="14"/>
      <c r="J416" s="27"/>
      <c r="K416" s="41"/>
      <c r="L416" s="14"/>
      <c r="M416" s="30">
        <f t="shared" ca="1" si="0"/>
        <v>46026</v>
      </c>
      <c r="N416" s="31" t="str">
        <f t="shared" ca="1" si="1"/>
        <v>✅</v>
      </c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spans="1:28" ht="13" x14ac:dyDescent="0.15">
      <c r="A417" s="33">
        <f>'Scan to Sheets'!A417</f>
        <v>0</v>
      </c>
      <c r="B417" s="35">
        <f>'Scan to Sheets'!B417</f>
        <v>0</v>
      </c>
      <c r="C417" s="35">
        <f>'Scan to Sheets'!C417</f>
        <v>0</v>
      </c>
      <c r="D417" s="35">
        <f>'Scan to Sheets'!D417</f>
        <v>0</v>
      </c>
      <c r="E417" s="36" t="str">
        <f>IFERROR(VLOOKUP(C417,#REF!, 2, FALSE), "NO ENCONTRADO")</f>
        <v>NO ENCONTRADO</v>
      </c>
      <c r="F417" s="36" t="str">
        <f>IFERROR(VLOOKUP(C417,#REF!, 3, FALSE), "NO ENCONTRADO")</f>
        <v>NO ENCONTRADO</v>
      </c>
      <c r="G417" s="36" t="str">
        <f>IFERROR(VLOOKUP(C417,#REF!, 4, FALSE), "NO ENCONTRADO")</f>
        <v>NO ENCONTRADO</v>
      </c>
      <c r="H417" s="36" t="str">
        <f>IFERROR(VLOOKUP(C417,#REF!, 5, FALSE), "NO ENCONTRADO")</f>
        <v>NO ENCONTRADO</v>
      </c>
      <c r="I417" s="15"/>
      <c r="J417" s="36"/>
      <c r="K417" s="42"/>
      <c r="L417" s="15"/>
      <c r="M417" s="39">
        <f t="shared" ca="1" si="0"/>
        <v>46026</v>
      </c>
      <c r="N417" s="40" t="str">
        <f t="shared" ca="1" si="1"/>
        <v>✅</v>
      </c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spans="1:28" ht="13" x14ac:dyDescent="0.15">
      <c r="A418" s="24">
        <f>'Scan to Sheets'!A418</f>
        <v>0</v>
      </c>
      <c r="B418" s="26">
        <f>'Scan to Sheets'!B418</f>
        <v>0</v>
      </c>
      <c r="C418" s="26">
        <f>'Scan to Sheets'!C418</f>
        <v>0</v>
      </c>
      <c r="D418" s="26">
        <f>'Scan to Sheets'!D418</f>
        <v>0</v>
      </c>
      <c r="E418" s="27" t="str">
        <f>IFERROR(VLOOKUP(C418,#REF!, 2, FALSE), "NO ENCONTRADO")</f>
        <v>NO ENCONTRADO</v>
      </c>
      <c r="F418" s="27" t="str">
        <f>IFERROR(VLOOKUP(C418,#REF!, 3, FALSE), "NO ENCONTRADO")</f>
        <v>NO ENCONTRADO</v>
      </c>
      <c r="G418" s="27" t="str">
        <f>IFERROR(VLOOKUP(C418,#REF!, 4, FALSE), "NO ENCONTRADO")</f>
        <v>NO ENCONTRADO</v>
      </c>
      <c r="H418" s="27" t="str">
        <f>IFERROR(VLOOKUP(C418,#REF!, 5, FALSE), "NO ENCONTRADO")</f>
        <v>NO ENCONTRADO</v>
      </c>
      <c r="I418" s="14"/>
      <c r="J418" s="27"/>
      <c r="K418" s="41"/>
      <c r="L418" s="14"/>
      <c r="M418" s="30">
        <f t="shared" ca="1" si="0"/>
        <v>46026</v>
      </c>
      <c r="N418" s="31" t="str">
        <f t="shared" ca="1" si="1"/>
        <v>✅</v>
      </c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spans="1:28" ht="13" x14ac:dyDescent="0.15">
      <c r="A419" s="33">
        <f>'Scan to Sheets'!A419</f>
        <v>0</v>
      </c>
      <c r="B419" s="35">
        <f>'Scan to Sheets'!B419</f>
        <v>0</v>
      </c>
      <c r="C419" s="35">
        <f>'Scan to Sheets'!C419</f>
        <v>0</v>
      </c>
      <c r="D419" s="35">
        <f>'Scan to Sheets'!D419</f>
        <v>0</v>
      </c>
      <c r="E419" s="36" t="str">
        <f>IFERROR(VLOOKUP(C419,#REF!, 2, FALSE), "NO ENCONTRADO")</f>
        <v>NO ENCONTRADO</v>
      </c>
      <c r="F419" s="36" t="str">
        <f>IFERROR(VLOOKUP(C419,#REF!, 3, FALSE), "NO ENCONTRADO")</f>
        <v>NO ENCONTRADO</v>
      </c>
      <c r="G419" s="36" t="str">
        <f>IFERROR(VLOOKUP(C419,#REF!, 4, FALSE), "NO ENCONTRADO")</f>
        <v>NO ENCONTRADO</v>
      </c>
      <c r="H419" s="36" t="str">
        <f>IFERROR(VLOOKUP(C419,#REF!, 5, FALSE), "NO ENCONTRADO")</f>
        <v>NO ENCONTRADO</v>
      </c>
      <c r="I419" s="15"/>
      <c r="J419" s="36"/>
      <c r="K419" s="42"/>
      <c r="L419" s="15"/>
      <c r="M419" s="39">
        <f t="shared" ca="1" si="0"/>
        <v>46026</v>
      </c>
      <c r="N419" s="40" t="str">
        <f t="shared" ca="1" si="1"/>
        <v>✅</v>
      </c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spans="1:28" ht="13" x14ac:dyDescent="0.15">
      <c r="A420" s="24">
        <f>'Scan to Sheets'!A420</f>
        <v>0</v>
      </c>
      <c r="B420" s="26">
        <f>'Scan to Sheets'!B420</f>
        <v>0</v>
      </c>
      <c r="C420" s="26">
        <f>'Scan to Sheets'!C420</f>
        <v>0</v>
      </c>
      <c r="D420" s="26">
        <f>'Scan to Sheets'!D420</f>
        <v>0</v>
      </c>
      <c r="E420" s="27" t="str">
        <f>IFERROR(VLOOKUP(C420,#REF!, 2, FALSE), "NO ENCONTRADO")</f>
        <v>NO ENCONTRADO</v>
      </c>
      <c r="F420" s="27" t="str">
        <f>IFERROR(VLOOKUP(C420,#REF!, 3, FALSE), "NO ENCONTRADO")</f>
        <v>NO ENCONTRADO</v>
      </c>
      <c r="G420" s="27" t="str">
        <f>IFERROR(VLOOKUP(C420,#REF!, 4, FALSE), "NO ENCONTRADO")</f>
        <v>NO ENCONTRADO</v>
      </c>
      <c r="H420" s="27" t="str">
        <f>IFERROR(VLOOKUP(C420,#REF!, 5, FALSE), "NO ENCONTRADO")</f>
        <v>NO ENCONTRADO</v>
      </c>
      <c r="I420" s="14"/>
      <c r="J420" s="27"/>
      <c r="K420" s="41"/>
      <c r="L420" s="14"/>
      <c r="M420" s="30">
        <f t="shared" ca="1" si="0"/>
        <v>46026</v>
      </c>
      <c r="N420" s="31" t="str">
        <f t="shared" ca="1" si="1"/>
        <v>✅</v>
      </c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spans="1:28" ht="13" x14ac:dyDescent="0.15">
      <c r="A421" s="33">
        <f>'Scan to Sheets'!A421</f>
        <v>0</v>
      </c>
      <c r="B421" s="35">
        <f>'Scan to Sheets'!B421</f>
        <v>0</v>
      </c>
      <c r="C421" s="35">
        <f>'Scan to Sheets'!C421</f>
        <v>0</v>
      </c>
      <c r="D421" s="35">
        <f>'Scan to Sheets'!D421</f>
        <v>0</v>
      </c>
      <c r="E421" s="36" t="str">
        <f>IFERROR(VLOOKUP(C421,#REF!, 2, FALSE), "NO ENCONTRADO")</f>
        <v>NO ENCONTRADO</v>
      </c>
      <c r="F421" s="36" t="str">
        <f>IFERROR(VLOOKUP(C421,#REF!, 3, FALSE), "NO ENCONTRADO")</f>
        <v>NO ENCONTRADO</v>
      </c>
      <c r="G421" s="36" t="str">
        <f>IFERROR(VLOOKUP(C421,#REF!, 4, FALSE), "NO ENCONTRADO")</f>
        <v>NO ENCONTRADO</v>
      </c>
      <c r="H421" s="36" t="str">
        <f>IFERROR(VLOOKUP(C421,#REF!, 5, FALSE), "NO ENCONTRADO")</f>
        <v>NO ENCONTRADO</v>
      </c>
      <c r="I421" s="15"/>
      <c r="J421" s="36"/>
      <c r="K421" s="42"/>
      <c r="L421" s="15"/>
      <c r="M421" s="39">
        <f t="shared" ca="1" si="0"/>
        <v>46026</v>
      </c>
      <c r="N421" s="40" t="str">
        <f t="shared" ca="1" si="1"/>
        <v>✅</v>
      </c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spans="1:28" ht="13" x14ac:dyDescent="0.15">
      <c r="A422" s="24">
        <f>'Scan to Sheets'!A422</f>
        <v>0</v>
      </c>
      <c r="B422" s="26">
        <f>'Scan to Sheets'!B422</f>
        <v>0</v>
      </c>
      <c r="C422" s="26">
        <f>'Scan to Sheets'!C422</f>
        <v>0</v>
      </c>
      <c r="D422" s="26">
        <f>'Scan to Sheets'!D422</f>
        <v>0</v>
      </c>
      <c r="E422" s="27" t="str">
        <f>IFERROR(VLOOKUP(C422,#REF!, 2, FALSE), "NO ENCONTRADO")</f>
        <v>NO ENCONTRADO</v>
      </c>
      <c r="F422" s="27" t="str">
        <f>IFERROR(VLOOKUP(C422,#REF!, 3, FALSE), "NO ENCONTRADO")</f>
        <v>NO ENCONTRADO</v>
      </c>
      <c r="G422" s="27" t="str">
        <f>IFERROR(VLOOKUP(C422,#REF!, 4, FALSE), "NO ENCONTRADO")</f>
        <v>NO ENCONTRADO</v>
      </c>
      <c r="H422" s="27" t="str">
        <f>IFERROR(VLOOKUP(C422,#REF!, 5, FALSE), "NO ENCONTRADO")</f>
        <v>NO ENCONTRADO</v>
      </c>
      <c r="I422" s="14"/>
      <c r="J422" s="27"/>
      <c r="K422" s="41"/>
      <c r="L422" s="14"/>
      <c r="M422" s="30">
        <f t="shared" ca="1" si="0"/>
        <v>46026</v>
      </c>
      <c r="N422" s="31" t="str">
        <f t="shared" ca="1" si="1"/>
        <v>✅</v>
      </c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spans="1:28" ht="13" x14ac:dyDescent="0.15">
      <c r="A423" s="33">
        <f>'Scan to Sheets'!A423</f>
        <v>0</v>
      </c>
      <c r="B423" s="35">
        <f>'Scan to Sheets'!B423</f>
        <v>0</v>
      </c>
      <c r="C423" s="35">
        <f>'Scan to Sheets'!C423</f>
        <v>0</v>
      </c>
      <c r="D423" s="35">
        <f>'Scan to Sheets'!D423</f>
        <v>0</v>
      </c>
      <c r="E423" s="36" t="str">
        <f>IFERROR(VLOOKUP(C423,#REF!, 2, FALSE), "NO ENCONTRADO")</f>
        <v>NO ENCONTRADO</v>
      </c>
      <c r="F423" s="36" t="str">
        <f>IFERROR(VLOOKUP(C423,#REF!, 3, FALSE), "NO ENCONTRADO")</f>
        <v>NO ENCONTRADO</v>
      </c>
      <c r="G423" s="36" t="str">
        <f>IFERROR(VLOOKUP(C423,#REF!, 4, FALSE), "NO ENCONTRADO")</f>
        <v>NO ENCONTRADO</v>
      </c>
      <c r="H423" s="36" t="str">
        <f>IFERROR(VLOOKUP(C423,#REF!, 5, FALSE), "NO ENCONTRADO")</f>
        <v>NO ENCONTRADO</v>
      </c>
      <c r="I423" s="15"/>
      <c r="J423" s="36"/>
      <c r="K423" s="42"/>
      <c r="L423" s="15"/>
      <c r="M423" s="39">
        <f t="shared" ca="1" si="0"/>
        <v>46026</v>
      </c>
      <c r="N423" s="40" t="str">
        <f t="shared" ca="1" si="1"/>
        <v>✅</v>
      </c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spans="1:28" ht="13" x14ac:dyDescent="0.15">
      <c r="A424" s="24">
        <f>'Scan to Sheets'!A424</f>
        <v>0</v>
      </c>
      <c r="B424" s="26">
        <f>'Scan to Sheets'!B424</f>
        <v>0</v>
      </c>
      <c r="C424" s="26">
        <f>'Scan to Sheets'!C424</f>
        <v>0</v>
      </c>
      <c r="D424" s="26">
        <f>'Scan to Sheets'!D424</f>
        <v>0</v>
      </c>
      <c r="E424" s="27" t="str">
        <f>IFERROR(VLOOKUP(C424,#REF!, 2, FALSE), "NO ENCONTRADO")</f>
        <v>NO ENCONTRADO</v>
      </c>
      <c r="F424" s="27" t="str">
        <f>IFERROR(VLOOKUP(C424,#REF!, 3, FALSE), "NO ENCONTRADO")</f>
        <v>NO ENCONTRADO</v>
      </c>
      <c r="G424" s="27" t="str">
        <f>IFERROR(VLOOKUP(C424,#REF!, 4, FALSE), "NO ENCONTRADO")</f>
        <v>NO ENCONTRADO</v>
      </c>
      <c r="H424" s="27" t="str">
        <f>IFERROR(VLOOKUP(C424,#REF!, 5, FALSE), "NO ENCONTRADO")</f>
        <v>NO ENCONTRADO</v>
      </c>
      <c r="I424" s="14"/>
      <c r="J424" s="27"/>
      <c r="K424" s="41"/>
      <c r="L424" s="14"/>
      <c r="M424" s="30">
        <f t="shared" ca="1" si="0"/>
        <v>46026</v>
      </c>
      <c r="N424" s="31" t="str">
        <f t="shared" ca="1" si="1"/>
        <v>✅</v>
      </c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 spans="1:28" ht="13" x14ac:dyDescent="0.15">
      <c r="A425" s="33">
        <f>'Scan to Sheets'!A425</f>
        <v>0</v>
      </c>
      <c r="B425" s="35">
        <f>'Scan to Sheets'!B425</f>
        <v>0</v>
      </c>
      <c r="C425" s="35">
        <f>'Scan to Sheets'!C425</f>
        <v>0</v>
      </c>
      <c r="D425" s="35">
        <f>'Scan to Sheets'!D425</f>
        <v>0</v>
      </c>
      <c r="E425" s="36" t="str">
        <f>IFERROR(VLOOKUP(C425,#REF!, 2, FALSE), "NO ENCONTRADO")</f>
        <v>NO ENCONTRADO</v>
      </c>
      <c r="F425" s="36" t="str">
        <f>IFERROR(VLOOKUP(C425,#REF!, 3, FALSE), "NO ENCONTRADO")</f>
        <v>NO ENCONTRADO</v>
      </c>
      <c r="G425" s="36" t="str">
        <f>IFERROR(VLOOKUP(C425,#REF!, 4, FALSE), "NO ENCONTRADO")</f>
        <v>NO ENCONTRADO</v>
      </c>
      <c r="H425" s="36" t="str">
        <f>IFERROR(VLOOKUP(C425,#REF!, 5, FALSE), "NO ENCONTRADO")</f>
        <v>NO ENCONTRADO</v>
      </c>
      <c r="I425" s="15"/>
      <c r="J425" s="36"/>
      <c r="K425" s="42"/>
      <c r="L425" s="15"/>
      <c r="M425" s="39">
        <f t="shared" ca="1" si="0"/>
        <v>46026</v>
      </c>
      <c r="N425" s="40" t="str">
        <f t="shared" ca="1" si="1"/>
        <v>✅</v>
      </c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 spans="1:28" ht="13" x14ac:dyDescent="0.15">
      <c r="A426" s="24">
        <f>'Scan to Sheets'!A426</f>
        <v>0</v>
      </c>
      <c r="B426" s="26">
        <f>'Scan to Sheets'!B426</f>
        <v>0</v>
      </c>
      <c r="C426" s="26">
        <f>'Scan to Sheets'!C426</f>
        <v>0</v>
      </c>
      <c r="D426" s="26">
        <f>'Scan to Sheets'!D426</f>
        <v>0</v>
      </c>
      <c r="E426" s="27" t="str">
        <f>IFERROR(VLOOKUP(C426,#REF!, 2, FALSE), "NO ENCONTRADO")</f>
        <v>NO ENCONTRADO</v>
      </c>
      <c r="F426" s="27" t="str">
        <f>IFERROR(VLOOKUP(C426,#REF!, 3, FALSE), "NO ENCONTRADO")</f>
        <v>NO ENCONTRADO</v>
      </c>
      <c r="G426" s="27" t="str">
        <f>IFERROR(VLOOKUP(C426,#REF!, 4, FALSE), "NO ENCONTRADO")</f>
        <v>NO ENCONTRADO</v>
      </c>
      <c r="H426" s="27" t="str">
        <f>IFERROR(VLOOKUP(C426,#REF!, 5, FALSE), "NO ENCONTRADO")</f>
        <v>NO ENCONTRADO</v>
      </c>
      <c r="I426" s="14"/>
      <c r="J426" s="27"/>
      <c r="K426" s="41"/>
      <c r="L426" s="14"/>
      <c r="M426" s="30">
        <f t="shared" ca="1" si="0"/>
        <v>46026</v>
      </c>
      <c r="N426" s="31" t="str">
        <f t="shared" ca="1" si="1"/>
        <v>✅</v>
      </c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 spans="1:28" ht="13" x14ac:dyDescent="0.15">
      <c r="A427" s="33">
        <f>'Scan to Sheets'!A427</f>
        <v>0</v>
      </c>
      <c r="B427" s="35">
        <f>'Scan to Sheets'!B427</f>
        <v>0</v>
      </c>
      <c r="C427" s="35">
        <f>'Scan to Sheets'!C427</f>
        <v>0</v>
      </c>
      <c r="D427" s="35">
        <f>'Scan to Sheets'!D427</f>
        <v>0</v>
      </c>
      <c r="E427" s="36" t="str">
        <f>IFERROR(VLOOKUP(C427,#REF!, 2, FALSE), "NO ENCONTRADO")</f>
        <v>NO ENCONTRADO</v>
      </c>
      <c r="F427" s="36" t="str">
        <f>IFERROR(VLOOKUP(C427,#REF!, 3, FALSE), "NO ENCONTRADO")</f>
        <v>NO ENCONTRADO</v>
      </c>
      <c r="G427" s="36" t="str">
        <f>IFERROR(VLOOKUP(C427,#REF!, 4, FALSE), "NO ENCONTRADO")</f>
        <v>NO ENCONTRADO</v>
      </c>
      <c r="H427" s="36" t="str">
        <f>IFERROR(VLOOKUP(C427,#REF!, 5, FALSE), "NO ENCONTRADO")</f>
        <v>NO ENCONTRADO</v>
      </c>
      <c r="I427" s="15"/>
      <c r="J427" s="36"/>
      <c r="K427" s="42"/>
      <c r="L427" s="15"/>
      <c r="M427" s="39">
        <f t="shared" ca="1" si="0"/>
        <v>46026</v>
      </c>
      <c r="N427" s="40" t="str">
        <f t="shared" ca="1" si="1"/>
        <v>✅</v>
      </c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 spans="1:28" ht="13" x14ac:dyDescent="0.15">
      <c r="A428" s="24">
        <f>'Scan to Sheets'!A428</f>
        <v>0</v>
      </c>
      <c r="B428" s="26">
        <f>'Scan to Sheets'!B428</f>
        <v>0</v>
      </c>
      <c r="C428" s="26">
        <f>'Scan to Sheets'!C428</f>
        <v>0</v>
      </c>
      <c r="D428" s="26">
        <f>'Scan to Sheets'!D428</f>
        <v>0</v>
      </c>
      <c r="E428" s="27" t="str">
        <f>IFERROR(VLOOKUP(C428,#REF!, 2, FALSE), "NO ENCONTRADO")</f>
        <v>NO ENCONTRADO</v>
      </c>
      <c r="F428" s="27" t="str">
        <f>IFERROR(VLOOKUP(C428,#REF!, 3, FALSE), "NO ENCONTRADO")</f>
        <v>NO ENCONTRADO</v>
      </c>
      <c r="G428" s="27" t="str">
        <f>IFERROR(VLOOKUP(C428,#REF!, 4, FALSE), "NO ENCONTRADO")</f>
        <v>NO ENCONTRADO</v>
      </c>
      <c r="H428" s="27" t="str">
        <f>IFERROR(VLOOKUP(C428,#REF!, 5, FALSE), "NO ENCONTRADO")</f>
        <v>NO ENCONTRADO</v>
      </c>
      <c r="I428" s="14"/>
      <c r="J428" s="27"/>
      <c r="K428" s="41"/>
      <c r="L428" s="14"/>
      <c r="M428" s="30">
        <f t="shared" ca="1" si="0"/>
        <v>46026</v>
      </c>
      <c r="N428" s="31" t="str">
        <f t="shared" ca="1" si="1"/>
        <v>✅</v>
      </c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 spans="1:28" ht="13" x14ac:dyDescent="0.15">
      <c r="A429" s="33">
        <f>'Scan to Sheets'!A429</f>
        <v>0</v>
      </c>
      <c r="B429" s="35">
        <f>'Scan to Sheets'!B429</f>
        <v>0</v>
      </c>
      <c r="C429" s="35">
        <f>'Scan to Sheets'!C429</f>
        <v>0</v>
      </c>
      <c r="D429" s="35">
        <f>'Scan to Sheets'!D429</f>
        <v>0</v>
      </c>
      <c r="E429" s="36" t="str">
        <f>IFERROR(VLOOKUP(C429,#REF!, 2, FALSE), "NO ENCONTRADO")</f>
        <v>NO ENCONTRADO</v>
      </c>
      <c r="F429" s="36" t="str">
        <f>IFERROR(VLOOKUP(C429,#REF!, 3, FALSE), "NO ENCONTRADO")</f>
        <v>NO ENCONTRADO</v>
      </c>
      <c r="G429" s="36" t="str">
        <f>IFERROR(VLOOKUP(C429,#REF!, 4, FALSE), "NO ENCONTRADO")</f>
        <v>NO ENCONTRADO</v>
      </c>
      <c r="H429" s="36" t="str">
        <f>IFERROR(VLOOKUP(C429,#REF!, 5, FALSE), "NO ENCONTRADO")</f>
        <v>NO ENCONTRADO</v>
      </c>
      <c r="I429" s="15"/>
      <c r="J429" s="36"/>
      <c r="K429" s="42"/>
      <c r="L429" s="15"/>
      <c r="M429" s="39">
        <f t="shared" ca="1" si="0"/>
        <v>46026</v>
      </c>
      <c r="N429" s="40" t="str">
        <f t="shared" ca="1" si="1"/>
        <v>✅</v>
      </c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 spans="1:28" ht="13" x14ac:dyDescent="0.15">
      <c r="A430" s="24">
        <f>'Scan to Sheets'!A430</f>
        <v>0</v>
      </c>
      <c r="B430" s="26">
        <f>'Scan to Sheets'!B430</f>
        <v>0</v>
      </c>
      <c r="C430" s="26">
        <f>'Scan to Sheets'!C430</f>
        <v>0</v>
      </c>
      <c r="D430" s="26">
        <f>'Scan to Sheets'!D430</f>
        <v>0</v>
      </c>
      <c r="E430" s="27" t="str">
        <f>IFERROR(VLOOKUP(C430,#REF!, 2, FALSE), "NO ENCONTRADO")</f>
        <v>NO ENCONTRADO</v>
      </c>
      <c r="F430" s="27" t="str">
        <f>IFERROR(VLOOKUP(C430,#REF!, 3, FALSE), "NO ENCONTRADO")</f>
        <v>NO ENCONTRADO</v>
      </c>
      <c r="G430" s="27" t="str">
        <f>IFERROR(VLOOKUP(C430,#REF!, 4, FALSE), "NO ENCONTRADO")</f>
        <v>NO ENCONTRADO</v>
      </c>
      <c r="H430" s="27" t="str">
        <f>IFERROR(VLOOKUP(C430,#REF!, 5, FALSE), "NO ENCONTRADO")</f>
        <v>NO ENCONTRADO</v>
      </c>
      <c r="I430" s="14"/>
      <c r="J430" s="27"/>
      <c r="K430" s="41"/>
      <c r="L430" s="14"/>
      <c r="M430" s="30">
        <f t="shared" ca="1" si="0"/>
        <v>46026</v>
      </c>
      <c r="N430" s="31" t="str">
        <f t="shared" ca="1" si="1"/>
        <v>✅</v>
      </c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 spans="1:28" ht="13" x14ac:dyDescent="0.15">
      <c r="A431" s="33">
        <f>'Scan to Sheets'!A431</f>
        <v>0</v>
      </c>
      <c r="B431" s="35">
        <f>'Scan to Sheets'!B431</f>
        <v>0</v>
      </c>
      <c r="C431" s="35">
        <f>'Scan to Sheets'!C431</f>
        <v>0</v>
      </c>
      <c r="D431" s="35">
        <f>'Scan to Sheets'!D431</f>
        <v>0</v>
      </c>
      <c r="E431" s="36" t="str">
        <f>IFERROR(VLOOKUP(C431,#REF!, 2, FALSE), "NO ENCONTRADO")</f>
        <v>NO ENCONTRADO</v>
      </c>
      <c r="F431" s="36" t="str">
        <f>IFERROR(VLOOKUP(C431,#REF!, 3, FALSE), "NO ENCONTRADO")</f>
        <v>NO ENCONTRADO</v>
      </c>
      <c r="G431" s="36" t="str">
        <f>IFERROR(VLOOKUP(C431,#REF!, 4, FALSE), "NO ENCONTRADO")</f>
        <v>NO ENCONTRADO</v>
      </c>
      <c r="H431" s="36" t="str">
        <f>IFERROR(VLOOKUP(C431,#REF!, 5, FALSE), "NO ENCONTRADO")</f>
        <v>NO ENCONTRADO</v>
      </c>
      <c r="I431" s="15"/>
      <c r="J431" s="36"/>
      <c r="K431" s="42"/>
      <c r="L431" s="15"/>
      <c r="M431" s="39">
        <f t="shared" ca="1" si="0"/>
        <v>46026</v>
      </c>
      <c r="N431" s="40" t="str">
        <f t="shared" ca="1" si="1"/>
        <v>✅</v>
      </c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 spans="1:28" ht="13" x14ac:dyDescent="0.15">
      <c r="A432" s="24">
        <f>'Scan to Sheets'!A432</f>
        <v>0</v>
      </c>
      <c r="B432" s="26">
        <f>'Scan to Sheets'!B432</f>
        <v>0</v>
      </c>
      <c r="C432" s="26">
        <f>'Scan to Sheets'!C432</f>
        <v>0</v>
      </c>
      <c r="D432" s="26">
        <f>'Scan to Sheets'!D432</f>
        <v>0</v>
      </c>
      <c r="E432" s="27" t="str">
        <f>IFERROR(VLOOKUP(C432,#REF!, 2, FALSE), "NO ENCONTRADO")</f>
        <v>NO ENCONTRADO</v>
      </c>
      <c r="F432" s="27" t="str">
        <f>IFERROR(VLOOKUP(C432,#REF!, 3, FALSE), "NO ENCONTRADO")</f>
        <v>NO ENCONTRADO</v>
      </c>
      <c r="G432" s="27" t="str">
        <f>IFERROR(VLOOKUP(C432,#REF!, 4, FALSE), "NO ENCONTRADO")</f>
        <v>NO ENCONTRADO</v>
      </c>
      <c r="H432" s="27" t="str">
        <f>IFERROR(VLOOKUP(C432,#REF!, 5, FALSE), "NO ENCONTRADO")</f>
        <v>NO ENCONTRADO</v>
      </c>
      <c r="I432" s="14"/>
      <c r="J432" s="27"/>
      <c r="K432" s="41"/>
      <c r="L432" s="14"/>
      <c r="M432" s="30">
        <f t="shared" ca="1" si="0"/>
        <v>46026</v>
      </c>
      <c r="N432" s="31" t="str">
        <f t="shared" ca="1" si="1"/>
        <v>✅</v>
      </c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 spans="1:28" ht="13" x14ac:dyDescent="0.15">
      <c r="A433" s="33">
        <f>'Scan to Sheets'!A433</f>
        <v>0</v>
      </c>
      <c r="B433" s="35">
        <f>'Scan to Sheets'!B433</f>
        <v>0</v>
      </c>
      <c r="C433" s="35">
        <f>'Scan to Sheets'!C433</f>
        <v>0</v>
      </c>
      <c r="D433" s="35">
        <f>'Scan to Sheets'!D433</f>
        <v>0</v>
      </c>
      <c r="E433" s="36" t="str">
        <f>IFERROR(VLOOKUP(C433,#REF!, 2, FALSE), "NO ENCONTRADO")</f>
        <v>NO ENCONTRADO</v>
      </c>
      <c r="F433" s="36" t="str">
        <f>IFERROR(VLOOKUP(C433,#REF!, 3, FALSE), "NO ENCONTRADO")</f>
        <v>NO ENCONTRADO</v>
      </c>
      <c r="G433" s="36" t="str">
        <f>IFERROR(VLOOKUP(C433,#REF!, 4, FALSE), "NO ENCONTRADO")</f>
        <v>NO ENCONTRADO</v>
      </c>
      <c r="H433" s="36" t="str">
        <f>IFERROR(VLOOKUP(C433,#REF!, 5, FALSE), "NO ENCONTRADO")</f>
        <v>NO ENCONTRADO</v>
      </c>
      <c r="I433" s="15"/>
      <c r="J433" s="36"/>
      <c r="K433" s="42"/>
      <c r="L433" s="15"/>
      <c r="M433" s="39">
        <f t="shared" ca="1" si="0"/>
        <v>46026</v>
      </c>
      <c r="N433" s="40" t="str">
        <f t="shared" ca="1" si="1"/>
        <v>✅</v>
      </c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 spans="1:28" ht="13" x14ac:dyDescent="0.15">
      <c r="A434" s="24">
        <f>'Scan to Sheets'!A434</f>
        <v>0</v>
      </c>
      <c r="B434" s="26">
        <f>'Scan to Sheets'!B434</f>
        <v>0</v>
      </c>
      <c r="C434" s="26">
        <f>'Scan to Sheets'!C434</f>
        <v>0</v>
      </c>
      <c r="D434" s="26">
        <f>'Scan to Sheets'!D434</f>
        <v>0</v>
      </c>
      <c r="E434" s="27" t="str">
        <f>IFERROR(VLOOKUP(C434,#REF!, 2, FALSE), "NO ENCONTRADO")</f>
        <v>NO ENCONTRADO</v>
      </c>
      <c r="F434" s="27" t="str">
        <f>IFERROR(VLOOKUP(C434,#REF!, 3, FALSE), "NO ENCONTRADO")</f>
        <v>NO ENCONTRADO</v>
      </c>
      <c r="G434" s="27" t="str">
        <f>IFERROR(VLOOKUP(C434,#REF!, 4, FALSE), "NO ENCONTRADO")</f>
        <v>NO ENCONTRADO</v>
      </c>
      <c r="H434" s="27" t="str">
        <f>IFERROR(VLOOKUP(C434,#REF!, 5, FALSE), "NO ENCONTRADO")</f>
        <v>NO ENCONTRADO</v>
      </c>
      <c r="I434" s="14"/>
      <c r="J434" s="27"/>
      <c r="K434" s="41"/>
      <c r="L434" s="14"/>
      <c r="M434" s="30">
        <f t="shared" ca="1" si="0"/>
        <v>46026</v>
      </c>
      <c r="N434" s="31" t="str">
        <f t="shared" ca="1" si="1"/>
        <v>✅</v>
      </c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 spans="1:28" ht="13" x14ac:dyDescent="0.15">
      <c r="A435" s="33">
        <f>'Scan to Sheets'!A435</f>
        <v>0</v>
      </c>
      <c r="B435" s="35">
        <f>'Scan to Sheets'!B435</f>
        <v>0</v>
      </c>
      <c r="C435" s="35">
        <f>'Scan to Sheets'!C435</f>
        <v>0</v>
      </c>
      <c r="D435" s="35">
        <f>'Scan to Sheets'!D435</f>
        <v>0</v>
      </c>
      <c r="E435" s="36" t="str">
        <f>IFERROR(VLOOKUP(C435,#REF!, 2, FALSE), "NO ENCONTRADO")</f>
        <v>NO ENCONTRADO</v>
      </c>
      <c r="F435" s="36" t="str">
        <f>IFERROR(VLOOKUP(C435,#REF!, 3, FALSE), "NO ENCONTRADO")</f>
        <v>NO ENCONTRADO</v>
      </c>
      <c r="G435" s="36" t="str">
        <f>IFERROR(VLOOKUP(C435,#REF!, 4, FALSE), "NO ENCONTRADO")</f>
        <v>NO ENCONTRADO</v>
      </c>
      <c r="H435" s="36" t="str">
        <f>IFERROR(VLOOKUP(C435,#REF!, 5, FALSE), "NO ENCONTRADO")</f>
        <v>NO ENCONTRADO</v>
      </c>
      <c r="I435" s="15"/>
      <c r="J435" s="36"/>
      <c r="K435" s="42"/>
      <c r="L435" s="15"/>
      <c r="M435" s="39">
        <f t="shared" ca="1" si="0"/>
        <v>46026</v>
      </c>
      <c r="N435" s="40" t="str">
        <f t="shared" ca="1" si="1"/>
        <v>✅</v>
      </c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spans="1:28" ht="13" x14ac:dyDescent="0.15">
      <c r="A436" s="24">
        <f>'Scan to Sheets'!A436</f>
        <v>0</v>
      </c>
      <c r="B436" s="26">
        <f>'Scan to Sheets'!B436</f>
        <v>0</v>
      </c>
      <c r="C436" s="26">
        <f>'Scan to Sheets'!C436</f>
        <v>0</v>
      </c>
      <c r="D436" s="26">
        <f>'Scan to Sheets'!D436</f>
        <v>0</v>
      </c>
      <c r="E436" s="27" t="str">
        <f>IFERROR(VLOOKUP(C436,#REF!, 2, FALSE), "NO ENCONTRADO")</f>
        <v>NO ENCONTRADO</v>
      </c>
      <c r="F436" s="27" t="str">
        <f>IFERROR(VLOOKUP(C436,#REF!, 3, FALSE), "NO ENCONTRADO")</f>
        <v>NO ENCONTRADO</v>
      </c>
      <c r="G436" s="27" t="str">
        <f>IFERROR(VLOOKUP(C436,#REF!, 4, FALSE), "NO ENCONTRADO")</f>
        <v>NO ENCONTRADO</v>
      </c>
      <c r="H436" s="27" t="str">
        <f>IFERROR(VLOOKUP(C436,#REF!, 5, FALSE), "NO ENCONTRADO")</f>
        <v>NO ENCONTRADO</v>
      </c>
      <c r="I436" s="14"/>
      <c r="J436" s="27"/>
      <c r="K436" s="41"/>
      <c r="L436" s="14"/>
      <c r="M436" s="30">
        <f t="shared" ca="1" si="0"/>
        <v>46026</v>
      </c>
      <c r="N436" s="31" t="str">
        <f t="shared" ca="1" si="1"/>
        <v>✅</v>
      </c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spans="1:28" ht="13" x14ac:dyDescent="0.15">
      <c r="A437" s="33">
        <f>'Scan to Sheets'!A437</f>
        <v>0</v>
      </c>
      <c r="B437" s="35">
        <f>'Scan to Sheets'!B437</f>
        <v>0</v>
      </c>
      <c r="C437" s="35">
        <f>'Scan to Sheets'!C437</f>
        <v>0</v>
      </c>
      <c r="D437" s="35">
        <f>'Scan to Sheets'!D437</f>
        <v>0</v>
      </c>
      <c r="E437" s="36" t="str">
        <f>IFERROR(VLOOKUP(C437,#REF!, 2, FALSE), "NO ENCONTRADO")</f>
        <v>NO ENCONTRADO</v>
      </c>
      <c r="F437" s="36" t="str">
        <f>IFERROR(VLOOKUP(C437,#REF!, 3, FALSE), "NO ENCONTRADO")</f>
        <v>NO ENCONTRADO</v>
      </c>
      <c r="G437" s="36" t="str">
        <f>IFERROR(VLOOKUP(C437,#REF!, 4, FALSE), "NO ENCONTRADO")</f>
        <v>NO ENCONTRADO</v>
      </c>
      <c r="H437" s="36" t="str">
        <f>IFERROR(VLOOKUP(C437,#REF!, 5, FALSE), "NO ENCONTRADO")</f>
        <v>NO ENCONTRADO</v>
      </c>
      <c r="I437" s="15"/>
      <c r="J437" s="36"/>
      <c r="K437" s="42"/>
      <c r="L437" s="15"/>
      <c r="M437" s="39">
        <f t="shared" ca="1" si="0"/>
        <v>46026</v>
      </c>
      <c r="N437" s="40" t="str">
        <f t="shared" ca="1" si="1"/>
        <v>✅</v>
      </c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spans="1:28" ht="13" x14ac:dyDescent="0.15">
      <c r="A438" s="24">
        <f>'Scan to Sheets'!A438</f>
        <v>0</v>
      </c>
      <c r="B438" s="26">
        <f>'Scan to Sheets'!B438</f>
        <v>0</v>
      </c>
      <c r="C438" s="26">
        <f>'Scan to Sheets'!C438</f>
        <v>0</v>
      </c>
      <c r="D438" s="26">
        <f>'Scan to Sheets'!D438</f>
        <v>0</v>
      </c>
      <c r="E438" s="27" t="str">
        <f>IFERROR(VLOOKUP(C438,#REF!, 2, FALSE), "NO ENCONTRADO")</f>
        <v>NO ENCONTRADO</v>
      </c>
      <c r="F438" s="27" t="str">
        <f>IFERROR(VLOOKUP(C438,#REF!, 3, FALSE), "NO ENCONTRADO")</f>
        <v>NO ENCONTRADO</v>
      </c>
      <c r="G438" s="27" t="str">
        <f>IFERROR(VLOOKUP(C438,#REF!, 4, FALSE), "NO ENCONTRADO")</f>
        <v>NO ENCONTRADO</v>
      </c>
      <c r="H438" s="27" t="str">
        <f>IFERROR(VLOOKUP(C438,#REF!, 5, FALSE), "NO ENCONTRADO")</f>
        <v>NO ENCONTRADO</v>
      </c>
      <c r="I438" s="14"/>
      <c r="J438" s="27"/>
      <c r="K438" s="41"/>
      <c r="L438" s="14"/>
      <c r="M438" s="30">
        <f t="shared" ca="1" si="0"/>
        <v>46026</v>
      </c>
      <c r="N438" s="31" t="str">
        <f t="shared" ca="1" si="1"/>
        <v>✅</v>
      </c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spans="1:28" ht="13" x14ac:dyDescent="0.15">
      <c r="A439" s="33">
        <f>'Scan to Sheets'!A439</f>
        <v>0</v>
      </c>
      <c r="B439" s="35">
        <f>'Scan to Sheets'!B439</f>
        <v>0</v>
      </c>
      <c r="C439" s="35">
        <f>'Scan to Sheets'!C439</f>
        <v>0</v>
      </c>
      <c r="D439" s="35">
        <f>'Scan to Sheets'!D439</f>
        <v>0</v>
      </c>
      <c r="E439" s="36" t="str">
        <f>IFERROR(VLOOKUP(C439,#REF!, 2, FALSE), "NO ENCONTRADO")</f>
        <v>NO ENCONTRADO</v>
      </c>
      <c r="F439" s="36" t="str">
        <f>IFERROR(VLOOKUP(C439,#REF!, 3, FALSE), "NO ENCONTRADO")</f>
        <v>NO ENCONTRADO</v>
      </c>
      <c r="G439" s="36" t="str">
        <f>IFERROR(VLOOKUP(C439,#REF!, 4, FALSE), "NO ENCONTRADO")</f>
        <v>NO ENCONTRADO</v>
      </c>
      <c r="H439" s="36" t="str">
        <f>IFERROR(VLOOKUP(C439,#REF!, 5, FALSE), "NO ENCONTRADO")</f>
        <v>NO ENCONTRADO</v>
      </c>
      <c r="I439" s="15"/>
      <c r="J439" s="36"/>
      <c r="K439" s="42"/>
      <c r="L439" s="15"/>
      <c r="M439" s="39">
        <f t="shared" ca="1" si="0"/>
        <v>46026</v>
      </c>
      <c r="N439" s="40" t="str">
        <f t="shared" ca="1" si="1"/>
        <v>✅</v>
      </c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spans="1:28" ht="13" x14ac:dyDescent="0.15">
      <c r="A440" s="24">
        <f>'Scan to Sheets'!A440</f>
        <v>0</v>
      </c>
      <c r="B440" s="26">
        <f>'Scan to Sheets'!B440</f>
        <v>0</v>
      </c>
      <c r="C440" s="26">
        <f>'Scan to Sheets'!C440</f>
        <v>0</v>
      </c>
      <c r="D440" s="26">
        <f>'Scan to Sheets'!D440</f>
        <v>0</v>
      </c>
      <c r="E440" s="27" t="str">
        <f>IFERROR(VLOOKUP(C440,#REF!, 2, FALSE), "NO ENCONTRADO")</f>
        <v>NO ENCONTRADO</v>
      </c>
      <c r="F440" s="27" t="str">
        <f>IFERROR(VLOOKUP(C440,#REF!, 3, FALSE), "NO ENCONTRADO")</f>
        <v>NO ENCONTRADO</v>
      </c>
      <c r="G440" s="27" t="str">
        <f>IFERROR(VLOOKUP(C440,#REF!, 4, FALSE), "NO ENCONTRADO")</f>
        <v>NO ENCONTRADO</v>
      </c>
      <c r="H440" s="27" t="str">
        <f>IFERROR(VLOOKUP(C440,#REF!, 5, FALSE), "NO ENCONTRADO")</f>
        <v>NO ENCONTRADO</v>
      </c>
      <c r="I440" s="14"/>
      <c r="J440" s="27"/>
      <c r="K440" s="41"/>
      <c r="L440" s="14"/>
      <c r="M440" s="30">
        <f t="shared" ca="1" si="0"/>
        <v>46026</v>
      </c>
      <c r="N440" s="31" t="str">
        <f t="shared" ca="1" si="1"/>
        <v>✅</v>
      </c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spans="1:28" ht="13" x14ac:dyDescent="0.15">
      <c r="A441" s="33">
        <f>'Scan to Sheets'!A441</f>
        <v>0</v>
      </c>
      <c r="B441" s="35">
        <f>'Scan to Sheets'!B441</f>
        <v>0</v>
      </c>
      <c r="C441" s="35">
        <f>'Scan to Sheets'!C441</f>
        <v>0</v>
      </c>
      <c r="D441" s="35">
        <f>'Scan to Sheets'!D441</f>
        <v>0</v>
      </c>
      <c r="E441" s="36" t="str">
        <f>IFERROR(VLOOKUP(C441,#REF!, 2, FALSE), "NO ENCONTRADO")</f>
        <v>NO ENCONTRADO</v>
      </c>
      <c r="F441" s="36" t="str">
        <f>IFERROR(VLOOKUP(C441,#REF!, 3, FALSE), "NO ENCONTRADO")</f>
        <v>NO ENCONTRADO</v>
      </c>
      <c r="G441" s="36" t="str">
        <f>IFERROR(VLOOKUP(C441,#REF!, 4, FALSE), "NO ENCONTRADO")</f>
        <v>NO ENCONTRADO</v>
      </c>
      <c r="H441" s="36" t="str">
        <f>IFERROR(VLOOKUP(C441,#REF!, 5, FALSE), "NO ENCONTRADO")</f>
        <v>NO ENCONTRADO</v>
      </c>
      <c r="I441" s="15"/>
      <c r="J441" s="36"/>
      <c r="K441" s="42"/>
      <c r="L441" s="15"/>
      <c r="M441" s="39">
        <f t="shared" ca="1" si="0"/>
        <v>46026</v>
      </c>
      <c r="N441" s="40" t="str">
        <f t="shared" ca="1" si="1"/>
        <v>✅</v>
      </c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spans="1:28" ht="13" x14ac:dyDescent="0.15">
      <c r="A442" s="24">
        <f>'Scan to Sheets'!A442</f>
        <v>0</v>
      </c>
      <c r="B442" s="26">
        <f>'Scan to Sheets'!B442</f>
        <v>0</v>
      </c>
      <c r="C442" s="26">
        <f>'Scan to Sheets'!C442</f>
        <v>0</v>
      </c>
      <c r="D442" s="26">
        <f>'Scan to Sheets'!D442</f>
        <v>0</v>
      </c>
      <c r="E442" s="27" t="str">
        <f>IFERROR(VLOOKUP(C442,#REF!, 2, FALSE), "NO ENCONTRADO")</f>
        <v>NO ENCONTRADO</v>
      </c>
      <c r="F442" s="27" t="str">
        <f>IFERROR(VLOOKUP(C442,#REF!, 3, FALSE), "NO ENCONTRADO")</f>
        <v>NO ENCONTRADO</v>
      </c>
      <c r="G442" s="27" t="str">
        <f>IFERROR(VLOOKUP(C442,#REF!, 4, FALSE), "NO ENCONTRADO")</f>
        <v>NO ENCONTRADO</v>
      </c>
      <c r="H442" s="27" t="str">
        <f>IFERROR(VLOOKUP(C442,#REF!, 5, FALSE), "NO ENCONTRADO")</f>
        <v>NO ENCONTRADO</v>
      </c>
      <c r="I442" s="14"/>
      <c r="J442" s="27"/>
      <c r="K442" s="41"/>
      <c r="L442" s="14"/>
      <c r="M442" s="30">
        <f t="shared" ca="1" si="0"/>
        <v>46026</v>
      </c>
      <c r="N442" s="31" t="str">
        <f t="shared" ca="1" si="1"/>
        <v>✅</v>
      </c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spans="1:28" ht="13" x14ac:dyDescent="0.15">
      <c r="A443" s="33">
        <f>'Scan to Sheets'!A443</f>
        <v>0</v>
      </c>
      <c r="B443" s="35">
        <f>'Scan to Sheets'!B443</f>
        <v>0</v>
      </c>
      <c r="C443" s="35">
        <f>'Scan to Sheets'!C443</f>
        <v>0</v>
      </c>
      <c r="D443" s="35">
        <f>'Scan to Sheets'!D443</f>
        <v>0</v>
      </c>
      <c r="E443" s="36" t="str">
        <f>IFERROR(VLOOKUP(C443,#REF!, 2, FALSE), "NO ENCONTRADO")</f>
        <v>NO ENCONTRADO</v>
      </c>
      <c r="F443" s="36" t="str">
        <f>IFERROR(VLOOKUP(C443,#REF!, 3, FALSE), "NO ENCONTRADO")</f>
        <v>NO ENCONTRADO</v>
      </c>
      <c r="G443" s="36" t="str">
        <f>IFERROR(VLOOKUP(C443,#REF!, 4, FALSE), "NO ENCONTRADO")</f>
        <v>NO ENCONTRADO</v>
      </c>
      <c r="H443" s="36" t="str">
        <f>IFERROR(VLOOKUP(C443,#REF!, 5, FALSE), "NO ENCONTRADO")</f>
        <v>NO ENCONTRADO</v>
      </c>
      <c r="I443" s="15"/>
      <c r="J443" s="36"/>
      <c r="K443" s="42"/>
      <c r="L443" s="15"/>
      <c r="M443" s="39">
        <f t="shared" ca="1" si="0"/>
        <v>46026</v>
      </c>
      <c r="N443" s="40" t="str">
        <f t="shared" ca="1" si="1"/>
        <v>✅</v>
      </c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spans="1:28" ht="13" x14ac:dyDescent="0.15">
      <c r="A444" s="24">
        <f>'Scan to Sheets'!A444</f>
        <v>0</v>
      </c>
      <c r="B444" s="26">
        <f>'Scan to Sheets'!B444</f>
        <v>0</v>
      </c>
      <c r="C444" s="26">
        <f>'Scan to Sheets'!C444</f>
        <v>0</v>
      </c>
      <c r="D444" s="26">
        <f>'Scan to Sheets'!D444</f>
        <v>0</v>
      </c>
      <c r="E444" s="27" t="str">
        <f>IFERROR(VLOOKUP(C444,#REF!, 2, FALSE), "NO ENCONTRADO")</f>
        <v>NO ENCONTRADO</v>
      </c>
      <c r="F444" s="27" t="str">
        <f>IFERROR(VLOOKUP(C444,#REF!, 3, FALSE), "NO ENCONTRADO")</f>
        <v>NO ENCONTRADO</v>
      </c>
      <c r="G444" s="27" t="str">
        <f>IFERROR(VLOOKUP(C444,#REF!, 4, FALSE), "NO ENCONTRADO")</f>
        <v>NO ENCONTRADO</v>
      </c>
      <c r="H444" s="27" t="str">
        <f>IFERROR(VLOOKUP(C444,#REF!, 5, FALSE), "NO ENCONTRADO")</f>
        <v>NO ENCONTRADO</v>
      </c>
      <c r="I444" s="14"/>
      <c r="J444" s="27"/>
      <c r="K444" s="41"/>
      <c r="L444" s="14"/>
      <c r="M444" s="30">
        <f t="shared" ca="1" si="0"/>
        <v>46026</v>
      </c>
      <c r="N444" s="31" t="str">
        <f t="shared" ca="1" si="1"/>
        <v>✅</v>
      </c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spans="1:28" ht="13" x14ac:dyDescent="0.15">
      <c r="A445" s="33">
        <f>'Scan to Sheets'!A445</f>
        <v>0</v>
      </c>
      <c r="B445" s="35">
        <f>'Scan to Sheets'!B445</f>
        <v>0</v>
      </c>
      <c r="C445" s="35">
        <f>'Scan to Sheets'!C445</f>
        <v>0</v>
      </c>
      <c r="D445" s="35">
        <f>'Scan to Sheets'!D445</f>
        <v>0</v>
      </c>
      <c r="E445" s="36" t="str">
        <f>IFERROR(VLOOKUP(C445,#REF!, 2, FALSE), "NO ENCONTRADO")</f>
        <v>NO ENCONTRADO</v>
      </c>
      <c r="F445" s="36" t="str">
        <f>IFERROR(VLOOKUP(C445,#REF!, 3, FALSE), "NO ENCONTRADO")</f>
        <v>NO ENCONTRADO</v>
      </c>
      <c r="G445" s="36" t="str">
        <f>IFERROR(VLOOKUP(C445,#REF!, 4, FALSE), "NO ENCONTRADO")</f>
        <v>NO ENCONTRADO</v>
      </c>
      <c r="H445" s="36" t="str">
        <f>IFERROR(VLOOKUP(C445,#REF!, 5, FALSE), "NO ENCONTRADO")</f>
        <v>NO ENCONTRADO</v>
      </c>
      <c r="I445" s="15"/>
      <c r="J445" s="36"/>
      <c r="K445" s="42"/>
      <c r="L445" s="15"/>
      <c r="M445" s="39">
        <f t="shared" ca="1" si="0"/>
        <v>46026</v>
      </c>
      <c r="N445" s="40" t="str">
        <f t="shared" ca="1" si="1"/>
        <v>✅</v>
      </c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spans="1:28" ht="13" x14ac:dyDescent="0.15">
      <c r="A446" s="24">
        <f>'Scan to Sheets'!A446</f>
        <v>0</v>
      </c>
      <c r="B446" s="26">
        <f>'Scan to Sheets'!B446</f>
        <v>0</v>
      </c>
      <c r="C446" s="26">
        <f>'Scan to Sheets'!C446</f>
        <v>0</v>
      </c>
      <c r="D446" s="26">
        <f>'Scan to Sheets'!D446</f>
        <v>0</v>
      </c>
      <c r="E446" s="27" t="str">
        <f>IFERROR(VLOOKUP(C446,#REF!, 2, FALSE), "NO ENCONTRADO")</f>
        <v>NO ENCONTRADO</v>
      </c>
      <c r="F446" s="27" t="str">
        <f>IFERROR(VLOOKUP(C446,#REF!, 3, FALSE), "NO ENCONTRADO")</f>
        <v>NO ENCONTRADO</v>
      </c>
      <c r="G446" s="27" t="str">
        <f>IFERROR(VLOOKUP(C446,#REF!, 4, FALSE), "NO ENCONTRADO")</f>
        <v>NO ENCONTRADO</v>
      </c>
      <c r="H446" s="27" t="str">
        <f>IFERROR(VLOOKUP(C446,#REF!, 5, FALSE), "NO ENCONTRADO")</f>
        <v>NO ENCONTRADO</v>
      </c>
      <c r="I446" s="14"/>
      <c r="J446" s="27"/>
      <c r="K446" s="41"/>
      <c r="L446" s="14"/>
      <c r="M446" s="30">
        <f t="shared" ca="1" si="0"/>
        <v>46026</v>
      </c>
      <c r="N446" s="31" t="str">
        <f t="shared" ca="1" si="1"/>
        <v>✅</v>
      </c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spans="1:28" ht="13" x14ac:dyDescent="0.15">
      <c r="A447" s="33">
        <f>'Scan to Sheets'!A447</f>
        <v>0</v>
      </c>
      <c r="B447" s="35">
        <f>'Scan to Sheets'!B447</f>
        <v>0</v>
      </c>
      <c r="C447" s="35">
        <f>'Scan to Sheets'!C447</f>
        <v>0</v>
      </c>
      <c r="D447" s="35">
        <f>'Scan to Sheets'!D447</f>
        <v>0</v>
      </c>
      <c r="E447" s="36" t="str">
        <f>IFERROR(VLOOKUP(C447,#REF!, 2, FALSE), "NO ENCONTRADO")</f>
        <v>NO ENCONTRADO</v>
      </c>
      <c r="F447" s="36" t="str">
        <f>IFERROR(VLOOKUP(C447,#REF!, 3, FALSE), "NO ENCONTRADO")</f>
        <v>NO ENCONTRADO</v>
      </c>
      <c r="G447" s="36" t="str">
        <f>IFERROR(VLOOKUP(C447,#REF!, 4, FALSE), "NO ENCONTRADO")</f>
        <v>NO ENCONTRADO</v>
      </c>
      <c r="H447" s="36" t="str">
        <f>IFERROR(VLOOKUP(C447,#REF!, 5, FALSE), "NO ENCONTRADO")</f>
        <v>NO ENCONTRADO</v>
      </c>
      <c r="I447" s="15"/>
      <c r="J447" s="36"/>
      <c r="K447" s="42"/>
      <c r="L447" s="15"/>
      <c r="M447" s="39">
        <f t="shared" ca="1" si="0"/>
        <v>46026</v>
      </c>
      <c r="N447" s="40" t="str">
        <f t="shared" ca="1" si="1"/>
        <v>✅</v>
      </c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spans="1:28" ht="13" x14ac:dyDescent="0.15">
      <c r="A448" s="24">
        <f>'Scan to Sheets'!A448</f>
        <v>0</v>
      </c>
      <c r="B448" s="26">
        <f>'Scan to Sheets'!B448</f>
        <v>0</v>
      </c>
      <c r="C448" s="26">
        <f>'Scan to Sheets'!C448</f>
        <v>0</v>
      </c>
      <c r="D448" s="26">
        <f>'Scan to Sheets'!D448</f>
        <v>0</v>
      </c>
      <c r="E448" s="27" t="str">
        <f>IFERROR(VLOOKUP(C448,#REF!, 2, FALSE), "NO ENCONTRADO")</f>
        <v>NO ENCONTRADO</v>
      </c>
      <c r="F448" s="27" t="str">
        <f>IFERROR(VLOOKUP(C448,#REF!, 3, FALSE), "NO ENCONTRADO")</f>
        <v>NO ENCONTRADO</v>
      </c>
      <c r="G448" s="27" t="str">
        <f>IFERROR(VLOOKUP(C448,#REF!, 4, FALSE), "NO ENCONTRADO")</f>
        <v>NO ENCONTRADO</v>
      </c>
      <c r="H448" s="27" t="str">
        <f>IFERROR(VLOOKUP(C448,#REF!, 5, FALSE), "NO ENCONTRADO")</f>
        <v>NO ENCONTRADO</v>
      </c>
      <c r="I448" s="14"/>
      <c r="J448" s="27"/>
      <c r="K448" s="41"/>
      <c r="L448" s="14"/>
      <c r="M448" s="30">
        <f t="shared" ca="1" si="0"/>
        <v>46026</v>
      </c>
      <c r="N448" s="31" t="str">
        <f t="shared" ca="1" si="1"/>
        <v>✅</v>
      </c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 spans="1:28" ht="13" x14ac:dyDescent="0.15">
      <c r="A449" s="33">
        <f>'Scan to Sheets'!A449</f>
        <v>0</v>
      </c>
      <c r="B449" s="35">
        <f>'Scan to Sheets'!B449</f>
        <v>0</v>
      </c>
      <c r="C449" s="35">
        <f>'Scan to Sheets'!C449</f>
        <v>0</v>
      </c>
      <c r="D449" s="35">
        <f>'Scan to Sheets'!D449</f>
        <v>0</v>
      </c>
      <c r="E449" s="36" t="str">
        <f>IFERROR(VLOOKUP(C449,#REF!, 2, FALSE), "NO ENCONTRADO")</f>
        <v>NO ENCONTRADO</v>
      </c>
      <c r="F449" s="36" t="str">
        <f>IFERROR(VLOOKUP(C449,#REF!, 3, FALSE), "NO ENCONTRADO")</f>
        <v>NO ENCONTRADO</v>
      </c>
      <c r="G449" s="36" t="str">
        <f>IFERROR(VLOOKUP(C449,#REF!, 4, FALSE), "NO ENCONTRADO")</f>
        <v>NO ENCONTRADO</v>
      </c>
      <c r="H449" s="36" t="str">
        <f>IFERROR(VLOOKUP(C449,#REF!, 5, FALSE), "NO ENCONTRADO")</f>
        <v>NO ENCONTRADO</v>
      </c>
      <c r="I449" s="15"/>
      <c r="J449" s="36"/>
      <c r="K449" s="42"/>
      <c r="L449" s="15"/>
      <c r="M449" s="39">
        <f t="shared" ca="1" si="0"/>
        <v>46026</v>
      </c>
      <c r="N449" s="40" t="str">
        <f t="shared" ca="1" si="1"/>
        <v>✅</v>
      </c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 spans="1:28" ht="13" x14ac:dyDescent="0.15">
      <c r="A450" s="24">
        <f>'Scan to Sheets'!A450</f>
        <v>0</v>
      </c>
      <c r="B450" s="26">
        <f>'Scan to Sheets'!B450</f>
        <v>0</v>
      </c>
      <c r="C450" s="26">
        <f>'Scan to Sheets'!C450</f>
        <v>0</v>
      </c>
      <c r="D450" s="26">
        <f>'Scan to Sheets'!D450</f>
        <v>0</v>
      </c>
      <c r="E450" s="27" t="str">
        <f>IFERROR(VLOOKUP(C450,#REF!, 2, FALSE), "NO ENCONTRADO")</f>
        <v>NO ENCONTRADO</v>
      </c>
      <c r="F450" s="27" t="str">
        <f>IFERROR(VLOOKUP(C450,#REF!, 3, FALSE), "NO ENCONTRADO")</f>
        <v>NO ENCONTRADO</v>
      </c>
      <c r="G450" s="27" t="str">
        <f>IFERROR(VLOOKUP(C450,#REF!, 4, FALSE), "NO ENCONTRADO")</f>
        <v>NO ENCONTRADO</v>
      </c>
      <c r="H450" s="27" t="str">
        <f>IFERROR(VLOOKUP(C450,#REF!, 5, FALSE), "NO ENCONTRADO")</f>
        <v>NO ENCONTRADO</v>
      </c>
      <c r="I450" s="14"/>
      <c r="J450" s="27"/>
      <c r="K450" s="41"/>
      <c r="L450" s="14"/>
      <c r="M450" s="30">
        <f t="shared" ca="1" si="0"/>
        <v>46026</v>
      </c>
      <c r="N450" s="31" t="str">
        <f t="shared" ca="1" si="1"/>
        <v>✅</v>
      </c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 spans="1:28" ht="13" x14ac:dyDescent="0.15">
      <c r="A451" s="33">
        <f>'Scan to Sheets'!A451</f>
        <v>0</v>
      </c>
      <c r="B451" s="35">
        <f>'Scan to Sheets'!B451</f>
        <v>0</v>
      </c>
      <c r="C451" s="35">
        <f>'Scan to Sheets'!C451</f>
        <v>0</v>
      </c>
      <c r="D451" s="35">
        <f>'Scan to Sheets'!D451</f>
        <v>0</v>
      </c>
      <c r="E451" s="36" t="str">
        <f>IFERROR(VLOOKUP(C451,#REF!, 2, FALSE), "NO ENCONTRADO")</f>
        <v>NO ENCONTRADO</v>
      </c>
      <c r="F451" s="36" t="str">
        <f>IFERROR(VLOOKUP(C451,#REF!, 3, FALSE), "NO ENCONTRADO")</f>
        <v>NO ENCONTRADO</v>
      </c>
      <c r="G451" s="36" t="str">
        <f>IFERROR(VLOOKUP(C451,#REF!, 4, FALSE), "NO ENCONTRADO")</f>
        <v>NO ENCONTRADO</v>
      </c>
      <c r="H451" s="36" t="str">
        <f>IFERROR(VLOOKUP(C451,#REF!, 5, FALSE), "NO ENCONTRADO")</f>
        <v>NO ENCONTRADO</v>
      </c>
      <c r="I451" s="15"/>
      <c r="J451" s="36"/>
      <c r="K451" s="42"/>
      <c r="L451" s="15"/>
      <c r="M451" s="39">
        <f t="shared" ca="1" si="0"/>
        <v>46026</v>
      </c>
      <c r="N451" s="40" t="str">
        <f t="shared" ca="1" si="1"/>
        <v>✅</v>
      </c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 spans="1:28" ht="13" x14ac:dyDescent="0.15">
      <c r="A452" s="24">
        <f>'Scan to Sheets'!A452</f>
        <v>0</v>
      </c>
      <c r="B452" s="26">
        <f>'Scan to Sheets'!B452</f>
        <v>0</v>
      </c>
      <c r="C452" s="26">
        <f>'Scan to Sheets'!C452</f>
        <v>0</v>
      </c>
      <c r="D452" s="26">
        <f>'Scan to Sheets'!D452</f>
        <v>0</v>
      </c>
      <c r="E452" s="27" t="str">
        <f>IFERROR(VLOOKUP(C452,#REF!, 2, FALSE), "NO ENCONTRADO")</f>
        <v>NO ENCONTRADO</v>
      </c>
      <c r="F452" s="27" t="str">
        <f>IFERROR(VLOOKUP(C452,#REF!, 3, FALSE), "NO ENCONTRADO")</f>
        <v>NO ENCONTRADO</v>
      </c>
      <c r="G452" s="27" t="str">
        <f>IFERROR(VLOOKUP(C452,#REF!, 4, FALSE), "NO ENCONTRADO")</f>
        <v>NO ENCONTRADO</v>
      </c>
      <c r="H452" s="27" t="str">
        <f>IFERROR(VLOOKUP(C452,#REF!, 5, FALSE), "NO ENCONTRADO")</f>
        <v>NO ENCONTRADO</v>
      </c>
      <c r="I452" s="14"/>
      <c r="J452" s="27"/>
      <c r="K452" s="41"/>
      <c r="L452" s="14"/>
      <c r="M452" s="30">
        <f t="shared" ca="1" si="0"/>
        <v>46026</v>
      </c>
      <c r="N452" s="31" t="str">
        <f t="shared" ca="1" si="1"/>
        <v>✅</v>
      </c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 spans="1:28" ht="13" x14ac:dyDescent="0.15">
      <c r="A453" s="33">
        <f>'Scan to Sheets'!A453</f>
        <v>0</v>
      </c>
      <c r="B453" s="35">
        <f>'Scan to Sheets'!B453</f>
        <v>0</v>
      </c>
      <c r="C453" s="35">
        <f>'Scan to Sheets'!C453</f>
        <v>0</v>
      </c>
      <c r="D453" s="35">
        <f>'Scan to Sheets'!D453</f>
        <v>0</v>
      </c>
      <c r="E453" s="36" t="str">
        <f>IFERROR(VLOOKUP(C453,#REF!, 2, FALSE), "NO ENCONTRADO")</f>
        <v>NO ENCONTRADO</v>
      </c>
      <c r="F453" s="36" t="str">
        <f>IFERROR(VLOOKUP(C453,#REF!, 3, FALSE), "NO ENCONTRADO")</f>
        <v>NO ENCONTRADO</v>
      </c>
      <c r="G453" s="36" t="str">
        <f>IFERROR(VLOOKUP(C453,#REF!, 4, FALSE), "NO ENCONTRADO")</f>
        <v>NO ENCONTRADO</v>
      </c>
      <c r="H453" s="36" t="str">
        <f>IFERROR(VLOOKUP(C453,#REF!, 5, FALSE), "NO ENCONTRADO")</f>
        <v>NO ENCONTRADO</v>
      </c>
      <c r="I453" s="15"/>
      <c r="J453" s="36"/>
      <c r="K453" s="42"/>
      <c r="L453" s="15"/>
      <c r="M453" s="39">
        <f t="shared" ca="1" si="0"/>
        <v>46026</v>
      </c>
      <c r="N453" s="40" t="str">
        <f t="shared" ca="1" si="1"/>
        <v>✅</v>
      </c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 spans="1:28" ht="13" x14ac:dyDescent="0.15">
      <c r="A454" s="24">
        <f>'Scan to Sheets'!A454</f>
        <v>0</v>
      </c>
      <c r="B454" s="26">
        <f>'Scan to Sheets'!B454</f>
        <v>0</v>
      </c>
      <c r="C454" s="26">
        <f>'Scan to Sheets'!C454</f>
        <v>0</v>
      </c>
      <c r="D454" s="26">
        <f>'Scan to Sheets'!D454</f>
        <v>0</v>
      </c>
      <c r="E454" s="27" t="str">
        <f>IFERROR(VLOOKUP(C454,#REF!, 2, FALSE), "NO ENCONTRADO")</f>
        <v>NO ENCONTRADO</v>
      </c>
      <c r="F454" s="27" t="str">
        <f>IFERROR(VLOOKUP(C454,#REF!, 3, FALSE), "NO ENCONTRADO")</f>
        <v>NO ENCONTRADO</v>
      </c>
      <c r="G454" s="27" t="str">
        <f>IFERROR(VLOOKUP(C454,#REF!, 4, FALSE), "NO ENCONTRADO")</f>
        <v>NO ENCONTRADO</v>
      </c>
      <c r="H454" s="27" t="str">
        <f>IFERROR(VLOOKUP(C454,#REF!, 5, FALSE), "NO ENCONTRADO")</f>
        <v>NO ENCONTRADO</v>
      </c>
      <c r="I454" s="14"/>
      <c r="J454" s="27"/>
      <c r="K454" s="41"/>
      <c r="L454" s="14"/>
      <c r="M454" s="30">
        <f t="shared" ca="1" si="0"/>
        <v>46026</v>
      </c>
      <c r="N454" s="31" t="str">
        <f t="shared" ca="1" si="1"/>
        <v>✅</v>
      </c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 spans="1:28" ht="13" x14ac:dyDescent="0.15">
      <c r="A455" s="33">
        <f>'Scan to Sheets'!A455</f>
        <v>0</v>
      </c>
      <c r="B455" s="35">
        <f>'Scan to Sheets'!B455</f>
        <v>0</v>
      </c>
      <c r="C455" s="35">
        <f>'Scan to Sheets'!C455</f>
        <v>0</v>
      </c>
      <c r="D455" s="35">
        <f>'Scan to Sheets'!D455</f>
        <v>0</v>
      </c>
      <c r="E455" s="36" t="str">
        <f>IFERROR(VLOOKUP(C455,#REF!, 2, FALSE), "NO ENCONTRADO")</f>
        <v>NO ENCONTRADO</v>
      </c>
      <c r="F455" s="36" t="str">
        <f>IFERROR(VLOOKUP(C455,#REF!, 3, FALSE), "NO ENCONTRADO")</f>
        <v>NO ENCONTRADO</v>
      </c>
      <c r="G455" s="36" t="str">
        <f>IFERROR(VLOOKUP(C455,#REF!, 4, FALSE), "NO ENCONTRADO")</f>
        <v>NO ENCONTRADO</v>
      </c>
      <c r="H455" s="36" t="str">
        <f>IFERROR(VLOOKUP(C455,#REF!, 5, FALSE), "NO ENCONTRADO")</f>
        <v>NO ENCONTRADO</v>
      </c>
      <c r="I455" s="15"/>
      <c r="J455" s="36"/>
      <c r="K455" s="42"/>
      <c r="L455" s="15"/>
      <c r="M455" s="39">
        <f t="shared" ca="1" si="0"/>
        <v>46026</v>
      </c>
      <c r="N455" s="40" t="str">
        <f t="shared" ca="1" si="1"/>
        <v>✅</v>
      </c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 spans="1:28" ht="13" x14ac:dyDescent="0.15">
      <c r="A456" s="24">
        <f>'Scan to Sheets'!A456</f>
        <v>0</v>
      </c>
      <c r="B456" s="26">
        <f>'Scan to Sheets'!B456</f>
        <v>0</v>
      </c>
      <c r="C456" s="26">
        <f>'Scan to Sheets'!C456</f>
        <v>0</v>
      </c>
      <c r="D456" s="26">
        <f>'Scan to Sheets'!D456</f>
        <v>0</v>
      </c>
      <c r="E456" s="27" t="str">
        <f>IFERROR(VLOOKUP(C456,#REF!, 2, FALSE), "NO ENCONTRADO")</f>
        <v>NO ENCONTRADO</v>
      </c>
      <c r="F456" s="27" t="str">
        <f>IFERROR(VLOOKUP(C456,#REF!, 3, FALSE), "NO ENCONTRADO")</f>
        <v>NO ENCONTRADO</v>
      </c>
      <c r="G456" s="27" t="str">
        <f>IFERROR(VLOOKUP(C456,#REF!, 4, FALSE), "NO ENCONTRADO")</f>
        <v>NO ENCONTRADO</v>
      </c>
      <c r="H456" s="27" t="str">
        <f>IFERROR(VLOOKUP(C456,#REF!, 5, FALSE), "NO ENCONTRADO")</f>
        <v>NO ENCONTRADO</v>
      </c>
      <c r="I456" s="14"/>
      <c r="J456" s="27"/>
      <c r="K456" s="41"/>
      <c r="L456" s="14"/>
      <c r="M456" s="30">
        <f t="shared" ca="1" si="0"/>
        <v>46026</v>
      </c>
      <c r="N456" s="31" t="str">
        <f t="shared" ca="1" si="1"/>
        <v>✅</v>
      </c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 spans="1:28" ht="13" x14ac:dyDescent="0.15">
      <c r="A457" s="33">
        <f>'Scan to Sheets'!A457</f>
        <v>0</v>
      </c>
      <c r="B457" s="35">
        <f>'Scan to Sheets'!B457</f>
        <v>0</v>
      </c>
      <c r="C457" s="35">
        <f>'Scan to Sheets'!C457</f>
        <v>0</v>
      </c>
      <c r="D457" s="35">
        <f>'Scan to Sheets'!D457</f>
        <v>0</v>
      </c>
      <c r="E457" s="36" t="str">
        <f>IFERROR(VLOOKUP(C457,#REF!, 2, FALSE), "NO ENCONTRADO")</f>
        <v>NO ENCONTRADO</v>
      </c>
      <c r="F457" s="36" t="str">
        <f>IFERROR(VLOOKUP(C457,#REF!, 3, FALSE), "NO ENCONTRADO")</f>
        <v>NO ENCONTRADO</v>
      </c>
      <c r="G457" s="36" t="str">
        <f>IFERROR(VLOOKUP(C457,#REF!, 4, FALSE), "NO ENCONTRADO")</f>
        <v>NO ENCONTRADO</v>
      </c>
      <c r="H457" s="36" t="str">
        <f>IFERROR(VLOOKUP(C457,#REF!, 5, FALSE), "NO ENCONTRADO")</f>
        <v>NO ENCONTRADO</v>
      </c>
      <c r="I457" s="15"/>
      <c r="J457" s="36"/>
      <c r="K457" s="42"/>
      <c r="L457" s="15"/>
      <c r="M457" s="39">
        <f t="shared" ca="1" si="0"/>
        <v>46026</v>
      </c>
      <c r="N457" s="40" t="str">
        <f t="shared" ca="1" si="1"/>
        <v>✅</v>
      </c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 spans="1:28" ht="13" x14ac:dyDescent="0.15">
      <c r="A458" s="24">
        <f>'Scan to Sheets'!A458</f>
        <v>0</v>
      </c>
      <c r="B458" s="26">
        <f>'Scan to Sheets'!B458</f>
        <v>0</v>
      </c>
      <c r="C458" s="26">
        <f>'Scan to Sheets'!C458</f>
        <v>0</v>
      </c>
      <c r="D458" s="26">
        <f>'Scan to Sheets'!D458</f>
        <v>0</v>
      </c>
      <c r="E458" s="27" t="str">
        <f>IFERROR(VLOOKUP(C458,#REF!, 2, FALSE), "NO ENCONTRADO")</f>
        <v>NO ENCONTRADO</v>
      </c>
      <c r="F458" s="27" t="str">
        <f>IFERROR(VLOOKUP(C458,#REF!, 3, FALSE), "NO ENCONTRADO")</f>
        <v>NO ENCONTRADO</v>
      </c>
      <c r="G458" s="27" t="str">
        <f>IFERROR(VLOOKUP(C458,#REF!, 4, FALSE), "NO ENCONTRADO")</f>
        <v>NO ENCONTRADO</v>
      </c>
      <c r="H458" s="27" t="str">
        <f>IFERROR(VLOOKUP(C458,#REF!, 5, FALSE), "NO ENCONTRADO")</f>
        <v>NO ENCONTRADO</v>
      </c>
      <c r="I458" s="14"/>
      <c r="J458" s="27"/>
      <c r="K458" s="41"/>
      <c r="L458" s="14"/>
      <c r="M458" s="30">
        <f t="shared" ca="1" si="0"/>
        <v>46026</v>
      </c>
      <c r="N458" s="31" t="str">
        <f t="shared" ca="1" si="1"/>
        <v>✅</v>
      </c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 spans="1:28" ht="13" x14ac:dyDescent="0.15">
      <c r="A459" s="33">
        <f>'Scan to Sheets'!A459</f>
        <v>0</v>
      </c>
      <c r="B459" s="35">
        <f>'Scan to Sheets'!B459</f>
        <v>0</v>
      </c>
      <c r="C459" s="35">
        <f>'Scan to Sheets'!C459</f>
        <v>0</v>
      </c>
      <c r="D459" s="35">
        <f>'Scan to Sheets'!D459</f>
        <v>0</v>
      </c>
      <c r="E459" s="36" t="str">
        <f>IFERROR(VLOOKUP(C459,#REF!, 2, FALSE), "NO ENCONTRADO")</f>
        <v>NO ENCONTRADO</v>
      </c>
      <c r="F459" s="36" t="str">
        <f>IFERROR(VLOOKUP(C459,#REF!, 3, FALSE), "NO ENCONTRADO")</f>
        <v>NO ENCONTRADO</v>
      </c>
      <c r="G459" s="36" t="str">
        <f>IFERROR(VLOOKUP(C459,#REF!, 4, FALSE), "NO ENCONTRADO")</f>
        <v>NO ENCONTRADO</v>
      </c>
      <c r="H459" s="36" t="str">
        <f>IFERROR(VLOOKUP(C459,#REF!, 5, FALSE), "NO ENCONTRADO")</f>
        <v>NO ENCONTRADO</v>
      </c>
      <c r="I459" s="15"/>
      <c r="J459" s="36"/>
      <c r="K459" s="42"/>
      <c r="L459" s="15"/>
      <c r="M459" s="39">
        <f t="shared" ca="1" si="0"/>
        <v>46026</v>
      </c>
      <c r="N459" s="40" t="str">
        <f t="shared" ca="1" si="1"/>
        <v>✅</v>
      </c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spans="1:28" ht="13" x14ac:dyDescent="0.15">
      <c r="A460" s="24">
        <f>'Scan to Sheets'!A460</f>
        <v>0</v>
      </c>
      <c r="B460" s="26">
        <f>'Scan to Sheets'!B460</f>
        <v>0</v>
      </c>
      <c r="C460" s="26">
        <f>'Scan to Sheets'!C460</f>
        <v>0</v>
      </c>
      <c r="D460" s="26">
        <f>'Scan to Sheets'!D460</f>
        <v>0</v>
      </c>
      <c r="E460" s="27" t="str">
        <f>IFERROR(VLOOKUP(C460,#REF!, 2, FALSE), "NO ENCONTRADO")</f>
        <v>NO ENCONTRADO</v>
      </c>
      <c r="F460" s="27" t="str">
        <f>IFERROR(VLOOKUP(C460,#REF!, 3, FALSE), "NO ENCONTRADO")</f>
        <v>NO ENCONTRADO</v>
      </c>
      <c r="G460" s="27" t="str">
        <f>IFERROR(VLOOKUP(C460,#REF!, 4, FALSE), "NO ENCONTRADO")</f>
        <v>NO ENCONTRADO</v>
      </c>
      <c r="H460" s="27" t="str">
        <f>IFERROR(VLOOKUP(C460,#REF!, 5, FALSE), "NO ENCONTRADO")</f>
        <v>NO ENCONTRADO</v>
      </c>
      <c r="I460" s="14"/>
      <c r="J460" s="27"/>
      <c r="K460" s="41"/>
      <c r="L460" s="14"/>
      <c r="M460" s="30">
        <f t="shared" ca="1" si="0"/>
        <v>46026</v>
      </c>
      <c r="N460" s="31" t="str">
        <f t="shared" ca="1" si="1"/>
        <v>✅</v>
      </c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spans="1:28" ht="13" x14ac:dyDescent="0.15">
      <c r="A461" s="33">
        <f>'Scan to Sheets'!A461</f>
        <v>0</v>
      </c>
      <c r="B461" s="35">
        <f>'Scan to Sheets'!B461</f>
        <v>0</v>
      </c>
      <c r="C461" s="35">
        <f>'Scan to Sheets'!C461</f>
        <v>0</v>
      </c>
      <c r="D461" s="35">
        <f>'Scan to Sheets'!D461</f>
        <v>0</v>
      </c>
      <c r="E461" s="36" t="str">
        <f>IFERROR(VLOOKUP(C461,#REF!, 2, FALSE), "NO ENCONTRADO")</f>
        <v>NO ENCONTRADO</v>
      </c>
      <c r="F461" s="36" t="str">
        <f>IFERROR(VLOOKUP(C461,#REF!, 3, FALSE), "NO ENCONTRADO")</f>
        <v>NO ENCONTRADO</v>
      </c>
      <c r="G461" s="36" t="str">
        <f>IFERROR(VLOOKUP(C461,#REF!, 4, FALSE), "NO ENCONTRADO")</f>
        <v>NO ENCONTRADO</v>
      </c>
      <c r="H461" s="36" t="str">
        <f>IFERROR(VLOOKUP(C461,#REF!, 5, FALSE), "NO ENCONTRADO")</f>
        <v>NO ENCONTRADO</v>
      </c>
      <c r="I461" s="15"/>
      <c r="J461" s="36"/>
      <c r="K461" s="42"/>
      <c r="L461" s="15"/>
      <c r="M461" s="39">
        <f t="shared" ca="1" si="0"/>
        <v>46026</v>
      </c>
      <c r="N461" s="40" t="str">
        <f t="shared" ca="1" si="1"/>
        <v>✅</v>
      </c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spans="1:28" ht="13" x14ac:dyDescent="0.15">
      <c r="A462" s="24">
        <f>'Scan to Sheets'!A462</f>
        <v>0</v>
      </c>
      <c r="B462" s="26">
        <f>'Scan to Sheets'!B462</f>
        <v>0</v>
      </c>
      <c r="C462" s="26">
        <f>'Scan to Sheets'!C462</f>
        <v>0</v>
      </c>
      <c r="D462" s="26">
        <f>'Scan to Sheets'!D462</f>
        <v>0</v>
      </c>
      <c r="E462" s="27" t="str">
        <f>IFERROR(VLOOKUP(C462,#REF!, 2, FALSE), "NO ENCONTRADO")</f>
        <v>NO ENCONTRADO</v>
      </c>
      <c r="F462" s="27" t="str">
        <f>IFERROR(VLOOKUP(C462,#REF!, 3, FALSE), "NO ENCONTRADO")</f>
        <v>NO ENCONTRADO</v>
      </c>
      <c r="G462" s="27" t="str">
        <f>IFERROR(VLOOKUP(C462,#REF!, 4, FALSE), "NO ENCONTRADO")</f>
        <v>NO ENCONTRADO</v>
      </c>
      <c r="H462" s="27" t="str">
        <f>IFERROR(VLOOKUP(C462,#REF!, 5, FALSE), "NO ENCONTRADO")</f>
        <v>NO ENCONTRADO</v>
      </c>
      <c r="I462" s="14"/>
      <c r="J462" s="27"/>
      <c r="K462" s="41"/>
      <c r="L462" s="14"/>
      <c r="M462" s="30">
        <f t="shared" ca="1" si="0"/>
        <v>46026</v>
      </c>
      <c r="N462" s="31" t="str">
        <f t="shared" ca="1" si="1"/>
        <v>✅</v>
      </c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spans="1:28" ht="13" x14ac:dyDescent="0.15">
      <c r="A463" s="33">
        <f>'Scan to Sheets'!A463</f>
        <v>0</v>
      </c>
      <c r="B463" s="35">
        <f>'Scan to Sheets'!B463</f>
        <v>0</v>
      </c>
      <c r="C463" s="35">
        <f>'Scan to Sheets'!C463</f>
        <v>0</v>
      </c>
      <c r="D463" s="35">
        <f>'Scan to Sheets'!D463</f>
        <v>0</v>
      </c>
      <c r="E463" s="36" t="str">
        <f>IFERROR(VLOOKUP(C463,#REF!, 2, FALSE), "NO ENCONTRADO")</f>
        <v>NO ENCONTRADO</v>
      </c>
      <c r="F463" s="36" t="str">
        <f>IFERROR(VLOOKUP(C463,#REF!, 3, FALSE), "NO ENCONTRADO")</f>
        <v>NO ENCONTRADO</v>
      </c>
      <c r="G463" s="36" t="str">
        <f>IFERROR(VLOOKUP(C463,#REF!, 4, FALSE), "NO ENCONTRADO")</f>
        <v>NO ENCONTRADO</v>
      </c>
      <c r="H463" s="36" t="str">
        <f>IFERROR(VLOOKUP(C463,#REF!, 5, FALSE), "NO ENCONTRADO")</f>
        <v>NO ENCONTRADO</v>
      </c>
      <c r="I463" s="15"/>
      <c r="J463" s="36"/>
      <c r="K463" s="42"/>
      <c r="L463" s="15"/>
      <c r="M463" s="39">
        <f t="shared" ca="1" si="0"/>
        <v>46026</v>
      </c>
      <c r="N463" s="40" t="str">
        <f t="shared" ca="1" si="1"/>
        <v>✅</v>
      </c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spans="1:28" ht="13" x14ac:dyDescent="0.15">
      <c r="A464" s="24">
        <f>'Scan to Sheets'!A464</f>
        <v>0</v>
      </c>
      <c r="B464" s="26">
        <f>'Scan to Sheets'!B464</f>
        <v>0</v>
      </c>
      <c r="C464" s="26">
        <f>'Scan to Sheets'!C464</f>
        <v>0</v>
      </c>
      <c r="D464" s="26">
        <f>'Scan to Sheets'!D464</f>
        <v>0</v>
      </c>
      <c r="E464" s="27" t="str">
        <f>IFERROR(VLOOKUP(C464,#REF!, 2, FALSE), "NO ENCONTRADO")</f>
        <v>NO ENCONTRADO</v>
      </c>
      <c r="F464" s="27" t="str">
        <f>IFERROR(VLOOKUP(C464,#REF!, 3, FALSE), "NO ENCONTRADO")</f>
        <v>NO ENCONTRADO</v>
      </c>
      <c r="G464" s="27" t="str">
        <f>IFERROR(VLOOKUP(C464,#REF!, 4, FALSE), "NO ENCONTRADO")</f>
        <v>NO ENCONTRADO</v>
      </c>
      <c r="H464" s="27" t="str">
        <f>IFERROR(VLOOKUP(C464,#REF!, 5, FALSE), "NO ENCONTRADO")</f>
        <v>NO ENCONTRADO</v>
      </c>
      <c r="I464" s="14"/>
      <c r="J464" s="27"/>
      <c r="K464" s="41"/>
      <c r="L464" s="14"/>
      <c r="M464" s="30">
        <f t="shared" ca="1" si="0"/>
        <v>46026</v>
      </c>
      <c r="N464" s="31" t="str">
        <f t="shared" ca="1" si="1"/>
        <v>✅</v>
      </c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spans="1:28" ht="13" x14ac:dyDescent="0.15">
      <c r="A465" s="33">
        <f>'Scan to Sheets'!A465</f>
        <v>0</v>
      </c>
      <c r="B465" s="35">
        <f>'Scan to Sheets'!B465</f>
        <v>0</v>
      </c>
      <c r="C465" s="35">
        <f>'Scan to Sheets'!C465</f>
        <v>0</v>
      </c>
      <c r="D465" s="35">
        <f>'Scan to Sheets'!D465</f>
        <v>0</v>
      </c>
      <c r="E465" s="36" t="str">
        <f>IFERROR(VLOOKUP(C465,#REF!, 2, FALSE), "NO ENCONTRADO")</f>
        <v>NO ENCONTRADO</v>
      </c>
      <c r="F465" s="36" t="str">
        <f>IFERROR(VLOOKUP(C465,#REF!, 3, FALSE), "NO ENCONTRADO")</f>
        <v>NO ENCONTRADO</v>
      </c>
      <c r="G465" s="36" t="str">
        <f>IFERROR(VLOOKUP(C465,#REF!, 4, FALSE), "NO ENCONTRADO")</f>
        <v>NO ENCONTRADO</v>
      </c>
      <c r="H465" s="36" t="str">
        <f>IFERROR(VLOOKUP(C465,#REF!, 5, FALSE), "NO ENCONTRADO")</f>
        <v>NO ENCONTRADO</v>
      </c>
      <c r="I465" s="15"/>
      <c r="J465" s="36"/>
      <c r="K465" s="42"/>
      <c r="L465" s="15"/>
      <c r="M465" s="39">
        <f t="shared" ca="1" si="0"/>
        <v>46026</v>
      </c>
      <c r="N465" s="40" t="str">
        <f t="shared" ca="1" si="1"/>
        <v>✅</v>
      </c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spans="1:28" ht="13" x14ac:dyDescent="0.15">
      <c r="A466" s="24">
        <f>'Scan to Sheets'!A466</f>
        <v>0</v>
      </c>
      <c r="B466" s="26">
        <f>'Scan to Sheets'!B466</f>
        <v>0</v>
      </c>
      <c r="C466" s="26">
        <f>'Scan to Sheets'!C466</f>
        <v>0</v>
      </c>
      <c r="D466" s="26">
        <f>'Scan to Sheets'!D466</f>
        <v>0</v>
      </c>
      <c r="E466" s="27" t="str">
        <f>IFERROR(VLOOKUP(C466,#REF!, 2, FALSE), "NO ENCONTRADO")</f>
        <v>NO ENCONTRADO</v>
      </c>
      <c r="F466" s="27" t="str">
        <f>IFERROR(VLOOKUP(C466,#REF!, 3, FALSE), "NO ENCONTRADO")</f>
        <v>NO ENCONTRADO</v>
      </c>
      <c r="G466" s="27" t="str">
        <f>IFERROR(VLOOKUP(C466,#REF!, 4, FALSE), "NO ENCONTRADO")</f>
        <v>NO ENCONTRADO</v>
      </c>
      <c r="H466" s="27" t="str">
        <f>IFERROR(VLOOKUP(C466,#REF!, 5, FALSE), "NO ENCONTRADO")</f>
        <v>NO ENCONTRADO</v>
      </c>
      <c r="I466" s="14"/>
      <c r="J466" s="27"/>
      <c r="K466" s="41"/>
      <c r="L466" s="14"/>
      <c r="M466" s="30">
        <f t="shared" ca="1" si="0"/>
        <v>46026</v>
      </c>
      <c r="N466" s="31" t="str">
        <f t="shared" ca="1" si="1"/>
        <v>✅</v>
      </c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spans="1:28" ht="13" x14ac:dyDescent="0.15">
      <c r="A467" s="33">
        <f>'Scan to Sheets'!A467</f>
        <v>0</v>
      </c>
      <c r="B467" s="35">
        <f>'Scan to Sheets'!B467</f>
        <v>0</v>
      </c>
      <c r="C467" s="35">
        <f>'Scan to Sheets'!C467</f>
        <v>0</v>
      </c>
      <c r="D467" s="35">
        <f>'Scan to Sheets'!D467</f>
        <v>0</v>
      </c>
      <c r="E467" s="36" t="str">
        <f>IFERROR(VLOOKUP(C467,#REF!, 2, FALSE), "NO ENCONTRADO")</f>
        <v>NO ENCONTRADO</v>
      </c>
      <c r="F467" s="36" t="str">
        <f>IFERROR(VLOOKUP(C467,#REF!, 3, FALSE), "NO ENCONTRADO")</f>
        <v>NO ENCONTRADO</v>
      </c>
      <c r="G467" s="36" t="str">
        <f>IFERROR(VLOOKUP(C467,#REF!, 4, FALSE), "NO ENCONTRADO")</f>
        <v>NO ENCONTRADO</v>
      </c>
      <c r="H467" s="36" t="str">
        <f>IFERROR(VLOOKUP(C467,#REF!, 5, FALSE), "NO ENCONTRADO")</f>
        <v>NO ENCONTRADO</v>
      </c>
      <c r="I467" s="15"/>
      <c r="J467" s="36"/>
      <c r="K467" s="42"/>
      <c r="L467" s="15"/>
      <c r="M467" s="39">
        <f t="shared" ca="1" si="0"/>
        <v>46026</v>
      </c>
      <c r="N467" s="40" t="str">
        <f t="shared" ca="1" si="1"/>
        <v>✅</v>
      </c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spans="1:28" ht="13" x14ac:dyDescent="0.15">
      <c r="A468" s="24">
        <f>'Scan to Sheets'!A468</f>
        <v>0</v>
      </c>
      <c r="B468" s="26">
        <f>'Scan to Sheets'!B468</f>
        <v>0</v>
      </c>
      <c r="C468" s="26">
        <f>'Scan to Sheets'!C468</f>
        <v>0</v>
      </c>
      <c r="D468" s="26">
        <f>'Scan to Sheets'!D468</f>
        <v>0</v>
      </c>
      <c r="E468" s="27" t="str">
        <f>IFERROR(VLOOKUP(C468,#REF!, 2, FALSE), "NO ENCONTRADO")</f>
        <v>NO ENCONTRADO</v>
      </c>
      <c r="F468" s="27" t="str">
        <f>IFERROR(VLOOKUP(C468,#REF!, 3, FALSE), "NO ENCONTRADO")</f>
        <v>NO ENCONTRADO</v>
      </c>
      <c r="G468" s="27" t="str">
        <f>IFERROR(VLOOKUP(C468,#REF!, 4, FALSE), "NO ENCONTRADO")</f>
        <v>NO ENCONTRADO</v>
      </c>
      <c r="H468" s="27" t="str">
        <f>IFERROR(VLOOKUP(C468,#REF!, 5, FALSE), "NO ENCONTRADO")</f>
        <v>NO ENCONTRADO</v>
      </c>
      <c r="I468" s="14"/>
      <c r="J468" s="27"/>
      <c r="K468" s="41"/>
      <c r="L468" s="14"/>
      <c r="M468" s="30">
        <f t="shared" ca="1" si="0"/>
        <v>46026</v>
      </c>
      <c r="N468" s="31" t="str">
        <f t="shared" ca="1" si="1"/>
        <v>✅</v>
      </c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spans="1:28" ht="13" x14ac:dyDescent="0.15">
      <c r="A469" s="33">
        <f>'Scan to Sheets'!A469</f>
        <v>0</v>
      </c>
      <c r="B469" s="35">
        <f>'Scan to Sheets'!B469</f>
        <v>0</v>
      </c>
      <c r="C469" s="35">
        <f>'Scan to Sheets'!C469</f>
        <v>0</v>
      </c>
      <c r="D469" s="35">
        <f>'Scan to Sheets'!D469</f>
        <v>0</v>
      </c>
      <c r="E469" s="36" t="str">
        <f>IFERROR(VLOOKUP(C469,#REF!, 2, FALSE), "NO ENCONTRADO")</f>
        <v>NO ENCONTRADO</v>
      </c>
      <c r="F469" s="36" t="str">
        <f>IFERROR(VLOOKUP(C469,#REF!, 3, FALSE), "NO ENCONTRADO")</f>
        <v>NO ENCONTRADO</v>
      </c>
      <c r="G469" s="36" t="str">
        <f>IFERROR(VLOOKUP(C469,#REF!, 4, FALSE), "NO ENCONTRADO")</f>
        <v>NO ENCONTRADO</v>
      </c>
      <c r="H469" s="36" t="str">
        <f>IFERROR(VLOOKUP(C469,#REF!, 5, FALSE), "NO ENCONTRADO")</f>
        <v>NO ENCONTRADO</v>
      </c>
      <c r="I469" s="15"/>
      <c r="J469" s="36"/>
      <c r="K469" s="42"/>
      <c r="L469" s="15"/>
      <c r="M469" s="39">
        <f t="shared" ca="1" si="0"/>
        <v>46026</v>
      </c>
      <c r="N469" s="40" t="str">
        <f t="shared" ca="1" si="1"/>
        <v>✅</v>
      </c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spans="1:28" ht="13" x14ac:dyDescent="0.15">
      <c r="A470" s="24">
        <f>'Scan to Sheets'!A470</f>
        <v>0</v>
      </c>
      <c r="B470" s="26">
        <f>'Scan to Sheets'!B470</f>
        <v>0</v>
      </c>
      <c r="C470" s="26">
        <f>'Scan to Sheets'!C470</f>
        <v>0</v>
      </c>
      <c r="D470" s="26">
        <f>'Scan to Sheets'!D470</f>
        <v>0</v>
      </c>
      <c r="E470" s="27" t="str">
        <f>IFERROR(VLOOKUP(C470,#REF!, 2, FALSE), "NO ENCONTRADO")</f>
        <v>NO ENCONTRADO</v>
      </c>
      <c r="F470" s="27" t="str">
        <f>IFERROR(VLOOKUP(C470,#REF!, 3, FALSE), "NO ENCONTRADO")</f>
        <v>NO ENCONTRADO</v>
      </c>
      <c r="G470" s="27" t="str">
        <f>IFERROR(VLOOKUP(C470,#REF!, 4, FALSE), "NO ENCONTRADO")</f>
        <v>NO ENCONTRADO</v>
      </c>
      <c r="H470" s="27" t="str">
        <f>IFERROR(VLOOKUP(C470,#REF!, 5, FALSE), "NO ENCONTRADO")</f>
        <v>NO ENCONTRADO</v>
      </c>
      <c r="I470" s="14"/>
      <c r="J470" s="27"/>
      <c r="K470" s="41"/>
      <c r="L470" s="14"/>
      <c r="M470" s="30">
        <f t="shared" ca="1" si="0"/>
        <v>46026</v>
      </c>
      <c r="N470" s="31" t="str">
        <f t="shared" ca="1" si="1"/>
        <v>✅</v>
      </c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spans="1:28" ht="13" x14ac:dyDescent="0.15">
      <c r="A471" s="33">
        <f>'Scan to Sheets'!A471</f>
        <v>0</v>
      </c>
      <c r="B471" s="35">
        <f>'Scan to Sheets'!B471</f>
        <v>0</v>
      </c>
      <c r="C471" s="35">
        <f>'Scan to Sheets'!C471</f>
        <v>0</v>
      </c>
      <c r="D471" s="35">
        <f>'Scan to Sheets'!D471</f>
        <v>0</v>
      </c>
      <c r="E471" s="36" t="str">
        <f>IFERROR(VLOOKUP(C471,#REF!, 2, FALSE), "NO ENCONTRADO")</f>
        <v>NO ENCONTRADO</v>
      </c>
      <c r="F471" s="36" t="str">
        <f>IFERROR(VLOOKUP(C471,#REF!, 3, FALSE), "NO ENCONTRADO")</f>
        <v>NO ENCONTRADO</v>
      </c>
      <c r="G471" s="36" t="str">
        <f>IFERROR(VLOOKUP(C471,#REF!, 4, FALSE), "NO ENCONTRADO")</f>
        <v>NO ENCONTRADO</v>
      </c>
      <c r="H471" s="36" t="str">
        <f>IFERROR(VLOOKUP(C471,#REF!, 5, FALSE), "NO ENCONTRADO")</f>
        <v>NO ENCONTRADO</v>
      </c>
      <c r="I471" s="15"/>
      <c r="J471" s="36"/>
      <c r="K471" s="42"/>
      <c r="L471" s="15"/>
      <c r="M471" s="39">
        <f t="shared" ca="1" si="0"/>
        <v>46026</v>
      </c>
      <c r="N471" s="40" t="str">
        <f t="shared" ca="1" si="1"/>
        <v>✅</v>
      </c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spans="1:28" ht="13" x14ac:dyDescent="0.15">
      <c r="A472" s="24">
        <f>'Scan to Sheets'!A472</f>
        <v>0</v>
      </c>
      <c r="B472" s="26">
        <f>'Scan to Sheets'!B472</f>
        <v>0</v>
      </c>
      <c r="C472" s="26">
        <f>'Scan to Sheets'!C472</f>
        <v>0</v>
      </c>
      <c r="D472" s="26">
        <f>'Scan to Sheets'!D472</f>
        <v>0</v>
      </c>
      <c r="E472" s="27" t="str">
        <f>IFERROR(VLOOKUP(C472,#REF!, 2, FALSE), "NO ENCONTRADO")</f>
        <v>NO ENCONTRADO</v>
      </c>
      <c r="F472" s="27" t="str">
        <f>IFERROR(VLOOKUP(C472,#REF!, 3, FALSE), "NO ENCONTRADO")</f>
        <v>NO ENCONTRADO</v>
      </c>
      <c r="G472" s="27" t="str">
        <f>IFERROR(VLOOKUP(C472,#REF!, 4, FALSE), "NO ENCONTRADO")</f>
        <v>NO ENCONTRADO</v>
      </c>
      <c r="H472" s="27" t="str">
        <f>IFERROR(VLOOKUP(C472,#REF!, 5, FALSE), "NO ENCONTRADO")</f>
        <v>NO ENCONTRADO</v>
      </c>
      <c r="I472" s="14"/>
      <c r="J472" s="27"/>
      <c r="K472" s="41"/>
      <c r="L472" s="14"/>
      <c r="M472" s="30">
        <f t="shared" ca="1" si="0"/>
        <v>46026</v>
      </c>
      <c r="N472" s="31" t="str">
        <f t="shared" ca="1" si="1"/>
        <v>✅</v>
      </c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 spans="1:28" ht="13" x14ac:dyDescent="0.15">
      <c r="A473" s="33">
        <f>'Scan to Sheets'!A473</f>
        <v>0</v>
      </c>
      <c r="B473" s="35">
        <f>'Scan to Sheets'!B473</f>
        <v>0</v>
      </c>
      <c r="C473" s="35">
        <f>'Scan to Sheets'!C473</f>
        <v>0</v>
      </c>
      <c r="D473" s="35">
        <f>'Scan to Sheets'!D473</f>
        <v>0</v>
      </c>
      <c r="E473" s="36" t="str">
        <f>IFERROR(VLOOKUP(C473,#REF!, 2, FALSE), "NO ENCONTRADO")</f>
        <v>NO ENCONTRADO</v>
      </c>
      <c r="F473" s="36" t="str">
        <f>IFERROR(VLOOKUP(C473,#REF!, 3, FALSE), "NO ENCONTRADO")</f>
        <v>NO ENCONTRADO</v>
      </c>
      <c r="G473" s="36" t="str">
        <f>IFERROR(VLOOKUP(C473,#REF!, 4, FALSE), "NO ENCONTRADO")</f>
        <v>NO ENCONTRADO</v>
      </c>
      <c r="H473" s="36" t="str">
        <f>IFERROR(VLOOKUP(C473,#REF!, 5, FALSE), "NO ENCONTRADO")</f>
        <v>NO ENCONTRADO</v>
      </c>
      <c r="I473" s="15"/>
      <c r="J473" s="36"/>
      <c r="K473" s="42"/>
      <c r="L473" s="15"/>
      <c r="M473" s="39">
        <f t="shared" ca="1" si="0"/>
        <v>46026</v>
      </c>
      <c r="N473" s="40" t="str">
        <f t="shared" ca="1" si="1"/>
        <v>✅</v>
      </c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 spans="1:28" ht="13" x14ac:dyDescent="0.15">
      <c r="A474" s="24">
        <f>'Scan to Sheets'!A474</f>
        <v>0</v>
      </c>
      <c r="B474" s="26">
        <f>'Scan to Sheets'!B474</f>
        <v>0</v>
      </c>
      <c r="C474" s="26">
        <f>'Scan to Sheets'!C474</f>
        <v>0</v>
      </c>
      <c r="D474" s="26">
        <f>'Scan to Sheets'!D474</f>
        <v>0</v>
      </c>
      <c r="E474" s="27" t="str">
        <f>IFERROR(VLOOKUP(C474,#REF!, 2, FALSE), "NO ENCONTRADO")</f>
        <v>NO ENCONTRADO</v>
      </c>
      <c r="F474" s="27" t="str">
        <f>IFERROR(VLOOKUP(C474,#REF!, 3, FALSE), "NO ENCONTRADO")</f>
        <v>NO ENCONTRADO</v>
      </c>
      <c r="G474" s="27" t="str">
        <f>IFERROR(VLOOKUP(C474,#REF!, 4, FALSE), "NO ENCONTRADO")</f>
        <v>NO ENCONTRADO</v>
      </c>
      <c r="H474" s="27" t="str">
        <f>IFERROR(VLOOKUP(C474,#REF!, 5, FALSE), "NO ENCONTRADO")</f>
        <v>NO ENCONTRADO</v>
      </c>
      <c r="I474" s="14"/>
      <c r="J474" s="27"/>
      <c r="K474" s="41"/>
      <c r="L474" s="14"/>
      <c r="M474" s="30">
        <f t="shared" ca="1" si="0"/>
        <v>46026</v>
      </c>
      <c r="N474" s="31" t="str">
        <f t="shared" ca="1" si="1"/>
        <v>✅</v>
      </c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 spans="1:28" ht="13" x14ac:dyDescent="0.15">
      <c r="A475" s="33">
        <f>'Scan to Sheets'!A475</f>
        <v>0</v>
      </c>
      <c r="B475" s="35">
        <f>'Scan to Sheets'!B475</f>
        <v>0</v>
      </c>
      <c r="C475" s="35">
        <f>'Scan to Sheets'!C475</f>
        <v>0</v>
      </c>
      <c r="D475" s="35">
        <f>'Scan to Sheets'!D475</f>
        <v>0</v>
      </c>
      <c r="E475" s="36" t="str">
        <f>IFERROR(VLOOKUP(C475,#REF!, 2, FALSE), "NO ENCONTRADO")</f>
        <v>NO ENCONTRADO</v>
      </c>
      <c r="F475" s="36" t="str">
        <f>IFERROR(VLOOKUP(C475,#REF!, 3, FALSE), "NO ENCONTRADO")</f>
        <v>NO ENCONTRADO</v>
      </c>
      <c r="G475" s="36" t="str">
        <f>IFERROR(VLOOKUP(C475,#REF!, 4, FALSE), "NO ENCONTRADO")</f>
        <v>NO ENCONTRADO</v>
      </c>
      <c r="H475" s="36" t="str">
        <f>IFERROR(VLOOKUP(C475,#REF!, 5, FALSE), "NO ENCONTRADO")</f>
        <v>NO ENCONTRADO</v>
      </c>
      <c r="I475" s="15"/>
      <c r="J475" s="36"/>
      <c r="K475" s="42"/>
      <c r="L475" s="15"/>
      <c r="M475" s="39">
        <f t="shared" ca="1" si="0"/>
        <v>46026</v>
      </c>
      <c r="N475" s="40" t="str">
        <f t="shared" ca="1" si="1"/>
        <v>✅</v>
      </c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 spans="1:28" ht="13" x14ac:dyDescent="0.15">
      <c r="A476" s="24">
        <f>'Scan to Sheets'!A476</f>
        <v>0</v>
      </c>
      <c r="B476" s="26">
        <f>'Scan to Sheets'!B476</f>
        <v>0</v>
      </c>
      <c r="C476" s="26">
        <f>'Scan to Sheets'!C476</f>
        <v>0</v>
      </c>
      <c r="D476" s="26">
        <f>'Scan to Sheets'!D476</f>
        <v>0</v>
      </c>
      <c r="E476" s="27" t="str">
        <f>IFERROR(VLOOKUP(C476,#REF!, 2, FALSE), "NO ENCONTRADO")</f>
        <v>NO ENCONTRADO</v>
      </c>
      <c r="F476" s="27" t="str">
        <f>IFERROR(VLOOKUP(C476,#REF!, 3, FALSE), "NO ENCONTRADO")</f>
        <v>NO ENCONTRADO</v>
      </c>
      <c r="G476" s="27" t="str">
        <f>IFERROR(VLOOKUP(C476,#REF!, 4, FALSE), "NO ENCONTRADO")</f>
        <v>NO ENCONTRADO</v>
      </c>
      <c r="H476" s="27" t="str">
        <f>IFERROR(VLOOKUP(C476,#REF!, 5, FALSE), "NO ENCONTRADO")</f>
        <v>NO ENCONTRADO</v>
      </c>
      <c r="I476" s="14"/>
      <c r="J476" s="27"/>
      <c r="K476" s="41"/>
      <c r="L476" s="14"/>
      <c r="M476" s="30">
        <f t="shared" ca="1" si="0"/>
        <v>46026</v>
      </c>
      <c r="N476" s="31" t="str">
        <f t="shared" ca="1" si="1"/>
        <v>✅</v>
      </c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 spans="1:28" ht="13" x14ac:dyDescent="0.15">
      <c r="A477" s="33">
        <f>'Scan to Sheets'!A477</f>
        <v>0</v>
      </c>
      <c r="B477" s="35">
        <f>'Scan to Sheets'!B477</f>
        <v>0</v>
      </c>
      <c r="C477" s="35">
        <f>'Scan to Sheets'!C477</f>
        <v>0</v>
      </c>
      <c r="D477" s="35">
        <f>'Scan to Sheets'!D477</f>
        <v>0</v>
      </c>
      <c r="E477" s="36" t="str">
        <f>IFERROR(VLOOKUP(C477,#REF!, 2, FALSE), "NO ENCONTRADO")</f>
        <v>NO ENCONTRADO</v>
      </c>
      <c r="F477" s="36" t="str">
        <f>IFERROR(VLOOKUP(C477,#REF!, 3, FALSE), "NO ENCONTRADO")</f>
        <v>NO ENCONTRADO</v>
      </c>
      <c r="G477" s="36" t="str">
        <f>IFERROR(VLOOKUP(C477,#REF!, 4, FALSE), "NO ENCONTRADO")</f>
        <v>NO ENCONTRADO</v>
      </c>
      <c r="H477" s="36" t="str">
        <f>IFERROR(VLOOKUP(C477,#REF!, 5, FALSE), "NO ENCONTRADO")</f>
        <v>NO ENCONTRADO</v>
      </c>
      <c r="I477" s="15"/>
      <c r="J477" s="36"/>
      <c r="K477" s="42"/>
      <c r="L477" s="15"/>
      <c r="M477" s="39">
        <f t="shared" ca="1" si="0"/>
        <v>46026</v>
      </c>
      <c r="N477" s="40" t="str">
        <f t="shared" ca="1" si="1"/>
        <v>✅</v>
      </c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 spans="1:28" ht="13" x14ac:dyDescent="0.15">
      <c r="A478" s="24">
        <f>'Scan to Sheets'!A478</f>
        <v>0</v>
      </c>
      <c r="B478" s="26">
        <f>'Scan to Sheets'!B478</f>
        <v>0</v>
      </c>
      <c r="C478" s="26">
        <f>'Scan to Sheets'!C478</f>
        <v>0</v>
      </c>
      <c r="D478" s="26">
        <f>'Scan to Sheets'!D478</f>
        <v>0</v>
      </c>
      <c r="E478" s="27" t="str">
        <f>IFERROR(VLOOKUP(C478,#REF!, 2, FALSE), "NO ENCONTRADO")</f>
        <v>NO ENCONTRADO</v>
      </c>
      <c r="F478" s="27" t="str">
        <f>IFERROR(VLOOKUP(C478,#REF!, 3, FALSE), "NO ENCONTRADO")</f>
        <v>NO ENCONTRADO</v>
      </c>
      <c r="G478" s="27" t="str">
        <f>IFERROR(VLOOKUP(C478,#REF!, 4, FALSE), "NO ENCONTRADO")</f>
        <v>NO ENCONTRADO</v>
      </c>
      <c r="H478" s="27" t="str">
        <f>IFERROR(VLOOKUP(C478,#REF!, 5, FALSE), "NO ENCONTRADO")</f>
        <v>NO ENCONTRADO</v>
      </c>
      <c r="I478" s="14"/>
      <c r="J478" s="27"/>
      <c r="K478" s="41"/>
      <c r="L478" s="14"/>
      <c r="M478" s="30">
        <f t="shared" ca="1" si="0"/>
        <v>46026</v>
      </c>
      <c r="N478" s="31" t="str">
        <f t="shared" ca="1" si="1"/>
        <v>✅</v>
      </c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 spans="1:28" ht="13" x14ac:dyDescent="0.15">
      <c r="A479" s="33">
        <f>'Scan to Sheets'!A479</f>
        <v>0</v>
      </c>
      <c r="B479" s="35">
        <f>'Scan to Sheets'!B479</f>
        <v>0</v>
      </c>
      <c r="C479" s="35">
        <f>'Scan to Sheets'!C479</f>
        <v>0</v>
      </c>
      <c r="D479" s="35">
        <f>'Scan to Sheets'!D479</f>
        <v>0</v>
      </c>
      <c r="E479" s="36" t="str">
        <f>IFERROR(VLOOKUP(C479,#REF!, 2, FALSE), "NO ENCONTRADO")</f>
        <v>NO ENCONTRADO</v>
      </c>
      <c r="F479" s="36" t="str">
        <f>IFERROR(VLOOKUP(C479,#REF!, 3, FALSE), "NO ENCONTRADO")</f>
        <v>NO ENCONTRADO</v>
      </c>
      <c r="G479" s="36" t="str">
        <f>IFERROR(VLOOKUP(C479,#REF!, 4, FALSE), "NO ENCONTRADO")</f>
        <v>NO ENCONTRADO</v>
      </c>
      <c r="H479" s="36" t="str">
        <f>IFERROR(VLOOKUP(C479,#REF!, 5, FALSE), "NO ENCONTRADO")</f>
        <v>NO ENCONTRADO</v>
      </c>
      <c r="I479" s="15"/>
      <c r="J479" s="36"/>
      <c r="K479" s="42"/>
      <c r="L479" s="15"/>
      <c r="M479" s="39">
        <f t="shared" ca="1" si="0"/>
        <v>46026</v>
      </c>
      <c r="N479" s="40" t="str">
        <f t="shared" ca="1" si="1"/>
        <v>✅</v>
      </c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 spans="1:28" ht="13" x14ac:dyDescent="0.15">
      <c r="A480" s="24">
        <f>'Scan to Sheets'!A480</f>
        <v>0</v>
      </c>
      <c r="B480" s="26">
        <f>'Scan to Sheets'!B480</f>
        <v>0</v>
      </c>
      <c r="C480" s="26">
        <f>'Scan to Sheets'!C480</f>
        <v>0</v>
      </c>
      <c r="D480" s="26">
        <f>'Scan to Sheets'!D480</f>
        <v>0</v>
      </c>
      <c r="E480" s="27" t="str">
        <f>IFERROR(VLOOKUP(C480,#REF!, 2, FALSE), "NO ENCONTRADO")</f>
        <v>NO ENCONTRADO</v>
      </c>
      <c r="F480" s="27" t="str">
        <f>IFERROR(VLOOKUP(C480,#REF!, 3, FALSE), "NO ENCONTRADO")</f>
        <v>NO ENCONTRADO</v>
      </c>
      <c r="G480" s="27" t="str">
        <f>IFERROR(VLOOKUP(C480,#REF!, 4, FALSE), "NO ENCONTRADO")</f>
        <v>NO ENCONTRADO</v>
      </c>
      <c r="H480" s="27" t="str">
        <f>IFERROR(VLOOKUP(C480,#REF!, 5, FALSE), "NO ENCONTRADO")</f>
        <v>NO ENCONTRADO</v>
      </c>
      <c r="I480" s="14"/>
      <c r="J480" s="27"/>
      <c r="K480" s="41"/>
      <c r="L480" s="14"/>
      <c r="M480" s="30">
        <f t="shared" ca="1" si="0"/>
        <v>46026</v>
      </c>
      <c r="N480" s="31" t="str">
        <f t="shared" ca="1" si="1"/>
        <v>✅</v>
      </c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 spans="1:28" ht="13" x14ac:dyDescent="0.15">
      <c r="A481" s="33">
        <f>'Scan to Sheets'!A481</f>
        <v>0</v>
      </c>
      <c r="B481" s="35">
        <f>'Scan to Sheets'!B481</f>
        <v>0</v>
      </c>
      <c r="C481" s="35">
        <f>'Scan to Sheets'!C481</f>
        <v>0</v>
      </c>
      <c r="D481" s="35">
        <f>'Scan to Sheets'!D481</f>
        <v>0</v>
      </c>
      <c r="E481" s="36" t="str">
        <f>IFERROR(VLOOKUP(C481,#REF!, 2, FALSE), "NO ENCONTRADO")</f>
        <v>NO ENCONTRADO</v>
      </c>
      <c r="F481" s="36" t="str">
        <f>IFERROR(VLOOKUP(C481,#REF!, 3, FALSE), "NO ENCONTRADO")</f>
        <v>NO ENCONTRADO</v>
      </c>
      <c r="G481" s="36" t="str">
        <f>IFERROR(VLOOKUP(C481,#REF!, 4, FALSE), "NO ENCONTRADO")</f>
        <v>NO ENCONTRADO</v>
      </c>
      <c r="H481" s="36" t="str">
        <f>IFERROR(VLOOKUP(C481,#REF!, 5, FALSE), "NO ENCONTRADO")</f>
        <v>NO ENCONTRADO</v>
      </c>
      <c r="I481" s="15"/>
      <c r="J481" s="36"/>
      <c r="K481" s="42"/>
      <c r="L481" s="15"/>
      <c r="M481" s="39">
        <f t="shared" ca="1" si="0"/>
        <v>46026</v>
      </c>
      <c r="N481" s="40" t="str">
        <f t="shared" ca="1" si="1"/>
        <v>✅</v>
      </c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 spans="1:28" ht="13" x14ac:dyDescent="0.15">
      <c r="A482" s="24">
        <f>'Scan to Sheets'!A482</f>
        <v>0</v>
      </c>
      <c r="B482" s="26">
        <f>'Scan to Sheets'!B482</f>
        <v>0</v>
      </c>
      <c r="C482" s="26">
        <f>'Scan to Sheets'!C482</f>
        <v>0</v>
      </c>
      <c r="D482" s="26">
        <f>'Scan to Sheets'!D482</f>
        <v>0</v>
      </c>
      <c r="E482" s="27" t="str">
        <f>IFERROR(VLOOKUP(C482,#REF!, 2, FALSE), "NO ENCONTRADO")</f>
        <v>NO ENCONTRADO</v>
      </c>
      <c r="F482" s="27" t="str">
        <f>IFERROR(VLOOKUP(C482,#REF!, 3, FALSE), "NO ENCONTRADO")</f>
        <v>NO ENCONTRADO</v>
      </c>
      <c r="G482" s="27" t="str">
        <f>IFERROR(VLOOKUP(C482,#REF!, 4, FALSE), "NO ENCONTRADO")</f>
        <v>NO ENCONTRADO</v>
      </c>
      <c r="H482" s="27" t="str">
        <f>IFERROR(VLOOKUP(C482,#REF!, 5, FALSE), "NO ENCONTRADO")</f>
        <v>NO ENCONTRADO</v>
      </c>
      <c r="I482" s="14"/>
      <c r="J482" s="27"/>
      <c r="K482" s="41"/>
      <c r="L482" s="14"/>
      <c r="M482" s="30">
        <f t="shared" ca="1" si="0"/>
        <v>46026</v>
      </c>
      <c r="N482" s="31" t="str">
        <f t="shared" ca="1" si="1"/>
        <v>✅</v>
      </c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 spans="1:28" ht="13" x14ac:dyDescent="0.15">
      <c r="A483" s="33">
        <f>'Scan to Sheets'!A483</f>
        <v>0</v>
      </c>
      <c r="B483" s="35">
        <f>'Scan to Sheets'!B483</f>
        <v>0</v>
      </c>
      <c r="C483" s="35">
        <f>'Scan to Sheets'!C483</f>
        <v>0</v>
      </c>
      <c r="D483" s="35">
        <f>'Scan to Sheets'!D483</f>
        <v>0</v>
      </c>
      <c r="E483" s="36" t="str">
        <f>IFERROR(VLOOKUP(C483,#REF!, 2, FALSE), "NO ENCONTRADO")</f>
        <v>NO ENCONTRADO</v>
      </c>
      <c r="F483" s="36" t="str">
        <f>IFERROR(VLOOKUP(C483,#REF!, 3, FALSE), "NO ENCONTRADO")</f>
        <v>NO ENCONTRADO</v>
      </c>
      <c r="G483" s="36" t="str">
        <f>IFERROR(VLOOKUP(C483,#REF!, 4, FALSE), "NO ENCONTRADO")</f>
        <v>NO ENCONTRADO</v>
      </c>
      <c r="H483" s="36" t="str">
        <f>IFERROR(VLOOKUP(C483,#REF!, 5, FALSE), "NO ENCONTRADO")</f>
        <v>NO ENCONTRADO</v>
      </c>
      <c r="I483" s="15"/>
      <c r="J483" s="36"/>
      <c r="K483" s="42"/>
      <c r="L483" s="15"/>
      <c r="M483" s="39">
        <f t="shared" ca="1" si="0"/>
        <v>46026</v>
      </c>
      <c r="N483" s="40" t="str">
        <f t="shared" ca="1" si="1"/>
        <v>✅</v>
      </c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spans="1:28" ht="13" x14ac:dyDescent="0.15">
      <c r="A484" s="24">
        <f>'Scan to Sheets'!A484</f>
        <v>0</v>
      </c>
      <c r="B484" s="26">
        <f>'Scan to Sheets'!B484</f>
        <v>0</v>
      </c>
      <c r="C484" s="26">
        <f>'Scan to Sheets'!C484</f>
        <v>0</v>
      </c>
      <c r="D484" s="26">
        <f>'Scan to Sheets'!D484</f>
        <v>0</v>
      </c>
      <c r="E484" s="27" t="str">
        <f>IFERROR(VLOOKUP(C484,#REF!, 2, FALSE), "NO ENCONTRADO")</f>
        <v>NO ENCONTRADO</v>
      </c>
      <c r="F484" s="27" t="str">
        <f>IFERROR(VLOOKUP(C484,#REF!, 3, FALSE), "NO ENCONTRADO")</f>
        <v>NO ENCONTRADO</v>
      </c>
      <c r="G484" s="27" t="str">
        <f>IFERROR(VLOOKUP(C484,#REF!, 4, FALSE), "NO ENCONTRADO")</f>
        <v>NO ENCONTRADO</v>
      </c>
      <c r="H484" s="27" t="str">
        <f>IFERROR(VLOOKUP(C484,#REF!, 5, FALSE), "NO ENCONTRADO")</f>
        <v>NO ENCONTRADO</v>
      </c>
      <c r="I484" s="14"/>
      <c r="J484" s="27"/>
      <c r="K484" s="41"/>
      <c r="L484" s="14"/>
      <c r="M484" s="30">
        <f t="shared" ca="1" si="0"/>
        <v>46026</v>
      </c>
      <c r="N484" s="31" t="str">
        <f t="shared" ca="1" si="1"/>
        <v>✅</v>
      </c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spans="1:28" ht="13" x14ac:dyDescent="0.15">
      <c r="A485" s="33">
        <f>'Scan to Sheets'!A485</f>
        <v>0</v>
      </c>
      <c r="B485" s="35">
        <f>'Scan to Sheets'!B485</f>
        <v>0</v>
      </c>
      <c r="C485" s="35">
        <f>'Scan to Sheets'!C485</f>
        <v>0</v>
      </c>
      <c r="D485" s="35">
        <f>'Scan to Sheets'!D485</f>
        <v>0</v>
      </c>
      <c r="E485" s="36" t="str">
        <f>IFERROR(VLOOKUP(C485,#REF!, 2, FALSE), "NO ENCONTRADO")</f>
        <v>NO ENCONTRADO</v>
      </c>
      <c r="F485" s="36" t="str">
        <f>IFERROR(VLOOKUP(C485,#REF!, 3, FALSE), "NO ENCONTRADO")</f>
        <v>NO ENCONTRADO</v>
      </c>
      <c r="G485" s="36" t="str">
        <f>IFERROR(VLOOKUP(C485,#REF!, 4, FALSE), "NO ENCONTRADO")</f>
        <v>NO ENCONTRADO</v>
      </c>
      <c r="H485" s="36" t="str">
        <f>IFERROR(VLOOKUP(C485,#REF!, 5, FALSE), "NO ENCONTRADO")</f>
        <v>NO ENCONTRADO</v>
      </c>
      <c r="I485" s="15"/>
      <c r="J485" s="36"/>
      <c r="K485" s="42"/>
      <c r="L485" s="15"/>
      <c r="M485" s="39">
        <f t="shared" ca="1" si="0"/>
        <v>46026</v>
      </c>
      <c r="N485" s="40" t="str">
        <f t="shared" ca="1" si="1"/>
        <v>✅</v>
      </c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spans="1:28" ht="13" x14ac:dyDescent="0.15">
      <c r="A486" s="24">
        <f>'Scan to Sheets'!A486</f>
        <v>0</v>
      </c>
      <c r="B486" s="26">
        <f>'Scan to Sheets'!B486</f>
        <v>0</v>
      </c>
      <c r="C486" s="26">
        <f>'Scan to Sheets'!C486</f>
        <v>0</v>
      </c>
      <c r="D486" s="26">
        <f>'Scan to Sheets'!D486</f>
        <v>0</v>
      </c>
      <c r="E486" s="27" t="str">
        <f>IFERROR(VLOOKUP(C486,#REF!, 2, FALSE), "NO ENCONTRADO")</f>
        <v>NO ENCONTRADO</v>
      </c>
      <c r="F486" s="27" t="str">
        <f>IFERROR(VLOOKUP(C486,#REF!, 3, FALSE), "NO ENCONTRADO")</f>
        <v>NO ENCONTRADO</v>
      </c>
      <c r="G486" s="27" t="str">
        <f>IFERROR(VLOOKUP(C486,#REF!, 4, FALSE), "NO ENCONTRADO")</f>
        <v>NO ENCONTRADO</v>
      </c>
      <c r="H486" s="27" t="str">
        <f>IFERROR(VLOOKUP(C486,#REF!, 5, FALSE), "NO ENCONTRADO")</f>
        <v>NO ENCONTRADO</v>
      </c>
      <c r="I486" s="14"/>
      <c r="J486" s="27"/>
      <c r="K486" s="41"/>
      <c r="L486" s="14"/>
      <c r="M486" s="30">
        <f t="shared" ca="1" si="0"/>
        <v>46026</v>
      </c>
      <c r="N486" s="31" t="str">
        <f t="shared" ca="1" si="1"/>
        <v>✅</v>
      </c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spans="1:28" ht="13" x14ac:dyDescent="0.15">
      <c r="A487" s="33">
        <f>'Scan to Sheets'!A487</f>
        <v>0</v>
      </c>
      <c r="B487" s="35">
        <f>'Scan to Sheets'!B487</f>
        <v>0</v>
      </c>
      <c r="C487" s="35">
        <f>'Scan to Sheets'!C487</f>
        <v>0</v>
      </c>
      <c r="D487" s="35">
        <f>'Scan to Sheets'!D487</f>
        <v>0</v>
      </c>
      <c r="E487" s="36" t="str">
        <f>IFERROR(VLOOKUP(C487,#REF!, 2, FALSE), "NO ENCONTRADO")</f>
        <v>NO ENCONTRADO</v>
      </c>
      <c r="F487" s="36" t="str">
        <f>IFERROR(VLOOKUP(C487,#REF!, 3, FALSE), "NO ENCONTRADO")</f>
        <v>NO ENCONTRADO</v>
      </c>
      <c r="G487" s="36" t="str">
        <f>IFERROR(VLOOKUP(C487,#REF!, 4, FALSE), "NO ENCONTRADO")</f>
        <v>NO ENCONTRADO</v>
      </c>
      <c r="H487" s="36" t="str">
        <f>IFERROR(VLOOKUP(C487,#REF!, 5, FALSE), "NO ENCONTRADO")</f>
        <v>NO ENCONTRADO</v>
      </c>
      <c r="I487" s="15"/>
      <c r="J487" s="36"/>
      <c r="K487" s="42"/>
      <c r="L487" s="15"/>
      <c r="M487" s="39">
        <f t="shared" ca="1" si="0"/>
        <v>46026</v>
      </c>
      <c r="N487" s="40" t="str">
        <f t="shared" ca="1" si="1"/>
        <v>✅</v>
      </c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spans="1:28" ht="13" x14ac:dyDescent="0.15">
      <c r="A488" s="24">
        <f>'Scan to Sheets'!A488</f>
        <v>0</v>
      </c>
      <c r="B488" s="26">
        <f>'Scan to Sheets'!B488</f>
        <v>0</v>
      </c>
      <c r="C488" s="26">
        <f>'Scan to Sheets'!C488</f>
        <v>0</v>
      </c>
      <c r="D488" s="26">
        <f>'Scan to Sheets'!D488</f>
        <v>0</v>
      </c>
      <c r="E488" s="27" t="str">
        <f>IFERROR(VLOOKUP(C488,#REF!, 2, FALSE), "NO ENCONTRADO")</f>
        <v>NO ENCONTRADO</v>
      </c>
      <c r="F488" s="27" t="str">
        <f>IFERROR(VLOOKUP(C488,#REF!, 3, FALSE), "NO ENCONTRADO")</f>
        <v>NO ENCONTRADO</v>
      </c>
      <c r="G488" s="27" t="str">
        <f>IFERROR(VLOOKUP(C488,#REF!, 4, FALSE), "NO ENCONTRADO")</f>
        <v>NO ENCONTRADO</v>
      </c>
      <c r="H488" s="27" t="str">
        <f>IFERROR(VLOOKUP(C488,#REF!, 5, FALSE), "NO ENCONTRADO")</f>
        <v>NO ENCONTRADO</v>
      </c>
      <c r="I488" s="14"/>
      <c r="J488" s="27"/>
      <c r="K488" s="41"/>
      <c r="L488" s="14"/>
      <c r="M488" s="30">
        <f t="shared" ca="1" si="0"/>
        <v>46026</v>
      </c>
      <c r="N488" s="31" t="str">
        <f t="shared" ca="1" si="1"/>
        <v>✅</v>
      </c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spans="1:28" ht="13" x14ac:dyDescent="0.15">
      <c r="A489" s="33">
        <f>'Scan to Sheets'!A489</f>
        <v>0</v>
      </c>
      <c r="B489" s="35">
        <f>'Scan to Sheets'!B489</f>
        <v>0</v>
      </c>
      <c r="C489" s="35">
        <f>'Scan to Sheets'!C489</f>
        <v>0</v>
      </c>
      <c r="D489" s="35">
        <f>'Scan to Sheets'!D489</f>
        <v>0</v>
      </c>
      <c r="E489" s="36" t="str">
        <f>IFERROR(VLOOKUP(C489,#REF!, 2, FALSE), "NO ENCONTRADO")</f>
        <v>NO ENCONTRADO</v>
      </c>
      <c r="F489" s="36" t="str">
        <f>IFERROR(VLOOKUP(C489,#REF!, 3, FALSE), "NO ENCONTRADO")</f>
        <v>NO ENCONTRADO</v>
      </c>
      <c r="G489" s="36" t="str">
        <f>IFERROR(VLOOKUP(C489,#REF!, 4, FALSE), "NO ENCONTRADO")</f>
        <v>NO ENCONTRADO</v>
      </c>
      <c r="H489" s="36" t="str">
        <f>IFERROR(VLOOKUP(C489,#REF!, 5, FALSE), "NO ENCONTRADO")</f>
        <v>NO ENCONTRADO</v>
      </c>
      <c r="I489" s="15"/>
      <c r="J489" s="36"/>
      <c r="K489" s="42"/>
      <c r="L489" s="15"/>
      <c r="M489" s="39">
        <f t="shared" ca="1" si="0"/>
        <v>46026</v>
      </c>
      <c r="N489" s="40" t="str">
        <f t="shared" ca="1" si="1"/>
        <v>✅</v>
      </c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spans="1:28" ht="13" x14ac:dyDescent="0.15">
      <c r="A490" s="24">
        <f>'Scan to Sheets'!A490</f>
        <v>0</v>
      </c>
      <c r="B490" s="26">
        <f>'Scan to Sheets'!B490</f>
        <v>0</v>
      </c>
      <c r="C490" s="26">
        <f>'Scan to Sheets'!C490</f>
        <v>0</v>
      </c>
      <c r="D490" s="26">
        <f>'Scan to Sheets'!D490</f>
        <v>0</v>
      </c>
      <c r="E490" s="27" t="str">
        <f>IFERROR(VLOOKUP(C490,#REF!, 2, FALSE), "NO ENCONTRADO")</f>
        <v>NO ENCONTRADO</v>
      </c>
      <c r="F490" s="27" t="str">
        <f>IFERROR(VLOOKUP(C490,#REF!, 3, FALSE), "NO ENCONTRADO")</f>
        <v>NO ENCONTRADO</v>
      </c>
      <c r="G490" s="27" t="str">
        <f>IFERROR(VLOOKUP(C490,#REF!, 4, FALSE), "NO ENCONTRADO")</f>
        <v>NO ENCONTRADO</v>
      </c>
      <c r="H490" s="27" t="str">
        <f>IFERROR(VLOOKUP(C490,#REF!, 5, FALSE), "NO ENCONTRADO")</f>
        <v>NO ENCONTRADO</v>
      </c>
      <c r="I490" s="14"/>
      <c r="J490" s="27"/>
      <c r="K490" s="41"/>
      <c r="L490" s="14"/>
      <c r="M490" s="30">
        <f t="shared" ca="1" si="0"/>
        <v>46026</v>
      </c>
      <c r="N490" s="31" t="str">
        <f t="shared" ca="1" si="1"/>
        <v>✅</v>
      </c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spans="1:28" ht="13" x14ac:dyDescent="0.15">
      <c r="A491" s="33">
        <f>'Scan to Sheets'!A491</f>
        <v>0</v>
      </c>
      <c r="B491" s="35">
        <f>'Scan to Sheets'!B491</f>
        <v>0</v>
      </c>
      <c r="C491" s="35">
        <f>'Scan to Sheets'!C491</f>
        <v>0</v>
      </c>
      <c r="D491" s="35">
        <f>'Scan to Sheets'!D491</f>
        <v>0</v>
      </c>
      <c r="E491" s="36" t="str">
        <f>IFERROR(VLOOKUP(C491,#REF!, 2, FALSE), "NO ENCONTRADO")</f>
        <v>NO ENCONTRADO</v>
      </c>
      <c r="F491" s="36" t="str">
        <f>IFERROR(VLOOKUP(C491,#REF!, 3, FALSE), "NO ENCONTRADO")</f>
        <v>NO ENCONTRADO</v>
      </c>
      <c r="G491" s="36" t="str">
        <f>IFERROR(VLOOKUP(C491,#REF!, 4, FALSE), "NO ENCONTRADO")</f>
        <v>NO ENCONTRADO</v>
      </c>
      <c r="H491" s="36" t="str">
        <f>IFERROR(VLOOKUP(C491,#REF!, 5, FALSE), "NO ENCONTRADO")</f>
        <v>NO ENCONTRADO</v>
      </c>
      <c r="I491" s="15"/>
      <c r="J491" s="36"/>
      <c r="K491" s="42"/>
      <c r="L491" s="15"/>
      <c r="M491" s="39">
        <f t="shared" ca="1" si="0"/>
        <v>46026</v>
      </c>
      <c r="N491" s="40" t="str">
        <f t="shared" ca="1" si="1"/>
        <v>✅</v>
      </c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spans="1:28" ht="13" x14ac:dyDescent="0.15">
      <c r="A492" s="24">
        <f>'Scan to Sheets'!A492</f>
        <v>0</v>
      </c>
      <c r="B492" s="26">
        <f>'Scan to Sheets'!B492</f>
        <v>0</v>
      </c>
      <c r="C492" s="26">
        <f>'Scan to Sheets'!C492</f>
        <v>0</v>
      </c>
      <c r="D492" s="26">
        <f>'Scan to Sheets'!D492</f>
        <v>0</v>
      </c>
      <c r="E492" s="27" t="str">
        <f>IFERROR(VLOOKUP(C492,#REF!, 2, FALSE), "NO ENCONTRADO")</f>
        <v>NO ENCONTRADO</v>
      </c>
      <c r="F492" s="27" t="str">
        <f>IFERROR(VLOOKUP(C492,#REF!, 3, FALSE), "NO ENCONTRADO")</f>
        <v>NO ENCONTRADO</v>
      </c>
      <c r="G492" s="27" t="str">
        <f>IFERROR(VLOOKUP(C492,#REF!, 4, FALSE), "NO ENCONTRADO")</f>
        <v>NO ENCONTRADO</v>
      </c>
      <c r="H492" s="27" t="str">
        <f>IFERROR(VLOOKUP(C492,#REF!, 5, FALSE), "NO ENCONTRADO")</f>
        <v>NO ENCONTRADO</v>
      </c>
      <c r="I492" s="14"/>
      <c r="J492" s="27"/>
      <c r="K492" s="41"/>
      <c r="L492" s="14"/>
      <c r="M492" s="30">
        <f t="shared" ca="1" si="0"/>
        <v>46026</v>
      </c>
      <c r="N492" s="31" t="str">
        <f t="shared" ca="1" si="1"/>
        <v>✅</v>
      </c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spans="1:28" ht="13" x14ac:dyDescent="0.15">
      <c r="A493" s="33">
        <f>'Scan to Sheets'!A493</f>
        <v>0</v>
      </c>
      <c r="B493" s="35">
        <f>'Scan to Sheets'!B493</f>
        <v>0</v>
      </c>
      <c r="C493" s="35">
        <f>'Scan to Sheets'!C493</f>
        <v>0</v>
      </c>
      <c r="D493" s="35">
        <f>'Scan to Sheets'!D493</f>
        <v>0</v>
      </c>
      <c r="E493" s="36" t="str">
        <f>IFERROR(VLOOKUP(C493,#REF!, 2, FALSE), "NO ENCONTRADO")</f>
        <v>NO ENCONTRADO</v>
      </c>
      <c r="F493" s="36" t="str">
        <f>IFERROR(VLOOKUP(C493,#REF!, 3, FALSE), "NO ENCONTRADO")</f>
        <v>NO ENCONTRADO</v>
      </c>
      <c r="G493" s="36" t="str">
        <f>IFERROR(VLOOKUP(C493,#REF!, 4, FALSE), "NO ENCONTRADO")</f>
        <v>NO ENCONTRADO</v>
      </c>
      <c r="H493" s="36" t="str">
        <f>IFERROR(VLOOKUP(C493,#REF!, 5, FALSE), "NO ENCONTRADO")</f>
        <v>NO ENCONTRADO</v>
      </c>
      <c r="I493" s="15"/>
      <c r="J493" s="36"/>
      <c r="K493" s="42"/>
      <c r="L493" s="15"/>
      <c r="M493" s="39">
        <f t="shared" ca="1" si="0"/>
        <v>46026</v>
      </c>
      <c r="N493" s="40" t="str">
        <f t="shared" ca="1" si="1"/>
        <v>✅</v>
      </c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spans="1:28" ht="13" x14ac:dyDescent="0.15">
      <c r="A494" s="24">
        <f>'Scan to Sheets'!A494</f>
        <v>0</v>
      </c>
      <c r="B494" s="26">
        <f>'Scan to Sheets'!B494</f>
        <v>0</v>
      </c>
      <c r="C494" s="26">
        <f>'Scan to Sheets'!C494</f>
        <v>0</v>
      </c>
      <c r="D494" s="26">
        <f>'Scan to Sheets'!D494</f>
        <v>0</v>
      </c>
      <c r="E494" s="27" t="str">
        <f>IFERROR(VLOOKUP(C494,#REF!, 2, FALSE), "NO ENCONTRADO")</f>
        <v>NO ENCONTRADO</v>
      </c>
      <c r="F494" s="27" t="str">
        <f>IFERROR(VLOOKUP(C494,#REF!, 3, FALSE), "NO ENCONTRADO")</f>
        <v>NO ENCONTRADO</v>
      </c>
      <c r="G494" s="27" t="str">
        <f>IFERROR(VLOOKUP(C494,#REF!, 4, FALSE), "NO ENCONTRADO")</f>
        <v>NO ENCONTRADO</v>
      </c>
      <c r="H494" s="27" t="str">
        <f>IFERROR(VLOOKUP(C494,#REF!, 5, FALSE), "NO ENCONTRADO")</f>
        <v>NO ENCONTRADO</v>
      </c>
      <c r="I494" s="14"/>
      <c r="J494" s="27"/>
      <c r="K494" s="41"/>
      <c r="L494" s="14"/>
      <c r="M494" s="30">
        <f t="shared" ca="1" si="0"/>
        <v>46026</v>
      </c>
      <c r="N494" s="31" t="str">
        <f t="shared" ca="1" si="1"/>
        <v>✅</v>
      </c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spans="1:28" ht="13" x14ac:dyDescent="0.15">
      <c r="A495" s="33">
        <f>'Scan to Sheets'!A495</f>
        <v>0</v>
      </c>
      <c r="B495" s="35">
        <f>'Scan to Sheets'!B495</f>
        <v>0</v>
      </c>
      <c r="C495" s="35">
        <f>'Scan to Sheets'!C495</f>
        <v>0</v>
      </c>
      <c r="D495" s="35">
        <f>'Scan to Sheets'!D495</f>
        <v>0</v>
      </c>
      <c r="E495" s="36" t="str">
        <f>IFERROR(VLOOKUP(C495,#REF!, 2, FALSE), "NO ENCONTRADO")</f>
        <v>NO ENCONTRADO</v>
      </c>
      <c r="F495" s="36" t="str">
        <f>IFERROR(VLOOKUP(C495,#REF!, 3, FALSE), "NO ENCONTRADO")</f>
        <v>NO ENCONTRADO</v>
      </c>
      <c r="G495" s="36" t="str">
        <f>IFERROR(VLOOKUP(C495,#REF!, 4, FALSE), "NO ENCONTRADO")</f>
        <v>NO ENCONTRADO</v>
      </c>
      <c r="H495" s="36" t="str">
        <f>IFERROR(VLOOKUP(C495,#REF!, 5, FALSE), "NO ENCONTRADO")</f>
        <v>NO ENCONTRADO</v>
      </c>
      <c r="I495" s="15"/>
      <c r="J495" s="36"/>
      <c r="K495" s="42"/>
      <c r="L495" s="15"/>
      <c r="M495" s="39">
        <f t="shared" ca="1" si="0"/>
        <v>46026</v>
      </c>
      <c r="N495" s="40" t="str">
        <f t="shared" ca="1" si="1"/>
        <v>✅</v>
      </c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spans="1:28" ht="13" x14ac:dyDescent="0.15">
      <c r="A496" s="24">
        <f>'Scan to Sheets'!A496</f>
        <v>0</v>
      </c>
      <c r="B496" s="26">
        <f>'Scan to Sheets'!B496</f>
        <v>0</v>
      </c>
      <c r="C496" s="26">
        <f>'Scan to Sheets'!C496</f>
        <v>0</v>
      </c>
      <c r="D496" s="26">
        <f>'Scan to Sheets'!D496</f>
        <v>0</v>
      </c>
      <c r="E496" s="27" t="str">
        <f>IFERROR(VLOOKUP(C496,#REF!, 2, FALSE), "NO ENCONTRADO")</f>
        <v>NO ENCONTRADO</v>
      </c>
      <c r="F496" s="27" t="str">
        <f>IFERROR(VLOOKUP(C496,#REF!, 3, FALSE), "NO ENCONTRADO")</f>
        <v>NO ENCONTRADO</v>
      </c>
      <c r="G496" s="27" t="str">
        <f>IFERROR(VLOOKUP(C496,#REF!, 4, FALSE), "NO ENCONTRADO")</f>
        <v>NO ENCONTRADO</v>
      </c>
      <c r="H496" s="27" t="str">
        <f>IFERROR(VLOOKUP(C496,#REF!, 5, FALSE), "NO ENCONTRADO")</f>
        <v>NO ENCONTRADO</v>
      </c>
      <c r="I496" s="14"/>
      <c r="J496" s="27"/>
      <c r="K496" s="41"/>
      <c r="L496" s="14"/>
      <c r="M496" s="30">
        <f t="shared" ca="1" si="0"/>
        <v>46026</v>
      </c>
      <c r="N496" s="31" t="str">
        <f t="shared" ca="1" si="1"/>
        <v>✅</v>
      </c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 spans="1:28" ht="13" x14ac:dyDescent="0.15">
      <c r="A497" s="33">
        <f>'Scan to Sheets'!A497</f>
        <v>0</v>
      </c>
      <c r="B497" s="35">
        <f>'Scan to Sheets'!B497</f>
        <v>0</v>
      </c>
      <c r="C497" s="35">
        <f>'Scan to Sheets'!C497</f>
        <v>0</v>
      </c>
      <c r="D497" s="35">
        <f>'Scan to Sheets'!D497</f>
        <v>0</v>
      </c>
      <c r="E497" s="36" t="str">
        <f>IFERROR(VLOOKUP(C497,#REF!, 2, FALSE), "NO ENCONTRADO")</f>
        <v>NO ENCONTRADO</v>
      </c>
      <c r="F497" s="36" t="str">
        <f>IFERROR(VLOOKUP(C497,#REF!, 3, FALSE), "NO ENCONTRADO")</f>
        <v>NO ENCONTRADO</v>
      </c>
      <c r="G497" s="36" t="str">
        <f>IFERROR(VLOOKUP(C497,#REF!, 4, FALSE), "NO ENCONTRADO")</f>
        <v>NO ENCONTRADO</v>
      </c>
      <c r="H497" s="36" t="str">
        <f>IFERROR(VLOOKUP(C497,#REF!, 5, FALSE), "NO ENCONTRADO")</f>
        <v>NO ENCONTRADO</v>
      </c>
      <c r="I497" s="15"/>
      <c r="J497" s="36"/>
      <c r="K497" s="42"/>
      <c r="L497" s="15"/>
      <c r="M497" s="39">
        <f t="shared" ca="1" si="0"/>
        <v>46026</v>
      </c>
      <c r="N497" s="40" t="str">
        <f t="shared" ca="1" si="1"/>
        <v>✅</v>
      </c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 spans="1:28" ht="13" x14ac:dyDescent="0.15">
      <c r="A498" s="24">
        <f>'Scan to Sheets'!A498</f>
        <v>0</v>
      </c>
      <c r="B498" s="26">
        <f>'Scan to Sheets'!B498</f>
        <v>0</v>
      </c>
      <c r="C498" s="26">
        <f>'Scan to Sheets'!C498</f>
        <v>0</v>
      </c>
      <c r="D498" s="26">
        <f>'Scan to Sheets'!D498</f>
        <v>0</v>
      </c>
      <c r="E498" s="27" t="str">
        <f>IFERROR(VLOOKUP(C498,#REF!, 2, FALSE), "NO ENCONTRADO")</f>
        <v>NO ENCONTRADO</v>
      </c>
      <c r="F498" s="27" t="str">
        <f>IFERROR(VLOOKUP(C498,#REF!, 3, FALSE), "NO ENCONTRADO")</f>
        <v>NO ENCONTRADO</v>
      </c>
      <c r="G498" s="27" t="str">
        <f>IFERROR(VLOOKUP(C498,#REF!, 4, FALSE), "NO ENCONTRADO")</f>
        <v>NO ENCONTRADO</v>
      </c>
      <c r="H498" s="27" t="str">
        <f>IFERROR(VLOOKUP(C498,#REF!, 5, FALSE), "NO ENCONTRADO")</f>
        <v>NO ENCONTRADO</v>
      </c>
      <c r="I498" s="14"/>
      <c r="J498" s="27"/>
      <c r="K498" s="41"/>
      <c r="L498" s="14"/>
      <c r="M498" s="30">
        <f t="shared" ca="1" si="0"/>
        <v>46026</v>
      </c>
      <c r="N498" s="31" t="str">
        <f t="shared" ca="1" si="1"/>
        <v>✅</v>
      </c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 spans="1:28" ht="13" x14ac:dyDescent="0.15">
      <c r="A499" s="33">
        <f>'Scan to Sheets'!A499</f>
        <v>0</v>
      </c>
      <c r="B499" s="35">
        <f>'Scan to Sheets'!B499</f>
        <v>0</v>
      </c>
      <c r="C499" s="35">
        <f>'Scan to Sheets'!C499</f>
        <v>0</v>
      </c>
      <c r="D499" s="35">
        <f>'Scan to Sheets'!D499</f>
        <v>0</v>
      </c>
      <c r="E499" s="36" t="str">
        <f>IFERROR(VLOOKUP(C499,#REF!, 2, FALSE), "NO ENCONTRADO")</f>
        <v>NO ENCONTRADO</v>
      </c>
      <c r="F499" s="36" t="str">
        <f>IFERROR(VLOOKUP(C499,#REF!, 3, FALSE), "NO ENCONTRADO")</f>
        <v>NO ENCONTRADO</v>
      </c>
      <c r="G499" s="36" t="str">
        <f>IFERROR(VLOOKUP(C499,#REF!, 4, FALSE), "NO ENCONTRADO")</f>
        <v>NO ENCONTRADO</v>
      </c>
      <c r="H499" s="36" t="str">
        <f>IFERROR(VLOOKUP(C499,#REF!, 5, FALSE), "NO ENCONTRADO")</f>
        <v>NO ENCONTRADO</v>
      </c>
      <c r="I499" s="15"/>
      <c r="J499" s="36"/>
      <c r="K499" s="42"/>
      <c r="L499" s="15"/>
      <c r="M499" s="39">
        <f t="shared" ca="1" si="0"/>
        <v>46026</v>
      </c>
      <c r="N499" s="40" t="str">
        <f t="shared" ca="1" si="1"/>
        <v>✅</v>
      </c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 spans="1:28" ht="13" x14ac:dyDescent="0.15">
      <c r="A500" s="24">
        <f>'Scan to Sheets'!A500</f>
        <v>0</v>
      </c>
      <c r="B500" s="26">
        <f>'Scan to Sheets'!B500</f>
        <v>0</v>
      </c>
      <c r="C500" s="26">
        <f>'Scan to Sheets'!C500</f>
        <v>0</v>
      </c>
      <c r="D500" s="26">
        <f>'Scan to Sheets'!D500</f>
        <v>0</v>
      </c>
      <c r="E500" s="27" t="str">
        <f>IFERROR(VLOOKUP(C500,#REF!, 2, FALSE), "NO ENCONTRADO")</f>
        <v>NO ENCONTRADO</v>
      </c>
      <c r="F500" s="27" t="str">
        <f>IFERROR(VLOOKUP(C500,#REF!, 3, FALSE), "NO ENCONTRADO")</f>
        <v>NO ENCONTRADO</v>
      </c>
      <c r="G500" s="27" t="str">
        <f>IFERROR(VLOOKUP(C500,#REF!, 4, FALSE), "NO ENCONTRADO")</f>
        <v>NO ENCONTRADO</v>
      </c>
      <c r="H500" s="27" t="str">
        <f>IFERROR(VLOOKUP(C500,#REF!, 5, FALSE), "NO ENCONTRADO")</f>
        <v>NO ENCONTRADO</v>
      </c>
      <c r="I500" s="14"/>
      <c r="J500" s="27"/>
      <c r="K500" s="41"/>
      <c r="L500" s="14"/>
      <c r="M500" s="30">
        <f t="shared" ca="1" si="0"/>
        <v>46026</v>
      </c>
      <c r="N500" s="31" t="str">
        <f t="shared" ca="1" si="1"/>
        <v>✅</v>
      </c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 spans="1:28" ht="13" x14ac:dyDescent="0.15">
      <c r="A501" s="33">
        <f>'Scan to Sheets'!A501</f>
        <v>0</v>
      </c>
      <c r="B501" s="35">
        <f>'Scan to Sheets'!B501</f>
        <v>0</v>
      </c>
      <c r="C501" s="35">
        <f>'Scan to Sheets'!C501</f>
        <v>0</v>
      </c>
      <c r="D501" s="35">
        <f>'Scan to Sheets'!D501</f>
        <v>0</v>
      </c>
      <c r="E501" s="36" t="str">
        <f>IFERROR(VLOOKUP(C501,#REF!, 2, FALSE), "NO ENCONTRADO")</f>
        <v>NO ENCONTRADO</v>
      </c>
      <c r="F501" s="36" t="str">
        <f>IFERROR(VLOOKUP(C501,#REF!, 3, FALSE), "NO ENCONTRADO")</f>
        <v>NO ENCONTRADO</v>
      </c>
      <c r="G501" s="36" t="str">
        <f>IFERROR(VLOOKUP(C501,#REF!, 4, FALSE), "NO ENCONTRADO")</f>
        <v>NO ENCONTRADO</v>
      </c>
      <c r="H501" s="36" t="str">
        <f>IFERROR(VLOOKUP(C501,#REF!, 5, FALSE), "NO ENCONTRADO")</f>
        <v>NO ENCONTRADO</v>
      </c>
      <c r="I501" s="15"/>
      <c r="J501" s="36"/>
      <c r="K501" s="42"/>
      <c r="L501" s="15"/>
      <c r="M501" s="39">
        <f t="shared" ca="1" si="0"/>
        <v>46026</v>
      </c>
      <c r="N501" s="40" t="str">
        <f t="shared" ca="1" si="1"/>
        <v>✅</v>
      </c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 spans="1:28" ht="13" x14ac:dyDescent="0.15">
      <c r="A502" s="24">
        <f>'Scan to Sheets'!A502</f>
        <v>0</v>
      </c>
      <c r="B502" s="26">
        <f>'Scan to Sheets'!B502</f>
        <v>0</v>
      </c>
      <c r="C502" s="26">
        <f>'Scan to Sheets'!C502</f>
        <v>0</v>
      </c>
      <c r="D502" s="26">
        <f>'Scan to Sheets'!D502</f>
        <v>0</v>
      </c>
      <c r="E502" s="27" t="str">
        <f>IFERROR(VLOOKUP(C502,#REF!, 2, FALSE), "NO ENCONTRADO")</f>
        <v>NO ENCONTRADO</v>
      </c>
      <c r="F502" s="27" t="str">
        <f>IFERROR(VLOOKUP(C502,#REF!, 3, FALSE), "NO ENCONTRADO")</f>
        <v>NO ENCONTRADO</v>
      </c>
      <c r="G502" s="27" t="str">
        <f>IFERROR(VLOOKUP(C502,#REF!, 4, FALSE), "NO ENCONTRADO")</f>
        <v>NO ENCONTRADO</v>
      </c>
      <c r="H502" s="27" t="str">
        <f>IFERROR(VLOOKUP(C502,#REF!, 5, FALSE), "NO ENCONTRADO")</f>
        <v>NO ENCONTRADO</v>
      </c>
      <c r="I502" s="14"/>
      <c r="J502" s="27"/>
      <c r="K502" s="41"/>
      <c r="L502" s="14"/>
      <c r="M502" s="30">
        <f t="shared" ca="1" si="0"/>
        <v>46026</v>
      </c>
      <c r="N502" s="31" t="str">
        <f t="shared" ca="1" si="1"/>
        <v>✅</v>
      </c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 spans="1:28" ht="13" x14ac:dyDescent="0.15">
      <c r="A503" s="33">
        <f>'Scan to Sheets'!A503</f>
        <v>0</v>
      </c>
      <c r="B503" s="35">
        <f>'Scan to Sheets'!B503</f>
        <v>0</v>
      </c>
      <c r="C503" s="35">
        <f>'Scan to Sheets'!C503</f>
        <v>0</v>
      </c>
      <c r="D503" s="35">
        <f>'Scan to Sheets'!D503</f>
        <v>0</v>
      </c>
      <c r="E503" s="36" t="str">
        <f>IFERROR(VLOOKUP(C503,#REF!, 2, FALSE), "NO ENCONTRADO")</f>
        <v>NO ENCONTRADO</v>
      </c>
      <c r="F503" s="36" t="str">
        <f>IFERROR(VLOOKUP(C503,#REF!, 3, FALSE), "NO ENCONTRADO")</f>
        <v>NO ENCONTRADO</v>
      </c>
      <c r="G503" s="36" t="str">
        <f>IFERROR(VLOOKUP(C503,#REF!, 4, FALSE), "NO ENCONTRADO")</f>
        <v>NO ENCONTRADO</v>
      </c>
      <c r="H503" s="36" t="str">
        <f>IFERROR(VLOOKUP(C503,#REF!, 5, FALSE), "NO ENCONTRADO")</f>
        <v>NO ENCONTRADO</v>
      </c>
      <c r="I503" s="15"/>
      <c r="J503" s="36"/>
      <c r="K503" s="42"/>
      <c r="L503" s="15"/>
      <c r="M503" s="39">
        <f t="shared" ca="1" si="0"/>
        <v>46026</v>
      </c>
      <c r="N503" s="40" t="str">
        <f t="shared" ca="1" si="1"/>
        <v>✅</v>
      </c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 spans="1:28" ht="13" x14ac:dyDescent="0.15">
      <c r="A504" s="24">
        <f>'Scan to Sheets'!A504</f>
        <v>0</v>
      </c>
      <c r="B504" s="26">
        <f>'Scan to Sheets'!B504</f>
        <v>0</v>
      </c>
      <c r="C504" s="26">
        <f>'Scan to Sheets'!C504</f>
        <v>0</v>
      </c>
      <c r="D504" s="26">
        <f>'Scan to Sheets'!D504</f>
        <v>0</v>
      </c>
      <c r="E504" s="27" t="str">
        <f>IFERROR(VLOOKUP(C504,#REF!, 2, FALSE), "NO ENCONTRADO")</f>
        <v>NO ENCONTRADO</v>
      </c>
      <c r="F504" s="27" t="str">
        <f>IFERROR(VLOOKUP(C504,#REF!, 3, FALSE), "NO ENCONTRADO")</f>
        <v>NO ENCONTRADO</v>
      </c>
      <c r="G504" s="27" t="str">
        <f>IFERROR(VLOOKUP(C504,#REF!, 4, FALSE), "NO ENCONTRADO")</f>
        <v>NO ENCONTRADO</v>
      </c>
      <c r="H504" s="27" t="str">
        <f>IFERROR(VLOOKUP(C504,#REF!, 5, FALSE), "NO ENCONTRADO")</f>
        <v>NO ENCONTRADO</v>
      </c>
      <c r="I504" s="14"/>
      <c r="J504" s="27"/>
      <c r="K504" s="41"/>
      <c r="L504" s="14"/>
      <c r="M504" s="30">
        <f t="shared" ca="1" si="0"/>
        <v>46026</v>
      </c>
      <c r="N504" s="31" t="str">
        <f t="shared" ca="1" si="1"/>
        <v>✅</v>
      </c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 spans="1:28" ht="13" x14ac:dyDescent="0.15">
      <c r="A505" s="33">
        <f>'Scan to Sheets'!A505</f>
        <v>0</v>
      </c>
      <c r="B505" s="35">
        <f>'Scan to Sheets'!B505</f>
        <v>0</v>
      </c>
      <c r="C505" s="35">
        <f>'Scan to Sheets'!C505</f>
        <v>0</v>
      </c>
      <c r="D505" s="35">
        <f>'Scan to Sheets'!D505</f>
        <v>0</v>
      </c>
      <c r="E505" s="36" t="str">
        <f>IFERROR(VLOOKUP(C505,#REF!, 2, FALSE), "NO ENCONTRADO")</f>
        <v>NO ENCONTRADO</v>
      </c>
      <c r="F505" s="36" t="str">
        <f>IFERROR(VLOOKUP(C505,#REF!, 3, FALSE), "NO ENCONTRADO")</f>
        <v>NO ENCONTRADO</v>
      </c>
      <c r="G505" s="36" t="str">
        <f>IFERROR(VLOOKUP(C505,#REF!, 4, FALSE), "NO ENCONTRADO")</f>
        <v>NO ENCONTRADO</v>
      </c>
      <c r="H505" s="36" t="str">
        <f>IFERROR(VLOOKUP(C505,#REF!, 5, FALSE), "NO ENCONTRADO")</f>
        <v>NO ENCONTRADO</v>
      </c>
      <c r="I505" s="15"/>
      <c r="J505" s="36"/>
      <c r="K505" s="42"/>
      <c r="L505" s="15"/>
      <c r="M505" s="39">
        <f t="shared" ca="1" si="0"/>
        <v>46026</v>
      </c>
      <c r="N505" s="40" t="str">
        <f t="shared" ca="1" si="1"/>
        <v>✅</v>
      </c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 spans="1:28" ht="13" x14ac:dyDescent="0.15">
      <c r="A506" s="24">
        <f>'Scan to Sheets'!A506</f>
        <v>0</v>
      </c>
      <c r="B506" s="26">
        <f>'Scan to Sheets'!B506</f>
        <v>0</v>
      </c>
      <c r="C506" s="26">
        <f>'Scan to Sheets'!C506</f>
        <v>0</v>
      </c>
      <c r="D506" s="26">
        <f>'Scan to Sheets'!D506</f>
        <v>0</v>
      </c>
      <c r="E506" s="27" t="str">
        <f>IFERROR(VLOOKUP(C506,#REF!, 2, FALSE), "NO ENCONTRADO")</f>
        <v>NO ENCONTRADO</v>
      </c>
      <c r="F506" s="27" t="str">
        <f>IFERROR(VLOOKUP(C506,#REF!, 3, FALSE), "NO ENCONTRADO")</f>
        <v>NO ENCONTRADO</v>
      </c>
      <c r="G506" s="27" t="str">
        <f>IFERROR(VLOOKUP(C506,#REF!, 4, FALSE), "NO ENCONTRADO")</f>
        <v>NO ENCONTRADO</v>
      </c>
      <c r="H506" s="27" t="str">
        <f>IFERROR(VLOOKUP(C506,#REF!, 5, FALSE), "NO ENCONTRADO")</f>
        <v>NO ENCONTRADO</v>
      </c>
      <c r="I506" s="14"/>
      <c r="J506" s="27"/>
      <c r="K506" s="41"/>
      <c r="L506" s="14"/>
      <c r="M506" s="30">
        <f t="shared" ca="1" si="0"/>
        <v>46026</v>
      </c>
      <c r="N506" s="31" t="str">
        <f t="shared" ca="1" si="1"/>
        <v>✅</v>
      </c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 spans="1:28" ht="13" x14ac:dyDescent="0.15">
      <c r="A507" s="33">
        <f>'Scan to Sheets'!A507</f>
        <v>0</v>
      </c>
      <c r="B507" s="35">
        <f>'Scan to Sheets'!B507</f>
        <v>0</v>
      </c>
      <c r="C507" s="35">
        <f>'Scan to Sheets'!C507</f>
        <v>0</v>
      </c>
      <c r="D507" s="35">
        <f>'Scan to Sheets'!D507</f>
        <v>0</v>
      </c>
      <c r="E507" s="36" t="str">
        <f>IFERROR(VLOOKUP(C507,#REF!, 2, FALSE), "NO ENCONTRADO")</f>
        <v>NO ENCONTRADO</v>
      </c>
      <c r="F507" s="36" t="str">
        <f>IFERROR(VLOOKUP(C507,#REF!, 3, FALSE), "NO ENCONTRADO")</f>
        <v>NO ENCONTRADO</v>
      </c>
      <c r="G507" s="36" t="str">
        <f>IFERROR(VLOOKUP(C507,#REF!, 4, FALSE), "NO ENCONTRADO")</f>
        <v>NO ENCONTRADO</v>
      </c>
      <c r="H507" s="36" t="str">
        <f>IFERROR(VLOOKUP(C507,#REF!, 5, FALSE), "NO ENCONTRADO")</f>
        <v>NO ENCONTRADO</v>
      </c>
      <c r="I507" s="15"/>
      <c r="J507" s="36"/>
      <c r="K507" s="42"/>
      <c r="L507" s="15"/>
      <c r="M507" s="39">
        <f t="shared" ca="1" si="0"/>
        <v>46026</v>
      </c>
      <c r="N507" s="40" t="str">
        <f t="shared" ca="1" si="1"/>
        <v>✅</v>
      </c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spans="1:28" ht="13" x14ac:dyDescent="0.15">
      <c r="A508" s="24">
        <f>'Scan to Sheets'!A508</f>
        <v>0</v>
      </c>
      <c r="B508" s="26">
        <f>'Scan to Sheets'!B508</f>
        <v>0</v>
      </c>
      <c r="C508" s="26">
        <f>'Scan to Sheets'!C508</f>
        <v>0</v>
      </c>
      <c r="D508" s="26">
        <f>'Scan to Sheets'!D508</f>
        <v>0</v>
      </c>
      <c r="E508" s="27" t="str">
        <f>IFERROR(VLOOKUP(C508,#REF!, 2, FALSE), "NO ENCONTRADO")</f>
        <v>NO ENCONTRADO</v>
      </c>
      <c r="F508" s="27" t="str">
        <f>IFERROR(VLOOKUP(C508,#REF!, 3, FALSE), "NO ENCONTRADO")</f>
        <v>NO ENCONTRADO</v>
      </c>
      <c r="G508" s="27" t="str">
        <f>IFERROR(VLOOKUP(C508,#REF!, 4, FALSE), "NO ENCONTRADO")</f>
        <v>NO ENCONTRADO</v>
      </c>
      <c r="H508" s="27" t="str">
        <f>IFERROR(VLOOKUP(C508,#REF!, 5, FALSE), "NO ENCONTRADO")</f>
        <v>NO ENCONTRADO</v>
      </c>
      <c r="I508" s="14"/>
      <c r="J508" s="27"/>
      <c r="K508" s="41"/>
      <c r="L508" s="14"/>
      <c r="M508" s="30">
        <f t="shared" ca="1" si="0"/>
        <v>46026</v>
      </c>
      <c r="N508" s="31" t="str">
        <f t="shared" ca="1" si="1"/>
        <v>✅</v>
      </c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spans="1:28" ht="13" x14ac:dyDescent="0.15">
      <c r="A509" s="33">
        <f>'Scan to Sheets'!A509</f>
        <v>0</v>
      </c>
      <c r="B509" s="35">
        <f>'Scan to Sheets'!B509</f>
        <v>0</v>
      </c>
      <c r="C509" s="35">
        <f>'Scan to Sheets'!C509</f>
        <v>0</v>
      </c>
      <c r="D509" s="35">
        <f>'Scan to Sheets'!D509</f>
        <v>0</v>
      </c>
      <c r="E509" s="36" t="str">
        <f>IFERROR(VLOOKUP(C509,#REF!, 2, FALSE), "NO ENCONTRADO")</f>
        <v>NO ENCONTRADO</v>
      </c>
      <c r="F509" s="36" t="str">
        <f>IFERROR(VLOOKUP(C509,#REF!, 3, FALSE), "NO ENCONTRADO")</f>
        <v>NO ENCONTRADO</v>
      </c>
      <c r="G509" s="36" t="str">
        <f>IFERROR(VLOOKUP(C509,#REF!, 4, FALSE), "NO ENCONTRADO")</f>
        <v>NO ENCONTRADO</v>
      </c>
      <c r="H509" s="36" t="str">
        <f>IFERROR(VLOOKUP(C509,#REF!, 5, FALSE), "NO ENCONTRADO")</f>
        <v>NO ENCONTRADO</v>
      </c>
      <c r="I509" s="15"/>
      <c r="J509" s="36"/>
      <c r="K509" s="42"/>
      <c r="L509" s="15"/>
      <c r="M509" s="39">
        <f t="shared" ca="1" si="0"/>
        <v>46026</v>
      </c>
      <c r="N509" s="40" t="str">
        <f t="shared" ca="1" si="1"/>
        <v>✅</v>
      </c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spans="1:28" ht="13" x14ac:dyDescent="0.15">
      <c r="A510" s="24">
        <f>'Scan to Sheets'!A510</f>
        <v>0</v>
      </c>
      <c r="B510" s="26">
        <f>'Scan to Sheets'!B510</f>
        <v>0</v>
      </c>
      <c r="C510" s="26">
        <f>'Scan to Sheets'!C510</f>
        <v>0</v>
      </c>
      <c r="D510" s="26">
        <f>'Scan to Sheets'!D510</f>
        <v>0</v>
      </c>
      <c r="E510" s="27" t="str">
        <f>IFERROR(VLOOKUP(C510,#REF!, 2, FALSE), "NO ENCONTRADO")</f>
        <v>NO ENCONTRADO</v>
      </c>
      <c r="F510" s="27" t="str">
        <f>IFERROR(VLOOKUP(C510,#REF!, 3, FALSE), "NO ENCONTRADO")</f>
        <v>NO ENCONTRADO</v>
      </c>
      <c r="G510" s="27" t="str">
        <f>IFERROR(VLOOKUP(C510,#REF!, 4, FALSE), "NO ENCONTRADO")</f>
        <v>NO ENCONTRADO</v>
      </c>
      <c r="H510" s="27" t="str">
        <f>IFERROR(VLOOKUP(C510,#REF!, 5, FALSE), "NO ENCONTRADO")</f>
        <v>NO ENCONTRADO</v>
      </c>
      <c r="I510" s="14"/>
      <c r="J510" s="27"/>
      <c r="K510" s="41"/>
      <c r="L510" s="14"/>
      <c r="M510" s="30">
        <f t="shared" ca="1" si="0"/>
        <v>46026</v>
      </c>
      <c r="N510" s="31" t="str">
        <f t="shared" ca="1" si="1"/>
        <v>✅</v>
      </c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spans="1:28" ht="13" x14ac:dyDescent="0.15">
      <c r="A511" s="33">
        <f>'Scan to Sheets'!A511</f>
        <v>0</v>
      </c>
      <c r="B511" s="35">
        <f>'Scan to Sheets'!B511</f>
        <v>0</v>
      </c>
      <c r="C511" s="35">
        <f>'Scan to Sheets'!C511</f>
        <v>0</v>
      </c>
      <c r="D511" s="35">
        <f>'Scan to Sheets'!D511</f>
        <v>0</v>
      </c>
      <c r="E511" s="36" t="str">
        <f>IFERROR(VLOOKUP(C511,#REF!, 2, FALSE), "NO ENCONTRADO")</f>
        <v>NO ENCONTRADO</v>
      </c>
      <c r="F511" s="36" t="str">
        <f>IFERROR(VLOOKUP(C511,#REF!, 3, FALSE), "NO ENCONTRADO")</f>
        <v>NO ENCONTRADO</v>
      </c>
      <c r="G511" s="36" t="str">
        <f>IFERROR(VLOOKUP(C511,#REF!, 4, FALSE), "NO ENCONTRADO")</f>
        <v>NO ENCONTRADO</v>
      </c>
      <c r="H511" s="36" t="str">
        <f>IFERROR(VLOOKUP(C511,#REF!, 5, FALSE), "NO ENCONTRADO")</f>
        <v>NO ENCONTRADO</v>
      </c>
      <c r="I511" s="15"/>
      <c r="J511" s="36"/>
      <c r="K511" s="42"/>
      <c r="L511" s="15"/>
      <c r="M511" s="39">
        <f t="shared" ca="1" si="0"/>
        <v>46026</v>
      </c>
      <c r="N511" s="40" t="str">
        <f t="shared" ca="1" si="1"/>
        <v>✅</v>
      </c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spans="1:28" ht="13" x14ac:dyDescent="0.15">
      <c r="A512" s="24">
        <f>'Scan to Sheets'!A512</f>
        <v>0</v>
      </c>
      <c r="B512" s="26">
        <f>'Scan to Sheets'!B512</f>
        <v>0</v>
      </c>
      <c r="C512" s="26">
        <f>'Scan to Sheets'!C512</f>
        <v>0</v>
      </c>
      <c r="D512" s="26">
        <f>'Scan to Sheets'!D512</f>
        <v>0</v>
      </c>
      <c r="E512" s="27" t="str">
        <f>IFERROR(VLOOKUP(C512,#REF!, 2, FALSE), "NO ENCONTRADO")</f>
        <v>NO ENCONTRADO</v>
      </c>
      <c r="F512" s="27" t="str">
        <f>IFERROR(VLOOKUP(C512,#REF!, 3, FALSE), "NO ENCONTRADO")</f>
        <v>NO ENCONTRADO</v>
      </c>
      <c r="G512" s="27" t="str">
        <f>IFERROR(VLOOKUP(C512,#REF!, 4, FALSE), "NO ENCONTRADO")</f>
        <v>NO ENCONTRADO</v>
      </c>
      <c r="H512" s="27" t="str">
        <f>IFERROR(VLOOKUP(C512,#REF!, 5, FALSE), "NO ENCONTRADO")</f>
        <v>NO ENCONTRADO</v>
      </c>
      <c r="I512" s="14"/>
      <c r="J512" s="27"/>
      <c r="K512" s="41"/>
      <c r="L512" s="14"/>
      <c r="M512" s="30">
        <f t="shared" ca="1" si="0"/>
        <v>46026</v>
      </c>
      <c r="N512" s="31" t="str">
        <f t="shared" ca="1" si="1"/>
        <v>✅</v>
      </c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spans="1:28" ht="13" x14ac:dyDescent="0.15">
      <c r="A513" s="33">
        <f>'Scan to Sheets'!A513</f>
        <v>0</v>
      </c>
      <c r="B513" s="35">
        <f>'Scan to Sheets'!B513</f>
        <v>0</v>
      </c>
      <c r="C513" s="35">
        <f>'Scan to Sheets'!C513</f>
        <v>0</v>
      </c>
      <c r="D513" s="35">
        <f>'Scan to Sheets'!D513</f>
        <v>0</v>
      </c>
      <c r="E513" s="36" t="str">
        <f>IFERROR(VLOOKUP(C513,#REF!, 2, FALSE), "NO ENCONTRADO")</f>
        <v>NO ENCONTRADO</v>
      </c>
      <c r="F513" s="36" t="str">
        <f>IFERROR(VLOOKUP(C513,#REF!, 3, FALSE), "NO ENCONTRADO")</f>
        <v>NO ENCONTRADO</v>
      </c>
      <c r="G513" s="36" t="str">
        <f>IFERROR(VLOOKUP(C513,#REF!, 4, FALSE), "NO ENCONTRADO")</f>
        <v>NO ENCONTRADO</v>
      </c>
      <c r="H513" s="36" t="str">
        <f>IFERROR(VLOOKUP(C513,#REF!, 5, FALSE), "NO ENCONTRADO")</f>
        <v>NO ENCONTRADO</v>
      </c>
      <c r="I513" s="15"/>
      <c r="J513" s="36"/>
      <c r="K513" s="42"/>
      <c r="L513" s="15"/>
      <c r="M513" s="39">
        <f t="shared" ca="1" si="0"/>
        <v>46026</v>
      </c>
      <c r="N513" s="40" t="str">
        <f t="shared" ca="1" si="1"/>
        <v>✅</v>
      </c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spans="1:28" ht="13" x14ac:dyDescent="0.15">
      <c r="A514" s="24">
        <f>'Scan to Sheets'!A514</f>
        <v>0</v>
      </c>
      <c r="B514" s="26">
        <f>'Scan to Sheets'!B514</f>
        <v>0</v>
      </c>
      <c r="C514" s="26">
        <f>'Scan to Sheets'!C514</f>
        <v>0</v>
      </c>
      <c r="D514" s="26">
        <f>'Scan to Sheets'!D514</f>
        <v>0</v>
      </c>
      <c r="E514" s="27" t="str">
        <f>IFERROR(VLOOKUP(C514,#REF!, 2, FALSE), "NO ENCONTRADO")</f>
        <v>NO ENCONTRADO</v>
      </c>
      <c r="F514" s="27" t="str">
        <f>IFERROR(VLOOKUP(C514,#REF!, 3, FALSE), "NO ENCONTRADO")</f>
        <v>NO ENCONTRADO</v>
      </c>
      <c r="G514" s="27" t="str">
        <f>IFERROR(VLOOKUP(C514,#REF!, 4, FALSE), "NO ENCONTRADO")</f>
        <v>NO ENCONTRADO</v>
      </c>
      <c r="H514" s="27" t="str">
        <f>IFERROR(VLOOKUP(C514,#REF!, 5, FALSE), "NO ENCONTRADO")</f>
        <v>NO ENCONTRADO</v>
      </c>
      <c r="I514" s="14"/>
      <c r="J514" s="27"/>
      <c r="K514" s="41"/>
      <c r="L514" s="14"/>
      <c r="M514" s="30">
        <f t="shared" ca="1" si="0"/>
        <v>46026</v>
      </c>
      <c r="N514" s="31" t="str">
        <f t="shared" ca="1" si="1"/>
        <v>✅</v>
      </c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spans="1:28" ht="13" x14ac:dyDescent="0.15">
      <c r="A515" s="33">
        <f>'Scan to Sheets'!A515</f>
        <v>0</v>
      </c>
      <c r="B515" s="35">
        <f>'Scan to Sheets'!B515</f>
        <v>0</v>
      </c>
      <c r="C515" s="35">
        <f>'Scan to Sheets'!C515</f>
        <v>0</v>
      </c>
      <c r="D515" s="35">
        <f>'Scan to Sheets'!D515</f>
        <v>0</v>
      </c>
      <c r="E515" s="36" t="str">
        <f>IFERROR(VLOOKUP(C515,#REF!, 2, FALSE), "NO ENCONTRADO")</f>
        <v>NO ENCONTRADO</v>
      </c>
      <c r="F515" s="36" t="str">
        <f>IFERROR(VLOOKUP(C515,#REF!, 3, FALSE), "NO ENCONTRADO")</f>
        <v>NO ENCONTRADO</v>
      </c>
      <c r="G515" s="36" t="str">
        <f>IFERROR(VLOOKUP(C515,#REF!, 4, FALSE), "NO ENCONTRADO")</f>
        <v>NO ENCONTRADO</v>
      </c>
      <c r="H515" s="36" t="str">
        <f>IFERROR(VLOOKUP(C515,#REF!, 5, FALSE), "NO ENCONTRADO")</f>
        <v>NO ENCONTRADO</v>
      </c>
      <c r="I515" s="15"/>
      <c r="J515" s="36"/>
      <c r="K515" s="42"/>
      <c r="L515" s="15"/>
      <c r="M515" s="39">
        <f t="shared" ca="1" si="0"/>
        <v>46026</v>
      </c>
      <c r="N515" s="40" t="str">
        <f t="shared" ca="1" si="1"/>
        <v>✅</v>
      </c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spans="1:28" ht="13" x14ac:dyDescent="0.15">
      <c r="A516" s="24">
        <f>'Scan to Sheets'!A516</f>
        <v>0</v>
      </c>
      <c r="B516" s="26">
        <f>'Scan to Sheets'!B516</f>
        <v>0</v>
      </c>
      <c r="C516" s="26">
        <f>'Scan to Sheets'!C516</f>
        <v>0</v>
      </c>
      <c r="D516" s="26">
        <f>'Scan to Sheets'!D516</f>
        <v>0</v>
      </c>
      <c r="E516" s="27" t="str">
        <f>IFERROR(VLOOKUP(C516,#REF!, 2, FALSE), "NO ENCONTRADO")</f>
        <v>NO ENCONTRADO</v>
      </c>
      <c r="F516" s="27" t="str">
        <f>IFERROR(VLOOKUP(C516,#REF!, 3, FALSE), "NO ENCONTRADO")</f>
        <v>NO ENCONTRADO</v>
      </c>
      <c r="G516" s="27" t="str">
        <f>IFERROR(VLOOKUP(C516,#REF!, 4, FALSE), "NO ENCONTRADO")</f>
        <v>NO ENCONTRADO</v>
      </c>
      <c r="H516" s="27" t="str">
        <f>IFERROR(VLOOKUP(C516,#REF!, 5, FALSE), "NO ENCONTRADO")</f>
        <v>NO ENCONTRADO</v>
      </c>
      <c r="I516" s="14"/>
      <c r="J516" s="27"/>
      <c r="K516" s="41"/>
      <c r="L516" s="14"/>
      <c r="M516" s="30">
        <f t="shared" ca="1" si="0"/>
        <v>46026</v>
      </c>
      <c r="N516" s="31" t="str">
        <f t="shared" ca="1" si="1"/>
        <v>✅</v>
      </c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spans="1:28" ht="13" x14ac:dyDescent="0.15">
      <c r="A517" s="33">
        <f>'Scan to Sheets'!A517</f>
        <v>0</v>
      </c>
      <c r="B517" s="35">
        <f>'Scan to Sheets'!B517</f>
        <v>0</v>
      </c>
      <c r="C517" s="35">
        <f>'Scan to Sheets'!C517</f>
        <v>0</v>
      </c>
      <c r="D517" s="35">
        <f>'Scan to Sheets'!D517</f>
        <v>0</v>
      </c>
      <c r="E517" s="36" t="str">
        <f>IFERROR(VLOOKUP(C517,#REF!, 2, FALSE), "NO ENCONTRADO")</f>
        <v>NO ENCONTRADO</v>
      </c>
      <c r="F517" s="36" t="str">
        <f>IFERROR(VLOOKUP(C517,#REF!, 3, FALSE), "NO ENCONTRADO")</f>
        <v>NO ENCONTRADO</v>
      </c>
      <c r="G517" s="36" t="str">
        <f>IFERROR(VLOOKUP(C517,#REF!, 4, FALSE), "NO ENCONTRADO")</f>
        <v>NO ENCONTRADO</v>
      </c>
      <c r="H517" s="36" t="str">
        <f>IFERROR(VLOOKUP(C517,#REF!, 5, FALSE), "NO ENCONTRADO")</f>
        <v>NO ENCONTRADO</v>
      </c>
      <c r="I517" s="15"/>
      <c r="J517" s="36"/>
      <c r="K517" s="42"/>
      <c r="L517" s="15"/>
      <c r="M517" s="39">
        <f t="shared" ca="1" si="0"/>
        <v>46026</v>
      </c>
      <c r="N517" s="40" t="str">
        <f t="shared" ca="1" si="1"/>
        <v>✅</v>
      </c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spans="1:28" ht="13" x14ac:dyDescent="0.15">
      <c r="A518" s="24">
        <f>'Scan to Sheets'!A518</f>
        <v>0</v>
      </c>
      <c r="B518" s="26">
        <f>'Scan to Sheets'!B518</f>
        <v>0</v>
      </c>
      <c r="C518" s="26">
        <f>'Scan to Sheets'!C518</f>
        <v>0</v>
      </c>
      <c r="D518" s="26">
        <f>'Scan to Sheets'!D518</f>
        <v>0</v>
      </c>
      <c r="E518" s="27" t="str">
        <f>IFERROR(VLOOKUP(C518,#REF!, 2, FALSE), "NO ENCONTRADO")</f>
        <v>NO ENCONTRADO</v>
      </c>
      <c r="F518" s="27" t="str">
        <f>IFERROR(VLOOKUP(C518,#REF!, 3, FALSE), "NO ENCONTRADO")</f>
        <v>NO ENCONTRADO</v>
      </c>
      <c r="G518" s="27" t="str">
        <f>IFERROR(VLOOKUP(C518,#REF!, 4, FALSE), "NO ENCONTRADO")</f>
        <v>NO ENCONTRADO</v>
      </c>
      <c r="H518" s="27" t="str">
        <f>IFERROR(VLOOKUP(C518,#REF!, 5, FALSE), "NO ENCONTRADO")</f>
        <v>NO ENCONTRADO</v>
      </c>
      <c r="I518" s="14"/>
      <c r="J518" s="27"/>
      <c r="K518" s="41"/>
      <c r="L518" s="14"/>
      <c r="M518" s="30">
        <f t="shared" ca="1" si="0"/>
        <v>46026</v>
      </c>
      <c r="N518" s="31" t="str">
        <f t="shared" ca="1" si="1"/>
        <v>✅</v>
      </c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spans="1:28" ht="13" x14ac:dyDescent="0.15">
      <c r="A519" s="33">
        <f>'Scan to Sheets'!A519</f>
        <v>0</v>
      </c>
      <c r="B519" s="35">
        <f>'Scan to Sheets'!B519</f>
        <v>0</v>
      </c>
      <c r="C519" s="35">
        <f>'Scan to Sheets'!C519</f>
        <v>0</v>
      </c>
      <c r="D519" s="35">
        <f>'Scan to Sheets'!D519</f>
        <v>0</v>
      </c>
      <c r="E519" s="36" t="str">
        <f>IFERROR(VLOOKUP(C519,#REF!, 2, FALSE), "NO ENCONTRADO")</f>
        <v>NO ENCONTRADO</v>
      </c>
      <c r="F519" s="36" t="str">
        <f>IFERROR(VLOOKUP(C519,#REF!, 3, FALSE), "NO ENCONTRADO")</f>
        <v>NO ENCONTRADO</v>
      </c>
      <c r="G519" s="36" t="str">
        <f>IFERROR(VLOOKUP(C519,#REF!, 4, FALSE), "NO ENCONTRADO")</f>
        <v>NO ENCONTRADO</v>
      </c>
      <c r="H519" s="36" t="str">
        <f>IFERROR(VLOOKUP(C519,#REF!, 5, FALSE), "NO ENCONTRADO")</f>
        <v>NO ENCONTRADO</v>
      </c>
      <c r="I519" s="15"/>
      <c r="J519" s="36"/>
      <c r="K519" s="42"/>
      <c r="L519" s="15"/>
      <c r="M519" s="39">
        <f t="shared" ca="1" si="0"/>
        <v>46026</v>
      </c>
      <c r="N519" s="40" t="str">
        <f t="shared" ca="1" si="1"/>
        <v>✅</v>
      </c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spans="1:28" ht="13" x14ac:dyDescent="0.15">
      <c r="A520" s="24">
        <f>'Scan to Sheets'!A520</f>
        <v>0</v>
      </c>
      <c r="B520" s="26">
        <f>'Scan to Sheets'!B520</f>
        <v>0</v>
      </c>
      <c r="C520" s="26">
        <f>'Scan to Sheets'!C520</f>
        <v>0</v>
      </c>
      <c r="D520" s="26">
        <f>'Scan to Sheets'!D520</f>
        <v>0</v>
      </c>
      <c r="E520" s="27" t="str">
        <f>IFERROR(VLOOKUP(C520,#REF!, 2, FALSE), "NO ENCONTRADO")</f>
        <v>NO ENCONTRADO</v>
      </c>
      <c r="F520" s="27" t="str">
        <f>IFERROR(VLOOKUP(C520,#REF!, 3, FALSE), "NO ENCONTRADO")</f>
        <v>NO ENCONTRADO</v>
      </c>
      <c r="G520" s="27" t="str">
        <f>IFERROR(VLOOKUP(C520,#REF!, 4, FALSE), "NO ENCONTRADO")</f>
        <v>NO ENCONTRADO</v>
      </c>
      <c r="H520" s="27" t="str">
        <f>IFERROR(VLOOKUP(C520,#REF!, 5, FALSE), "NO ENCONTRADO")</f>
        <v>NO ENCONTRADO</v>
      </c>
      <c r="I520" s="14"/>
      <c r="J520" s="27"/>
      <c r="K520" s="41"/>
      <c r="L520" s="14"/>
      <c r="M520" s="30">
        <f t="shared" ca="1" si="0"/>
        <v>46026</v>
      </c>
      <c r="N520" s="31" t="str">
        <f t="shared" ca="1" si="1"/>
        <v>✅</v>
      </c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 spans="1:28" ht="13" x14ac:dyDescent="0.15">
      <c r="A521" s="33">
        <f>'Scan to Sheets'!A521</f>
        <v>0</v>
      </c>
      <c r="B521" s="35">
        <f>'Scan to Sheets'!B521</f>
        <v>0</v>
      </c>
      <c r="C521" s="35">
        <f>'Scan to Sheets'!C521</f>
        <v>0</v>
      </c>
      <c r="D521" s="35">
        <f>'Scan to Sheets'!D521</f>
        <v>0</v>
      </c>
      <c r="E521" s="36" t="str">
        <f>IFERROR(VLOOKUP(C521,#REF!, 2, FALSE), "NO ENCONTRADO")</f>
        <v>NO ENCONTRADO</v>
      </c>
      <c r="F521" s="36" t="str">
        <f>IFERROR(VLOOKUP(C521,#REF!, 3, FALSE), "NO ENCONTRADO")</f>
        <v>NO ENCONTRADO</v>
      </c>
      <c r="G521" s="36" t="str">
        <f>IFERROR(VLOOKUP(C521,#REF!, 4, FALSE), "NO ENCONTRADO")</f>
        <v>NO ENCONTRADO</v>
      </c>
      <c r="H521" s="36" t="str">
        <f>IFERROR(VLOOKUP(C521,#REF!, 5, FALSE), "NO ENCONTRADO")</f>
        <v>NO ENCONTRADO</v>
      </c>
      <c r="I521" s="15"/>
      <c r="J521" s="36"/>
      <c r="K521" s="42"/>
      <c r="L521" s="15"/>
      <c r="M521" s="39">
        <f t="shared" ca="1" si="0"/>
        <v>46026</v>
      </c>
      <c r="N521" s="40" t="str">
        <f t="shared" ca="1" si="1"/>
        <v>✅</v>
      </c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 spans="1:28" ht="13" x14ac:dyDescent="0.15">
      <c r="A522" s="24">
        <f>'Scan to Sheets'!A522</f>
        <v>0</v>
      </c>
      <c r="B522" s="26">
        <f>'Scan to Sheets'!B522</f>
        <v>0</v>
      </c>
      <c r="C522" s="26">
        <f>'Scan to Sheets'!C522</f>
        <v>0</v>
      </c>
      <c r="D522" s="26">
        <f>'Scan to Sheets'!D522</f>
        <v>0</v>
      </c>
      <c r="E522" s="27" t="str">
        <f>IFERROR(VLOOKUP(C522,#REF!, 2, FALSE), "NO ENCONTRADO")</f>
        <v>NO ENCONTRADO</v>
      </c>
      <c r="F522" s="27" t="str">
        <f>IFERROR(VLOOKUP(C522,#REF!, 3, FALSE), "NO ENCONTRADO")</f>
        <v>NO ENCONTRADO</v>
      </c>
      <c r="G522" s="27" t="str">
        <f>IFERROR(VLOOKUP(C522,#REF!, 4, FALSE), "NO ENCONTRADO")</f>
        <v>NO ENCONTRADO</v>
      </c>
      <c r="H522" s="27" t="str">
        <f>IFERROR(VLOOKUP(C522,#REF!, 5, FALSE), "NO ENCONTRADO")</f>
        <v>NO ENCONTRADO</v>
      </c>
      <c r="I522" s="14"/>
      <c r="J522" s="27"/>
      <c r="K522" s="41"/>
      <c r="L522" s="14"/>
      <c r="M522" s="30">
        <f t="shared" ca="1" si="0"/>
        <v>46026</v>
      </c>
      <c r="N522" s="31" t="str">
        <f t="shared" ca="1" si="1"/>
        <v>✅</v>
      </c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 spans="1:28" ht="13" x14ac:dyDescent="0.15">
      <c r="A523" s="33">
        <f>'Scan to Sheets'!A523</f>
        <v>0</v>
      </c>
      <c r="B523" s="35">
        <f>'Scan to Sheets'!B523</f>
        <v>0</v>
      </c>
      <c r="C523" s="35">
        <f>'Scan to Sheets'!C523</f>
        <v>0</v>
      </c>
      <c r="D523" s="35">
        <f>'Scan to Sheets'!D523</f>
        <v>0</v>
      </c>
      <c r="E523" s="36" t="str">
        <f>IFERROR(VLOOKUP(C523,#REF!, 2, FALSE), "NO ENCONTRADO")</f>
        <v>NO ENCONTRADO</v>
      </c>
      <c r="F523" s="36" t="str">
        <f>IFERROR(VLOOKUP(C523,#REF!, 3, FALSE), "NO ENCONTRADO")</f>
        <v>NO ENCONTRADO</v>
      </c>
      <c r="G523" s="36" t="str">
        <f>IFERROR(VLOOKUP(C523,#REF!, 4, FALSE), "NO ENCONTRADO")</f>
        <v>NO ENCONTRADO</v>
      </c>
      <c r="H523" s="36" t="str">
        <f>IFERROR(VLOOKUP(C523,#REF!, 5, FALSE), "NO ENCONTRADO")</f>
        <v>NO ENCONTRADO</v>
      </c>
      <c r="I523" s="15"/>
      <c r="J523" s="36"/>
      <c r="K523" s="42"/>
      <c r="L523" s="15"/>
      <c r="M523" s="39">
        <f t="shared" ca="1" si="0"/>
        <v>46026</v>
      </c>
      <c r="N523" s="40" t="str">
        <f t="shared" ca="1" si="1"/>
        <v>✅</v>
      </c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 spans="1:28" ht="13" x14ac:dyDescent="0.15">
      <c r="A524" s="24">
        <f>'Scan to Sheets'!A524</f>
        <v>0</v>
      </c>
      <c r="B524" s="26">
        <f>'Scan to Sheets'!B524</f>
        <v>0</v>
      </c>
      <c r="C524" s="26">
        <f>'Scan to Sheets'!C524</f>
        <v>0</v>
      </c>
      <c r="D524" s="26">
        <f>'Scan to Sheets'!D524</f>
        <v>0</v>
      </c>
      <c r="E524" s="27" t="str">
        <f>IFERROR(VLOOKUP(C524,#REF!, 2, FALSE), "NO ENCONTRADO")</f>
        <v>NO ENCONTRADO</v>
      </c>
      <c r="F524" s="27" t="str">
        <f>IFERROR(VLOOKUP(C524,#REF!, 3, FALSE), "NO ENCONTRADO")</f>
        <v>NO ENCONTRADO</v>
      </c>
      <c r="G524" s="27" t="str">
        <f>IFERROR(VLOOKUP(C524,#REF!, 4, FALSE), "NO ENCONTRADO")</f>
        <v>NO ENCONTRADO</v>
      </c>
      <c r="H524" s="27" t="str">
        <f>IFERROR(VLOOKUP(C524,#REF!, 5, FALSE), "NO ENCONTRADO")</f>
        <v>NO ENCONTRADO</v>
      </c>
      <c r="I524" s="14"/>
      <c r="J524" s="27"/>
      <c r="K524" s="41"/>
      <c r="L524" s="14"/>
      <c r="M524" s="30">
        <f t="shared" ca="1" si="0"/>
        <v>46026</v>
      </c>
      <c r="N524" s="31" t="str">
        <f t="shared" ca="1" si="1"/>
        <v>✅</v>
      </c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 spans="1:28" ht="13" x14ac:dyDescent="0.15">
      <c r="A525" s="33">
        <f>'Scan to Sheets'!A525</f>
        <v>0</v>
      </c>
      <c r="B525" s="35">
        <f>'Scan to Sheets'!B525</f>
        <v>0</v>
      </c>
      <c r="C525" s="35">
        <f>'Scan to Sheets'!C525</f>
        <v>0</v>
      </c>
      <c r="D525" s="35">
        <f>'Scan to Sheets'!D525</f>
        <v>0</v>
      </c>
      <c r="E525" s="36" t="str">
        <f>IFERROR(VLOOKUP(C525,#REF!, 2, FALSE), "NO ENCONTRADO")</f>
        <v>NO ENCONTRADO</v>
      </c>
      <c r="F525" s="36" t="str">
        <f>IFERROR(VLOOKUP(C525,#REF!, 3, FALSE), "NO ENCONTRADO")</f>
        <v>NO ENCONTRADO</v>
      </c>
      <c r="G525" s="36" t="str">
        <f>IFERROR(VLOOKUP(C525,#REF!, 4, FALSE), "NO ENCONTRADO")</f>
        <v>NO ENCONTRADO</v>
      </c>
      <c r="H525" s="36" t="str">
        <f>IFERROR(VLOOKUP(C525,#REF!, 5, FALSE), "NO ENCONTRADO")</f>
        <v>NO ENCONTRADO</v>
      </c>
      <c r="I525" s="15"/>
      <c r="J525" s="36"/>
      <c r="K525" s="42"/>
      <c r="L525" s="15"/>
      <c r="M525" s="39">
        <f t="shared" ca="1" si="0"/>
        <v>46026</v>
      </c>
      <c r="N525" s="40" t="str">
        <f t="shared" ca="1" si="1"/>
        <v>✅</v>
      </c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 spans="1:28" ht="13" x14ac:dyDescent="0.15">
      <c r="A526" s="24">
        <f>'Scan to Sheets'!A526</f>
        <v>0</v>
      </c>
      <c r="B526" s="26">
        <f>'Scan to Sheets'!B526</f>
        <v>0</v>
      </c>
      <c r="C526" s="26">
        <f>'Scan to Sheets'!C526</f>
        <v>0</v>
      </c>
      <c r="D526" s="26">
        <f>'Scan to Sheets'!D526</f>
        <v>0</v>
      </c>
      <c r="E526" s="27" t="str">
        <f>IFERROR(VLOOKUP(C526,#REF!, 2, FALSE), "NO ENCONTRADO")</f>
        <v>NO ENCONTRADO</v>
      </c>
      <c r="F526" s="27" t="str">
        <f>IFERROR(VLOOKUP(C526,#REF!, 3, FALSE), "NO ENCONTRADO")</f>
        <v>NO ENCONTRADO</v>
      </c>
      <c r="G526" s="27" t="str">
        <f>IFERROR(VLOOKUP(C526,#REF!, 4, FALSE), "NO ENCONTRADO")</f>
        <v>NO ENCONTRADO</v>
      </c>
      <c r="H526" s="27" t="str">
        <f>IFERROR(VLOOKUP(C526,#REF!, 5, FALSE), "NO ENCONTRADO")</f>
        <v>NO ENCONTRADO</v>
      </c>
      <c r="I526" s="14"/>
      <c r="J526" s="27"/>
      <c r="K526" s="41"/>
      <c r="L526" s="14"/>
      <c r="M526" s="30">
        <f t="shared" ca="1" si="0"/>
        <v>46026</v>
      </c>
      <c r="N526" s="31" t="str">
        <f t="shared" ca="1" si="1"/>
        <v>✅</v>
      </c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 spans="1:28" ht="13" x14ac:dyDescent="0.15">
      <c r="A527" s="33">
        <f>'Scan to Sheets'!A527</f>
        <v>0</v>
      </c>
      <c r="B527" s="35">
        <f>'Scan to Sheets'!B527</f>
        <v>0</v>
      </c>
      <c r="C527" s="35">
        <f>'Scan to Sheets'!C527</f>
        <v>0</v>
      </c>
      <c r="D527" s="35">
        <f>'Scan to Sheets'!D527</f>
        <v>0</v>
      </c>
      <c r="E527" s="36" t="str">
        <f>IFERROR(VLOOKUP(C527,#REF!, 2, FALSE), "NO ENCONTRADO")</f>
        <v>NO ENCONTRADO</v>
      </c>
      <c r="F527" s="36" t="str">
        <f>IFERROR(VLOOKUP(C527,#REF!, 3, FALSE), "NO ENCONTRADO")</f>
        <v>NO ENCONTRADO</v>
      </c>
      <c r="G527" s="36" t="str">
        <f>IFERROR(VLOOKUP(C527,#REF!, 4, FALSE), "NO ENCONTRADO")</f>
        <v>NO ENCONTRADO</v>
      </c>
      <c r="H527" s="36" t="str">
        <f>IFERROR(VLOOKUP(C527,#REF!, 5, FALSE), "NO ENCONTRADO")</f>
        <v>NO ENCONTRADO</v>
      </c>
      <c r="I527" s="15"/>
      <c r="J527" s="36"/>
      <c r="K527" s="42"/>
      <c r="L527" s="15"/>
      <c r="M527" s="39">
        <f t="shared" ca="1" si="0"/>
        <v>46026</v>
      </c>
      <c r="N527" s="40" t="str">
        <f t="shared" ca="1" si="1"/>
        <v>✅</v>
      </c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 spans="1:28" ht="13" x14ac:dyDescent="0.15">
      <c r="A528" s="24">
        <f>'Scan to Sheets'!A528</f>
        <v>0</v>
      </c>
      <c r="B528" s="26">
        <f>'Scan to Sheets'!B528</f>
        <v>0</v>
      </c>
      <c r="C528" s="26">
        <f>'Scan to Sheets'!C528</f>
        <v>0</v>
      </c>
      <c r="D528" s="26">
        <f>'Scan to Sheets'!D528</f>
        <v>0</v>
      </c>
      <c r="E528" s="27" t="str">
        <f>IFERROR(VLOOKUP(C528,#REF!, 2, FALSE), "NO ENCONTRADO")</f>
        <v>NO ENCONTRADO</v>
      </c>
      <c r="F528" s="27" t="str">
        <f>IFERROR(VLOOKUP(C528,#REF!, 3, FALSE), "NO ENCONTRADO")</f>
        <v>NO ENCONTRADO</v>
      </c>
      <c r="G528" s="27" t="str">
        <f>IFERROR(VLOOKUP(C528,#REF!, 4, FALSE), "NO ENCONTRADO")</f>
        <v>NO ENCONTRADO</v>
      </c>
      <c r="H528" s="27" t="str">
        <f>IFERROR(VLOOKUP(C528,#REF!, 5, FALSE), "NO ENCONTRADO")</f>
        <v>NO ENCONTRADO</v>
      </c>
      <c r="I528" s="14"/>
      <c r="J528" s="27"/>
      <c r="K528" s="41"/>
      <c r="L528" s="14"/>
      <c r="M528" s="30">
        <f t="shared" ca="1" si="0"/>
        <v>46026</v>
      </c>
      <c r="N528" s="31" t="str">
        <f t="shared" ca="1" si="1"/>
        <v>✅</v>
      </c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 spans="1:28" ht="13" x14ac:dyDescent="0.15">
      <c r="A529" s="33">
        <f>'Scan to Sheets'!A529</f>
        <v>0</v>
      </c>
      <c r="B529" s="35">
        <f>'Scan to Sheets'!B529</f>
        <v>0</v>
      </c>
      <c r="C529" s="35">
        <f>'Scan to Sheets'!C529</f>
        <v>0</v>
      </c>
      <c r="D529" s="35">
        <f>'Scan to Sheets'!D529</f>
        <v>0</v>
      </c>
      <c r="E529" s="36" t="str">
        <f>IFERROR(VLOOKUP(C529,#REF!, 2, FALSE), "NO ENCONTRADO")</f>
        <v>NO ENCONTRADO</v>
      </c>
      <c r="F529" s="36" t="str">
        <f>IFERROR(VLOOKUP(C529,#REF!, 3, FALSE), "NO ENCONTRADO")</f>
        <v>NO ENCONTRADO</v>
      </c>
      <c r="G529" s="36" t="str">
        <f>IFERROR(VLOOKUP(C529,#REF!, 4, FALSE), "NO ENCONTRADO")</f>
        <v>NO ENCONTRADO</v>
      </c>
      <c r="H529" s="36" t="str">
        <f>IFERROR(VLOOKUP(C529,#REF!, 5, FALSE), "NO ENCONTRADO")</f>
        <v>NO ENCONTRADO</v>
      </c>
      <c r="I529" s="15"/>
      <c r="J529" s="36"/>
      <c r="K529" s="42"/>
      <c r="L529" s="15"/>
      <c r="M529" s="39">
        <f t="shared" ca="1" si="0"/>
        <v>46026</v>
      </c>
      <c r="N529" s="40" t="str">
        <f t="shared" ca="1" si="1"/>
        <v>✅</v>
      </c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 spans="1:28" ht="13" x14ac:dyDescent="0.15">
      <c r="A530" s="24">
        <f>'Scan to Sheets'!A530</f>
        <v>0</v>
      </c>
      <c r="B530" s="26">
        <f>'Scan to Sheets'!B530</f>
        <v>0</v>
      </c>
      <c r="C530" s="26">
        <f>'Scan to Sheets'!C530</f>
        <v>0</v>
      </c>
      <c r="D530" s="26">
        <f>'Scan to Sheets'!D530</f>
        <v>0</v>
      </c>
      <c r="E530" s="27" t="str">
        <f>IFERROR(VLOOKUP(C530,#REF!, 2, FALSE), "NO ENCONTRADO")</f>
        <v>NO ENCONTRADO</v>
      </c>
      <c r="F530" s="27" t="str">
        <f>IFERROR(VLOOKUP(C530,#REF!, 3, FALSE), "NO ENCONTRADO")</f>
        <v>NO ENCONTRADO</v>
      </c>
      <c r="G530" s="27" t="str">
        <f>IFERROR(VLOOKUP(C530,#REF!, 4, FALSE), "NO ENCONTRADO")</f>
        <v>NO ENCONTRADO</v>
      </c>
      <c r="H530" s="27" t="str">
        <f>IFERROR(VLOOKUP(C530,#REF!, 5, FALSE), "NO ENCONTRADO")</f>
        <v>NO ENCONTRADO</v>
      </c>
      <c r="I530" s="14"/>
      <c r="J530" s="27"/>
      <c r="K530" s="41"/>
      <c r="L530" s="14"/>
      <c r="M530" s="30">
        <f t="shared" ca="1" si="0"/>
        <v>46026</v>
      </c>
      <c r="N530" s="31" t="str">
        <f t="shared" ca="1" si="1"/>
        <v>✅</v>
      </c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 spans="1:28" ht="13" x14ac:dyDescent="0.15">
      <c r="A531" s="33">
        <f>'Scan to Sheets'!A531</f>
        <v>0</v>
      </c>
      <c r="B531" s="35">
        <f>'Scan to Sheets'!B531</f>
        <v>0</v>
      </c>
      <c r="C531" s="35">
        <f>'Scan to Sheets'!C531</f>
        <v>0</v>
      </c>
      <c r="D531" s="35">
        <f>'Scan to Sheets'!D531</f>
        <v>0</v>
      </c>
      <c r="E531" s="36" t="str">
        <f>IFERROR(VLOOKUP(C531,#REF!, 2, FALSE), "NO ENCONTRADO")</f>
        <v>NO ENCONTRADO</v>
      </c>
      <c r="F531" s="36" t="str">
        <f>IFERROR(VLOOKUP(C531,#REF!, 3, FALSE), "NO ENCONTRADO")</f>
        <v>NO ENCONTRADO</v>
      </c>
      <c r="G531" s="36" t="str">
        <f>IFERROR(VLOOKUP(C531,#REF!, 4, FALSE), "NO ENCONTRADO")</f>
        <v>NO ENCONTRADO</v>
      </c>
      <c r="H531" s="36" t="str">
        <f>IFERROR(VLOOKUP(C531,#REF!, 5, FALSE), "NO ENCONTRADO")</f>
        <v>NO ENCONTRADO</v>
      </c>
      <c r="I531" s="15"/>
      <c r="J531" s="36"/>
      <c r="K531" s="42"/>
      <c r="L531" s="15"/>
      <c r="M531" s="39">
        <f t="shared" ca="1" si="0"/>
        <v>46026</v>
      </c>
      <c r="N531" s="40" t="str">
        <f t="shared" ca="1" si="1"/>
        <v>✅</v>
      </c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spans="1:28" ht="13" x14ac:dyDescent="0.15">
      <c r="A532" s="24">
        <f>'Scan to Sheets'!A532</f>
        <v>0</v>
      </c>
      <c r="B532" s="26">
        <f>'Scan to Sheets'!B532</f>
        <v>0</v>
      </c>
      <c r="C532" s="26">
        <f>'Scan to Sheets'!C532</f>
        <v>0</v>
      </c>
      <c r="D532" s="26">
        <f>'Scan to Sheets'!D532</f>
        <v>0</v>
      </c>
      <c r="E532" s="27" t="str">
        <f>IFERROR(VLOOKUP(C532,#REF!, 2, FALSE), "NO ENCONTRADO")</f>
        <v>NO ENCONTRADO</v>
      </c>
      <c r="F532" s="27" t="str">
        <f>IFERROR(VLOOKUP(C532,#REF!, 3, FALSE), "NO ENCONTRADO")</f>
        <v>NO ENCONTRADO</v>
      </c>
      <c r="G532" s="27" t="str">
        <f>IFERROR(VLOOKUP(C532,#REF!, 4, FALSE), "NO ENCONTRADO")</f>
        <v>NO ENCONTRADO</v>
      </c>
      <c r="H532" s="27" t="str">
        <f>IFERROR(VLOOKUP(C532,#REF!, 5, FALSE), "NO ENCONTRADO")</f>
        <v>NO ENCONTRADO</v>
      </c>
      <c r="I532" s="14"/>
      <c r="J532" s="27"/>
      <c r="K532" s="41"/>
      <c r="L532" s="14"/>
      <c r="M532" s="30">
        <f t="shared" ca="1" si="0"/>
        <v>46026</v>
      </c>
      <c r="N532" s="31" t="str">
        <f t="shared" ca="1" si="1"/>
        <v>✅</v>
      </c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spans="1:28" ht="13" x14ac:dyDescent="0.15">
      <c r="A533" s="33">
        <f>'Scan to Sheets'!A533</f>
        <v>0</v>
      </c>
      <c r="B533" s="35">
        <f>'Scan to Sheets'!B533</f>
        <v>0</v>
      </c>
      <c r="C533" s="35">
        <f>'Scan to Sheets'!C533</f>
        <v>0</v>
      </c>
      <c r="D533" s="35">
        <f>'Scan to Sheets'!D533</f>
        <v>0</v>
      </c>
      <c r="E533" s="36" t="str">
        <f>IFERROR(VLOOKUP(C533,#REF!, 2, FALSE), "NO ENCONTRADO")</f>
        <v>NO ENCONTRADO</v>
      </c>
      <c r="F533" s="36" t="str">
        <f>IFERROR(VLOOKUP(C533,#REF!, 3, FALSE), "NO ENCONTRADO")</f>
        <v>NO ENCONTRADO</v>
      </c>
      <c r="G533" s="36" t="str">
        <f>IFERROR(VLOOKUP(C533,#REF!, 4, FALSE), "NO ENCONTRADO")</f>
        <v>NO ENCONTRADO</v>
      </c>
      <c r="H533" s="36" t="str">
        <f>IFERROR(VLOOKUP(C533,#REF!, 5, FALSE), "NO ENCONTRADO")</f>
        <v>NO ENCONTRADO</v>
      </c>
      <c r="I533" s="15"/>
      <c r="J533" s="36"/>
      <c r="K533" s="42"/>
      <c r="L533" s="15"/>
      <c r="M533" s="39">
        <f t="shared" ca="1" si="0"/>
        <v>46026</v>
      </c>
      <c r="N533" s="40" t="str">
        <f t="shared" ca="1" si="1"/>
        <v>✅</v>
      </c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spans="1:28" ht="13" x14ac:dyDescent="0.15">
      <c r="A534" s="24">
        <f>'Scan to Sheets'!A534</f>
        <v>0</v>
      </c>
      <c r="B534" s="26">
        <f>'Scan to Sheets'!B534</f>
        <v>0</v>
      </c>
      <c r="C534" s="26">
        <f>'Scan to Sheets'!C534</f>
        <v>0</v>
      </c>
      <c r="D534" s="26">
        <f>'Scan to Sheets'!D534</f>
        <v>0</v>
      </c>
      <c r="E534" s="27" t="str">
        <f>IFERROR(VLOOKUP(C534,#REF!, 2, FALSE), "NO ENCONTRADO")</f>
        <v>NO ENCONTRADO</v>
      </c>
      <c r="F534" s="27" t="str">
        <f>IFERROR(VLOOKUP(C534,#REF!, 3, FALSE), "NO ENCONTRADO")</f>
        <v>NO ENCONTRADO</v>
      </c>
      <c r="G534" s="27" t="str">
        <f>IFERROR(VLOOKUP(C534,#REF!, 4, FALSE), "NO ENCONTRADO")</f>
        <v>NO ENCONTRADO</v>
      </c>
      <c r="H534" s="27" t="str">
        <f>IFERROR(VLOOKUP(C534,#REF!, 5, FALSE), "NO ENCONTRADO")</f>
        <v>NO ENCONTRADO</v>
      </c>
      <c r="I534" s="14"/>
      <c r="J534" s="27"/>
      <c r="K534" s="41"/>
      <c r="L534" s="14"/>
      <c r="M534" s="30">
        <f t="shared" ca="1" si="0"/>
        <v>46026</v>
      </c>
      <c r="N534" s="31" t="str">
        <f t="shared" ca="1" si="1"/>
        <v>✅</v>
      </c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spans="1:28" ht="13" x14ac:dyDescent="0.15">
      <c r="A535" s="33">
        <f>'Scan to Sheets'!A535</f>
        <v>0</v>
      </c>
      <c r="B535" s="35">
        <f>'Scan to Sheets'!B535</f>
        <v>0</v>
      </c>
      <c r="C535" s="35">
        <f>'Scan to Sheets'!C535</f>
        <v>0</v>
      </c>
      <c r="D535" s="35">
        <f>'Scan to Sheets'!D535</f>
        <v>0</v>
      </c>
      <c r="E535" s="36" t="str">
        <f>IFERROR(VLOOKUP(C535,#REF!, 2, FALSE), "NO ENCONTRADO")</f>
        <v>NO ENCONTRADO</v>
      </c>
      <c r="F535" s="36" t="str">
        <f>IFERROR(VLOOKUP(C535,#REF!, 3, FALSE), "NO ENCONTRADO")</f>
        <v>NO ENCONTRADO</v>
      </c>
      <c r="G535" s="36" t="str">
        <f>IFERROR(VLOOKUP(C535,#REF!, 4, FALSE), "NO ENCONTRADO")</f>
        <v>NO ENCONTRADO</v>
      </c>
      <c r="H535" s="36" t="str">
        <f>IFERROR(VLOOKUP(C535,#REF!, 5, FALSE), "NO ENCONTRADO")</f>
        <v>NO ENCONTRADO</v>
      </c>
      <c r="I535" s="15"/>
      <c r="J535" s="36"/>
      <c r="K535" s="42"/>
      <c r="L535" s="15"/>
      <c r="M535" s="39">
        <f t="shared" ca="1" si="0"/>
        <v>46026</v>
      </c>
      <c r="N535" s="40" t="str">
        <f t="shared" ca="1" si="1"/>
        <v>✅</v>
      </c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spans="1:28" ht="13" x14ac:dyDescent="0.15">
      <c r="A536" s="24">
        <f>'Scan to Sheets'!A536</f>
        <v>0</v>
      </c>
      <c r="B536" s="26">
        <f>'Scan to Sheets'!B536</f>
        <v>0</v>
      </c>
      <c r="C536" s="26">
        <f>'Scan to Sheets'!C536</f>
        <v>0</v>
      </c>
      <c r="D536" s="26">
        <f>'Scan to Sheets'!D536</f>
        <v>0</v>
      </c>
      <c r="E536" s="27" t="str">
        <f>IFERROR(VLOOKUP(C536,#REF!, 2, FALSE), "NO ENCONTRADO")</f>
        <v>NO ENCONTRADO</v>
      </c>
      <c r="F536" s="27" t="str">
        <f>IFERROR(VLOOKUP(C536,#REF!, 3, FALSE), "NO ENCONTRADO")</f>
        <v>NO ENCONTRADO</v>
      </c>
      <c r="G536" s="27" t="str">
        <f>IFERROR(VLOOKUP(C536,#REF!, 4, FALSE), "NO ENCONTRADO")</f>
        <v>NO ENCONTRADO</v>
      </c>
      <c r="H536" s="27" t="str">
        <f>IFERROR(VLOOKUP(C536,#REF!, 5, FALSE), "NO ENCONTRADO")</f>
        <v>NO ENCONTRADO</v>
      </c>
      <c r="I536" s="14"/>
      <c r="J536" s="27"/>
      <c r="K536" s="41"/>
      <c r="L536" s="14"/>
      <c r="M536" s="30">
        <f t="shared" ca="1" si="0"/>
        <v>46026</v>
      </c>
      <c r="N536" s="31" t="str">
        <f t="shared" ca="1" si="1"/>
        <v>✅</v>
      </c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spans="1:28" ht="13" x14ac:dyDescent="0.15">
      <c r="A537" s="33">
        <f>'Scan to Sheets'!A537</f>
        <v>0</v>
      </c>
      <c r="B537" s="35">
        <f>'Scan to Sheets'!B537</f>
        <v>0</v>
      </c>
      <c r="C537" s="35">
        <f>'Scan to Sheets'!C537</f>
        <v>0</v>
      </c>
      <c r="D537" s="35">
        <f>'Scan to Sheets'!D537</f>
        <v>0</v>
      </c>
      <c r="E537" s="36" t="str">
        <f>IFERROR(VLOOKUP(C537,#REF!, 2, FALSE), "NO ENCONTRADO")</f>
        <v>NO ENCONTRADO</v>
      </c>
      <c r="F537" s="36" t="str">
        <f>IFERROR(VLOOKUP(C537,#REF!, 3, FALSE), "NO ENCONTRADO")</f>
        <v>NO ENCONTRADO</v>
      </c>
      <c r="G537" s="36" t="str">
        <f>IFERROR(VLOOKUP(C537,#REF!, 4, FALSE), "NO ENCONTRADO")</f>
        <v>NO ENCONTRADO</v>
      </c>
      <c r="H537" s="36" t="str">
        <f>IFERROR(VLOOKUP(C537,#REF!, 5, FALSE), "NO ENCONTRADO")</f>
        <v>NO ENCONTRADO</v>
      </c>
      <c r="I537" s="15"/>
      <c r="J537" s="36"/>
      <c r="K537" s="42"/>
      <c r="L537" s="15"/>
      <c r="M537" s="39">
        <f t="shared" ca="1" si="0"/>
        <v>46026</v>
      </c>
      <c r="N537" s="40" t="str">
        <f t="shared" ca="1" si="1"/>
        <v>✅</v>
      </c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spans="1:28" ht="13" x14ac:dyDescent="0.15">
      <c r="A538" s="24">
        <f>'Scan to Sheets'!A538</f>
        <v>0</v>
      </c>
      <c r="B538" s="26">
        <f>'Scan to Sheets'!B538</f>
        <v>0</v>
      </c>
      <c r="C538" s="26">
        <f>'Scan to Sheets'!C538</f>
        <v>0</v>
      </c>
      <c r="D538" s="26">
        <f>'Scan to Sheets'!D538</f>
        <v>0</v>
      </c>
      <c r="E538" s="27" t="str">
        <f>IFERROR(VLOOKUP(C538,#REF!, 2, FALSE), "NO ENCONTRADO")</f>
        <v>NO ENCONTRADO</v>
      </c>
      <c r="F538" s="27" t="str">
        <f>IFERROR(VLOOKUP(C538,#REF!, 3, FALSE), "NO ENCONTRADO")</f>
        <v>NO ENCONTRADO</v>
      </c>
      <c r="G538" s="27" t="str">
        <f>IFERROR(VLOOKUP(C538,#REF!, 4, FALSE), "NO ENCONTRADO")</f>
        <v>NO ENCONTRADO</v>
      </c>
      <c r="H538" s="27" t="str">
        <f>IFERROR(VLOOKUP(C538,#REF!, 5, FALSE), "NO ENCONTRADO")</f>
        <v>NO ENCONTRADO</v>
      </c>
      <c r="I538" s="14"/>
      <c r="J538" s="27"/>
      <c r="K538" s="41"/>
      <c r="L538" s="14"/>
      <c r="M538" s="30">
        <f t="shared" ca="1" si="0"/>
        <v>46026</v>
      </c>
      <c r="N538" s="31" t="str">
        <f t="shared" ca="1" si="1"/>
        <v>✅</v>
      </c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spans="1:28" ht="13" x14ac:dyDescent="0.15">
      <c r="A539" s="33">
        <f>'Scan to Sheets'!A539</f>
        <v>0</v>
      </c>
      <c r="B539" s="35">
        <f>'Scan to Sheets'!B539</f>
        <v>0</v>
      </c>
      <c r="C539" s="35">
        <f>'Scan to Sheets'!C539</f>
        <v>0</v>
      </c>
      <c r="D539" s="35">
        <f>'Scan to Sheets'!D539</f>
        <v>0</v>
      </c>
      <c r="E539" s="36" t="str">
        <f>IFERROR(VLOOKUP(C539,#REF!, 2, FALSE), "NO ENCONTRADO")</f>
        <v>NO ENCONTRADO</v>
      </c>
      <c r="F539" s="36" t="str">
        <f>IFERROR(VLOOKUP(C539,#REF!, 3, FALSE), "NO ENCONTRADO")</f>
        <v>NO ENCONTRADO</v>
      </c>
      <c r="G539" s="36" t="str">
        <f>IFERROR(VLOOKUP(C539,#REF!, 4, FALSE), "NO ENCONTRADO")</f>
        <v>NO ENCONTRADO</v>
      </c>
      <c r="H539" s="36" t="str">
        <f>IFERROR(VLOOKUP(C539,#REF!, 5, FALSE), "NO ENCONTRADO")</f>
        <v>NO ENCONTRADO</v>
      </c>
      <c r="I539" s="15"/>
      <c r="J539" s="36"/>
      <c r="K539" s="42"/>
      <c r="L539" s="15"/>
      <c r="M539" s="39">
        <f t="shared" ca="1" si="0"/>
        <v>46026</v>
      </c>
      <c r="N539" s="40" t="str">
        <f t="shared" ca="1" si="1"/>
        <v>✅</v>
      </c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spans="1:28" ht="13" x14ac:dyDescent="0.15">
      <c r="A540" s="24">
        <f>'Scan to Sheets'!A540</f>
        <v>0</v>
      </c>
      <c r="B540" s="26">
        <f>'Scan to Sheets'!B540</f>
        <v>0</v>
      </c>
      <c r="C540" s="26">
        <f>'Scan to Sheets'!C540</f>
        <v>0</v>
      </c>
      <c r="D540" s="26">
        <f>'Scan to Sheets'!D540</f>
        <v>0</v>
      </c>
      <c r="E540" s="27" t="str">
        <f>IFERROR(VLOOKUP(C540,#REF!, 2, FALSE), "NO ENCONTRADO")</f>
        <v>NO ENCONTRADO</v>
      </c>
      <c r="F540" s="27" t="str">
        <f>IFERROR(VLOOKUP(C540,#REF!, 3, FALSE), "NO ENCONTRADO")</f>
        <v>NO ENCONTRADO</v>
      </c>
      <c r="G540" s="27" t="str">
        <f>IFERROR(VLOOKUP(C540,#REF!, 4, FALSE), "NO ENCONTRADO")</f>
        <v>NO ENCONTRADO</v>
      </c>
      <c r="H540" s="27" t="str">
        <f>IFERROR(VLOOKUP(C540,#REF!, 5, FALSE), "NO ENCONTRADO")</f>
        <v>NO ENCONTRADO</v>
      </c>
      <c r="I540" s="14"/>
      <c r="J540" s="27"/>
      <c r="K540" s="41"/>
      <c r="L540" s="14"/>
      <c r="M540" s="30">
        <f t="shared" ca="1" si="0"/>
        <v>46026</v>
      </c>
      <c r="N540" s="31" t="str">
        <f t="shared" ca="1" si="1"/>
        <v>✅</v>
      </c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spans="1:28" ht="13" x14ac:dyDescent="0.15">
      <c r="A541" s="33">
        <f>'Scan to Sheets'!A541</f>
        <v>0</v>
      </c>
      <c r="B541" s="35">
        <f>'Scan to Sheets'!B541</f>
        <v>0</v>
      </c>
      <c r="C541" s="35">
        <f>'Scan to Sheets'!C541</f>
        <v>0</v>
      </c>
      <c r="D541" s="35">
        <f>'Scan to Sheets'!D541</f>
        <v>0</v>
      </c>
      <c r="E541" s="36" t="str">
        <f>IFERROR(VLOOKUP(C541,#REF!, 2, FALSE), "NO ENCONTRADO")</f>
        <v>NO ENCONTRADO</v>
      </c>
      <c r="F541" s="36" t="str">
        <f>IFERROR(VLOOKUP(C541,#REF!, 3, FALSE), "NO ENCONTRADO")</f>
        <v>NO ENCONTRADO</v>
      </c>
      <c r="G541" s="36" t="str">
        <f>IFERROR(VLOOKUP(C541,#REF!, 4, FALSE), "NO ENCONTRADO")</f>
        <v>NO ENCONTRADO</v>
      </c>
      <c r="H541" s="36" t="str">
        <f>IFERROR(VLOOKUP(C541,#REF!, 5, FALSE), "NO ENCONTRADO")</f>
        <v>NO ENCONTRADO</v>
      </c>
      <c r="I541" s="15"/>
      <c r="J541" s="36"/>
      <c r="K541" s="42"/>
      <c r="L541" s="15"/>
      <c r="M541" s="39">
        <f t="shared" ca="1" si="0"/>
        <v>46026</v>
      </c>
      <c r="N541" s="40" t="str">
        <f t="shared" ca="1" si="1"/>
        <v>✅</v>
      </c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spans="1:28" ht="13" x14ac:dyDescent="0.15">
      <c r="A542" s="24">
        <f>'Scan to Sheets'!A542</f>
        <v>0</v>
      </c>
      <c r="B542" s="26">
        <f>'Scan to Sheets'!B542</f>
        <v>0</v>
      </c>
      <c r="C542" s="26">
        <f>'Scan to Sheets'!C542</f>
        <v>0</v>
      </c>
      <c r="D542" s="26">
        <f>'Scan to Sheets'!D542</f>
        <v>0</v>
      </c>
      <c r="E542" s="27" t="str">
        <f>IFERROR(VLOOKUP(C542,#REF!, 2, FALSE), "NO ENCONTRADO")</f>
        <v>NO ENCONTRADO</v>
      </c>
      <c r="F542" s="27" t="str">
        <f>IFERROR(VLOOKUP(C542,#REF!, 3, FALSE), "NO ENCONTRADO")</f>
        <v>NO ENCONTRADO</v>
      </c>
      <c r="G542" s="27" t="str">
        <f>IFERROR(VLOOKUP(C542,#REF!, 4, FALSE), "NO ENCONTRADO")</f>
        <v>NO ENCONTRADO</v>
      </c>
      <c r="H542" s="27" t="str">
        <f>IFERROR(VLOOKUP(C542,#REF!, 5, FALSE), "NO ENCONTRADO")</f>
        <v>NO ENCONTRADO</v>
      </c>
      <c r="I542" s="14"/>
      <c r="J542" s="27"/>
      <c r="K542" s="41"/>
      <c r="L542" s="14"/>
      <c r="M542" s="30">
        <f t="shared" ca="1" si="0"/>
        <v>46026</v>
      </c>
      <c r="N542" s="31" t="str">
        <f t="shared" ca="1" si="1"/>
        <v>✅</v>
      </c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spans="1:28" ht="13" x14ac:dyDescent="0.15">
      <c r="A543" s="33">
        <f>'Scan to Sheets'!A543</f>
        <v>0</v>
      </c>
      <c r="B543" s="35">
        <f>'Scan to Sheets'!B543</f>
        <v>0</v>
      </c>
      <c r="C543" s="35">
        <f>'Scan to Sheets'!C543</f>
        <v>0</v>
      </c>
      <c r="D543" s="35">
        <f>'Scan to Sheets'!D543</f>
        <v>0</v>
      </c>
      <c r="E543" s="36" t="str">
        <f>IFERROR(VLOOKUP(C543,#REF!, 2, FALSE), "NO ENCONTRADO")</f>
        <v>NO ENCONTRADO</v>
      </c>
      <c r="F543" s="36" t="str">
        <f>IFERROR(VLOOKUP(C543,#REF!, 3, FALSE), "NO ENCONTRADO")</f>
        <v>NO ENCONTRADO</v>
      </c>
      <c r="G543" s="36" t="str">
        <f>IFERROR(VLOOKUP(C543,#REF!, 4, FALSE), "NO ENCONTRADO")</f>
        <v>NO ENCONTRADO</v>
      </c>
      <c r="H543" s="36" t="str">
        <f>IFERROR(VLOOKUP(C543,#REF!, 5, FALSE), "NO ENCONTRADO")</f>
        <v>NO ENCONTRADO</v>
      </c>
      <c r="I543" s="15"/>
      <c r="J543" s="36"/>
      <c r="K543" s="42"/>
      <c r="L543" s="15"/>
      <c r="M543" s="39">
        <f t="shared" ca="1" si="0"/>
        <v>46026</v>
      </c>
      <c r="N543" s="40" t="str">
        <f t="shared" ca="1" si="1"/>
        <v>✅</v>
      </c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spans="1:28" ht="13" x14ac:dyDescent="0.15">
      <c r="A544" s="24">
        <f>'Scan to Sheets'!A544</f>
        <v>0</v>
      </c>
      <c r="B544" s="26">
        <f>'Scan to Sheets'!B544</f>
        <v>0</v>
      </c>
      <c r="C544" s="26">
        <f>'Scan to Sheets'!C544</f>
        <v>0</v>
      </c>
      <c r="D544" s="26">
        <f>'Scan to Sheets'!D544</f>
        <v>0</v>
      </c>
      <c r="E544" s="27" t="str">
        <f>IFERROR(VLOOKUP(C544,#REF!, 2, FALSE), "NO ENCONTRADO")</f>
        <v>NO ENCONTRADO</v>
      </c>
      <c r="F544" s="27" t="str">
        <f>IFERROR(VLOOKUP(C544,#REF!, 3, FALSE), "NO ENCONTRADO")</f>
        <v>NO ENCONTRADO</v>
      </c>
      <c r="G544" s="27" t="str">
        <f>IFERROR(VLOOKUP(C544,#REF!, 4, FALSE), "NO ENCONTRADO")</f>
        <v>NO ENCONTRADO</v>
      </c>
      <c r="H544" s="27" t="str">
        <f>IFERROR(VLOOKUP(C544,#REF!, 5, FALSE), "NO ENCONTRADO")</f>
        <v>NO ENCONTRADO</v>
      </c>
      <c r="I544" s="14"/>
      <c r="J544" s="27"/>
      <c r="K544" s="41"/>
      <c r="L544" s="14"/>
      <c r="M544" s="30">
        <f t="shared" ca="1" si="0"/>
        <v>46026</v>
      </c>
      <c r="N544" s="31" t="str">
        <f t="shared" ca="1" si="1"/>
        <v>✅</v>
      </c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 spans="1:28" ht="13" x14ac:dyDescent="0.15">
      <c r="A545" s="33">
        <f>'Scan to Sheets'!A545</f>
        <v>0</v>
      </c>
      <c r="B545" s="35">
        <f>'Scan to Sheets'!B545</f>
        <v>0</v>
      </c>
      <c r="C545" s="35">
        <f>'Scan to Sheets'!C545</f>
        <v>0</v>
      </c>
      <c r="D545" s="35">
        <f>'Scan to Sheets'!D545</f>
        <v>0</v>
      </c>
      <c r="E545" s="36" t="str">
        <f>IFERROR(VLOOKUP(C545,#REF!, 2, FALSE), "NO ENCONTRADO")</f>
        <v>NO ENCONTRADO</v>
      </c>
      <c r="F545" s="36" t="str">
        <f>IFERROR(VLOOKUP(C545,#REF!, 3, FALSE), "NO ENCONTRADO")</f>
        <v>NO ENCONTRADO</v>
      </c>
      <c r="G545" s="36" t="str">
        <f>IFERROR(VLOOKUP(C545,#REF!, 4, FALSE), "NO ENCONTRADO")</f>
        <v>NO ENCONTRADO</v>
      </c>
      <c r="H545" s="36" t="str">
        <f>IFERROR(VLOOKUP(C545,#REF!, 5, FALSE), "NO ENCONTRADO")</f>
        <v>NO ENCONTRADO</v>
      </c>
      <c r="I545" s="15"/>
      <c r="J545" s="36"/>
      <c r="K545" s="42"/>
      <c r="L545" s="15"/>
      <c r="M545" s="39">
        <f t="shared" ca="1" si="0"/>
        <v>46026</v>
      </c>
      <c r="N545" s="40" t="str">
        <f t="shared" ca="1" si="1"/>
        <v>✅</v>
      </c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 spans="1:28" ht="13" x14ac:dyDescent="0.15">
      <c r="A546" s="24">
        <f>'Scan to Sheets'!A546</f>
        <v>0</v>
      </c>
      <c r="B546" s="26">
        <f>'Scan to Sheets'!B546</f>
        <v>0</v>
      </c>
      <c r="C546" s="26">
        <f>'Scan to Sheets'!C546</f>
        <v>0</v>
      </c>
      <c r="D546" s="26">
        <f>'Scan to Sheets'!D546</f>
        <v>0</v>
      </c>
      <c r="E546" s="27" t="str">
        <f>IFERROR(VLOOKUP(C546,#REF!, 2, FALSE), "NO ENCONTRADO")</f>
        <v>NO ENCONTRADO</v>
      </c>
      <c r="F546" s="27" t="str">
        <f>IFERROR(VLOOKUP(C546,#REF!, 3, FALSE), "NO ENCONTRADO")</f>
        <v>NO ENCONTRADO</v>
      </c>
      <c r="G546" s="27" t="str">
        <f>IFERROR(VLOOKUP(C546,#REF!, 4, FALSE), "NO ENCONTRADO")</f>
        <v>NO ENCONTRADO</v>
      </c>
      <c r="H546" s="27" t="str">
        <f>IFERROR(VLOOKUP(C546,#REF!, 5, FALSE), "NO ENCONTRADO")</f>
        <v>NO ENCONTRADO</v>
      </c>
      <c r="I546" s="14"/>
      <c r="J546" s="27"/>
      <c r="K546" s="41"/>
      <c r="L546" s="14"/>
      <c r="M546" s="30">
        <f t="shared" ca="1" si="0"/>
        <v>46026</v>
      </c>
      <c r="N546" s="31" t="str">
        <f t="shared" ca="1" si="1"/>
        <v>✅</v>
      </c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 spans="1:28" ht="13" x14ac:dyDescent="0.15">
      <c r="A547" s="33">
        <f>'Scan to Sheets'!A547</f>
        <v>0</v>
      </c>
      <c r="B547" s="35">
        <f>'Scan to Sheets'!B547</f>
        <v>0</v>
      </c>
      <c r="C547" s="35">
        <f>'Scan to Sheets'!C547</f>
        <v>0</v>
      </c>
      <c r="D547" s="35">
        <f>'Scan to Sheets'!D547</f>
        <v>0</v>
      </c>
      <c r="E547" s="36" t="str">
        <f>IFERROR(VLOOKUP(C547,#REF!, 2, FALSE), "NO ENCONTRADO")</f>
        <v>NO ENCONTRADO</v>
      </c>
      <c r="F547" s="36" t="str">
        <f>IFERROR(VLOOKUP(C547,#REF!, 3, FALSE), "NO ENCONTRADO")</f>
        <v>NO ENCONTRADO</v>
      </c>
      <c r="G547" s="36" t="str">
        <f>IFERROR(VLOOKUP(C547,#REF!, 4, FALSE), "NO ENCONTRADO")</f>
        <v>NO ENCONTRADO</v>
      </c>
      <c r="H547" s="36" t="str">
        <f>IFERROR(VLOOKUP(C547,#REF!, 5, FALSE), "NO ENCONTRADO")</f>
        <v>NO ENCONTRADO</v>
      </c>
      <c r="I547" s="15"/>
      <c r="J547" s="36"/>
      <c r="K547" s="42"/>
      <c r="L547" s="15"/>
      <c r="M547" s="39">
        <f t="shared" ca="1" si="0"/>
        <v>46026</v>
      </c>
      <c r="N547" s="40" t="str">
        <f t="shared" ca="1" si="1"/>
        <v>✅</v>
      </c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 spans="1:28" ht="13" x14ac:dyDescent="0.15">
      <c r="A548" s="24">
        <f>'Scan to Sheets'!A548</f>
        <v>0</v>
      </c>
      <c r="B548" s="26">
        <f>'Scan to Sheets'!B548</f>
        <v>0</v>
      </c>
      <c r="C548" s="26">
        <f>'Scan to Sheets'!C548</f>
        <v>0</v>
      </c>
      <c r="D548" s="26">
        <f>'Scan to Sheets'!D548</f>
        <v>0</v>
      </c>
      <c r="E548" s="27" t="str">
        <f>IFERROR(VLOOKUP(C548,#REF!, 2, FALSE), "NO ENCONTRADO")</f>
        <v>NO ENCONTRADO</v>
      </c>
      <c r="F548" s="27" t="str">
        <f>IFERROR(VLOOKUP(C548,#REF!, 3, FALSE), "NO ENCONTRADO")</f>
        <v>NO ENCONTRADO</v>
      </c>
      <c r="G548" s="27" t="str">
        <f>IFERROR(VLOOKUP(C548,#REF!, 4, FALSE), "NO ENCONTRADO")</f>
        <v>NO ENCONTRADO</v>
      </c>
      <c r="H548" s="27" t="str">
        <f>IFERROR(VLOOKUP(C548,#REF!, 5, FALSE), "NO ENCONTRADO")</f>
        <v>NO ENCONTRADO</v>
      </c>
      <c r="I548" s="14"/>
      <c r="J548" s="27"/>
      <c r="K548" s="41"/>
      <c r="L548" s="14"/>
      <c r="M548" s="30">
        <f t="shared" ca="1" si="0"/>
        <v>46026</v>
      </c>
      <c r="N548" s="31" t="str">
        <f t="shared" ca="1" si="1"/>
        <v>✅</v>
      </c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 spans="1:28" ht="13" x14ac:dyDescent="0.15">
      <c r="A549" s="33">
        <f>'Scan to Sheets'!A549</f>
        <v>0</v>
      </c>
      <c r="B549" s="35">
        <f>'Scan to Sheets'!B549</f>
        <v>0</v>
      </c>
      <c r="C549" s="35">
        <f>'Scan to Sheets'!C549</f>
        <v>0</v>
      </c>
      <c r="D549" s="35">
        <f>'Scan to Sheets'!D549</f>
        <v>0</v>
      </c>
      <c r="E549" s="36" t="str">
        <f>IFERROR(VLOOKUP(C549,#REF!, 2, FALSE), "NO ENCONTRADO")</f>
        <v>NO ENCONTRADO</v>
      </c>
      <c r="F549" s="36" t="str">
        <f>IFERROR(VLOOKUP(C549,#REF!, 3, FALSE), "NO ENCONTRADO")</f>
        <v>NO ENCONTRADO</v>
      </c>
      <c r="G549" s="36" t="str">
        <f>IFERROR(VLOOKUP(C549,#REF!, 4, FALSE), "NO ENCONTRADO")</f>
        <v>NO ENCONTRADO</v>
      </c>
      <c r="H549" s="36" t="str">
        <f>IFERROR(VLOOKUP(C549,#REF!, 5, FALSE), "NO ENCONTRADO")</f>
        <v>NO ENCONTRADO</v>
      </c>
      <c r="I549" s="15"/>
      <c r="J549" s="36"/>
      <c r="K549" s="42"/>
      <c r="L549" s="15"/>
      <c r="M549" s="39">
        <f t="shared" ca="1" si="0"/>
        <v>46026</v>
      </c>
      <c r="N549" s="40" t="str">
        <f t="shared" ca="1" si="1"/>
        <v>✅</v>
      </c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 spans="1:28" ht="13" x14ac:dyDescent="0.15">
      <c r="A550" s="24">
        <f>'Scan to Sheets'!A550</f>
        <v>0</v>
      </c>
      <c r="B550" s="26">
        <f>'Scan to Sheets'!B550</f>
        <v>0</v>
      </c>
      <c r="C550" s="26">
        <f>'Scan to Sheets'!C550</f>
        <v>0</v>
      </c>
      <c r="D550" s="26">
        <f>'Scan to Sheets'!D550</f>
        <v>0</v>
      </c>
      <c r="E550" s="27" t="str">
        <f>IFERROR(VLOOKUP(C550,#REF!, 2, FALSE), "NO ENCONTRADO")</f>
        <v>NO ENCONTRADO</v>
      </c>
      <c r="F550" s="27" t="str">
        <f>IFERROR(VLOOKUP(C550,#REF!, 3, FALSE), "NO ENCONTRADO")</f>
        <v>NO ENCONTRADO</v>
      </c>
      <c r="G550" s="27" t="str">
        <f>IFERROR(VLOOKUP(C550,#REF!, 4, FALSE), "NO ENCONTRADO")</f>
        <v>NO ENCONTRADO</v>
      </c>
      <c r="H550" s="27" t="str">
        <f>IFERROR(VLOOKUP(C550,#REF!, 5, FALSE), "NO ENCONTRADO")</f>
        <v>NO ENCONTRADO</v>
      </c>
      <c r="I550" s="14"/>
      <c r="J550" s="27"/>
      <c r="K550" s="41"/>
      <c r="L550" s="14"/>
      <c r="M550" s="30">
        <f t="shared" ca="1" si="0"/>
        <v>46026</v>
      </c>
      <c r="N550" s="31" t="str">
        <f t="shared" ca="1" si="1"/>
        <v>✅</v>
      </c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 spans="1:28" ht="13" x14ac:dyDescent="0.15">
      <c r="A551" s="33">
        <f>'Scan to Sheets'!A551</f>
        <v>0</v>
      </c>
      <c r="B551" s="35">
        <f>'Scan to Sheets'!B551</f>
        <v>0</v>
      </c>
      <c r="C551" s="35">
        <f>'Scan to Sheets'!C551</f>
        <v>0</v>
      </c>
      <c r="D551" s="35">
        <f>'Scan to Sheets'!D551</f>
        <v>0</v>
      </c>
      <c r="E551" s="36" t="str">
        <f>IFERROR(VLOOKUP(C551,#REF!, 2, FALSE), "NO ENCONTRADO")</f>
        <v>NO ENCONTRADO</v>
      </c>
      <c r="F551" s="36" t="str">
        <f>IFERROR(VLOOKUP(C551,#REF!, 3, FALSE), "NO ENCONTRADO")</f>
        <v>NO ENCONTRADO</v>
      </c>
      <c r="G551" s="36" t="str">
        <f>IFERROR(VLOOKUP(C551,#REF!, 4, FALSE), "NO ENCONTRADO")</f>
        <v>NO ENCONTRADO</v>
      </c>
      <c r="H551" s="36" t="str">
        <f>IFERROR(VLOOKUP(C551,#REF!, 5, FALSE), "NO ENCONTRADO")</f>
        <v>NO ENCONTRADO</v>
      </c>
      <c r="I551" s="15"/>
      <c r="J551" s="36"/>
      <c r="K551" s="42"/>
      <c r="L551" s="15"/>
      <c r="M551" s="39">
        <f t="shared" ca="1" si="0"/>
        <v>46026</v>
      </c>
      <c r="N551" s="40" t="str">
        <f t="shared" ca="1" si="1"/>
        <v>✅</v>
      </c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 spans="1:28" ht="13" x14ac:dyDescent="0.15">
      <c r="A552" s="24">
        <f>'Scan to Sheets'!A552</f>
        <v>0</v>
      </c>
      <c r="B552" s="26">
        <f>'Scan to Sheets'!B552</f>
        <v>0</v>
      </c>
      <c r="C552" s="26">
        <f>'Scan to Sheets'!C552</f>
        <v>0</v>
      </c>
      <c r="D552" s="26">
        <f>'Scan to Sheets'!D552</f>
        <v>0</v>
      </c>
      <c r="E552" s="27" t="str">
        <f>IFERROR(VLOOKUP(C552,#REF!, 2, FALSE), "NO ENCONTRADO")</f>
        <v>NO ENCONTRADO</v>
      </c>
      <c r="F552" s="27" t="str">
        <f>IFERROR(VLOOKUP(C552,#REF!, 3, FALSE), "NO ENCONTRADO")</f>
        <v>NO ENCONTRADO</v>
      </c>
      <c r="G552" s="27" t="str">
        <f>IFERROR(VLOOKUP(C552,#REF!, 4, FALSE), "NO ENCONTRADO")</f>
        <v>NO ENCONTRADO</v>
      </c>
      <c r="H552" s="27" t="str">
        <f>IFERROR(VLOOKUP(C552,#REF!, 5, FALSE), "NO ENCONTRADO")</f>
        <v>NO ENCONTRADO</v>
      </c>
      <c r="I552" s="14"/>
      <c r="J552" s="27"/>
      <c r="K552" s="41"/>
      <c r="L552" s="14"/>
      <c r="M552" s="30">
        <f t="shared" ca="1" si="0"/>
        <v>46026</v>
      </c>
      <c r="N552" s="31" t="str">
        <f t="shared" ca="1" si="1"/>
        <v>✅</v>
      </c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 spans="1:28" ht="13" x14ac:dyDescent="0.15">
      <c r="A553" s="33">
        <f>'Scan to Sheets'!A553</f>
        <v>0</v>
      </c>
      <c r="B553" s="35">
        <f>'Scan to Sheets'!B553</f>
        <v>0</v>
      </c>
      <c r="C553" s="35">
        <f>'Scan to Sheets'!C553</f>
        <v>0</v>
      </c>
      <c r="D553" s="35">
        <f>'Scan to Sheets'!D553</f>
        <v>0</v>
      </c>
      <c r="E553" s="36" t="str">
        <f>IFERROR(VLOOKUP(C553,#REF!, 2, FALSE), "NO ENCONTRADO")</f>
        <v>NO ENCONTRADO</v>
      </c>
      <c r="F553" s="36" t="str">
        <f>IFERROR(VLOOKUP(C553,#REF!, 3, FALSE), "NO ENCONTRADO")</f>
        <v>NO ENCONTRADO</v>
      </c>
      <c r="G553" s="36" t="str">
        <f>IFERROR(VLOOKUP(C553,#REF!, 4, FALSE), "NO ENCONTRADO")</f>
        <v>NO ENCONTRADO</v>
      </c>
      <c r="H553" s="36" t="str">
        <f>IFERROR(VLOOKUP(C553,#REF!, 5, FALSE), "NO ENCONTRADO")</f>
        <v>NO ENCONTRADO</v>
      </c>
      <c r="I553" s="15"/>
      <c r="J553" s="36"/>
      <c r="K553" s="42"/>
      <c r="L553" s="15"/>
      <c r="M553" s="39">
        <f t="shared" ca="1" si="0"/>
        <v>46026</v>
      </c>
      <c r="N553" s="40" t="str">
        <f t="shared" ca="1" si="1"/>
        <v>✅</v>
      </c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 spans="1:28" ht="13" x14ac:dyDescent="0.15">
      <c r="A554" s="24">
        <f>'Scan to Sheets'!A554</f>
        <v>0</v>
      </c>
      <c r="B554" s="26">
        <f>'Scan to Sheets'!B554</f>
        <v>0</v>
      </c>
      <c r="C554" s="26">
        <f>'Scan to Sheets'!C554</f>
        <v>0</v>
      </c>
      <c r="D554" s="26">
        <f>'Scan to Sheets'!D554</f>
        <v>0</v>
      </c>
      <c r="E554" s="27" t="str">
        <f>IFERROR(VLOOKUP(C554,#REF!, 2, FALSE), "NO ENCONTRADO")</f>
        <v>NO ENCONTRADO</v>
      </c>
      <c r="F554" s="27" t="str">
        <f>IFERROR(VLOOKUP(C554,#REF!, 3, FALSE), "NO ENCONTRADO")</f>
        <v>NO ENCONTRADO</v>
      </c>
      <c r="G554" s="27" t="str">
        <f>IFERROR(VLOOKUP(C554,#REF!, 4, FALSE), "NO ENCONTRADO")</f>
        <v>NO ENCONTRADO</v>
      </c>
      <c r="H554" s="27" t="str">
        <f>IFERROR(VLOOKUP(C554,#REF!, 5, FALSE), "NO ENCONTRADO")</f>
        <v>NO ENCONTRADO</v>
      </c>
      <c r="I554" s="14"/>
      <c r="J554" s="27"/>
      <c r="K554" s="41"/>
      <c r="L554" s="14"/>
      <c r="M554" s="30">
        <f t="shared" ca="1" si="0"/>
        <v>46026</v>
      </c>
      <c r="N554" s="31" t="str">
        <f t="shared" ca="1" si="1"/>
        <v>✅</v>
      </c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 spans="1:28" ht="13" x14ac:dyDescent="0.15">
      <c r="A555" s="33">
        <f>'Scan to Sheets'!A555</f>
        <v>0</v>
      </c>
      <c r="B555" s="35">
        <f>'Scan to Sheets'!B555</f>
        <v>0</v>
      </c>
      <c r="C555" s="35">
        <f>'Scan to Sheets'!C555</f>
        <v>0</v>
      </c>
      <c r="D555" s="35">
        <f>'Scan to Sheets'!D555</f>
        <v>0</v>
      </c>
      <c r="E555" s="36" t="str">
        <f>IFERROR(VLOOKUP(C555,#REF!, 2, FALSE), "NO ENCONTRADO")</f>
        <v>NO ENCONTRADO</v>
      </c>
      <c r="F555" s="36" t="str">
        <f>IFERROR(VLOOKUP(C555,#REF!, 3, FALSE), "NO ENCONTRADO")</f>
        <v>NO ENCONTRADO</v>
      </c>
      <c r="G555" s="36" t="str">
        <f>IFERROR(VLOOKUP(C555,#REF!, 4, FALSE), "NO ENCONTRADO")</f>
        <v>NO ENCONTRADO</v>
      </c>
      <c r="H555" s="36" t="str">
        <f>IFERROR(VLOOKUP(C555,#REF!, 5, FALSE), "NO ENCONTRADO")</f>
        <v>NO ENCONTRADO</v>
      </c>
      <c r="I555" s="15"/>
      <c r="J555" s="36"/>
      <c r="K555" s="42"/>
      <c r="L555" s="15"/>
      <c r="M555" s="39">
        <f t="shared" ca="1" si="0"/>
        <v>46026</v>
      </c>
      <c r="N555" s="40" t="str">
        <f t="shared" ca="1" si="1"/>
        <v>✅</v>
      </c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spans="1:28" ht="13" x14ac:dyDescent="0.15">
      <c r="A556" s="24">
        <f>'Scan to Sheets'!A556</f>
        <v>0</v>
      </c>
      <c r="B556" s="26">
        <f>'Scan to Sheets'!B556</f>
        <v>0</v>
      </c>
      <c r="C556" s="26">
        <f>'Scan to Sheets'!C556</f>
        <v>0</v>
      </c>
      <c r="D556" s="26">
        <f>'Scan to Sheets'!D556</f>
        <v>0</v>
      </c>
      <c r="E556" s="27" t="str">
        <f>IFERROR(VLOOKUP(C556,#REF!, 2, FALSE), "NO ENCONTRADO")</f>
        <v>NO ENCONTRADO</v>
      </c>
      <c r="F556" s="27" t="str">
        <f>IFERROR(VLOOKUP(C556,#REF!, 3, FALSE), "NO ENCONTRADO")</f>
        <v>NO ENCONTRADO</v>
      </c>
      <c r="G556" s="27" t="str">
        <f>IFERROR(VLOOKUP(C556,#REF!, 4, FALSE), "NO ENCONTRADO")</f>
        <v>NO ENCONTRADO</v>
      </c>
      <c r="H556" s="27" t="str">
        <f>IFERROR(VLOOKUP(C556,#REF!, 5, FALSE), "NO ENCONTRADO")</f>
        <v>NO ENCONTRADO</v>
      </c>
      <c r="I556" s="14"/>
      <c r="J556" s="27"/>
      <c r="K556" s="41"/>
      <c r="L556" s="14"/>
      <c r="M556" s="30">
        <f t="shared" ca="1" si="0"/>
        <v>46026</v>
      </c>
      <c r="N556" s="31" t="str">
        <f t="shared" ca="1" si="1"/>
        <v>✅</v>
      </c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spans="1:28" ht="13" x14ac:dyDescent="0.15">
      <c r="A557" s="33">
        <f>'Scan to Sheets'!A557</f>
        <v>0</v>
      </c>
      <c r="B557" s="35">
        <f>'Scan to Sheets'!B557</f>
        <v>0</v>
      </c>
      <c r="C557" s="35">
        <f>'Scan to Sheets'!C557</f>
        <v>0</v>
      </c>
      <c r="D557" s="35">
        <f>'Scan to Sheets'!D557</f>
        <v>0</v>
      </c>
      <c r="E557" s="36" t="str">
        <f>IFERROR(VLOOKUP(C557,#REF!, 2, FALSE), "NO ENCONTRADO")</f>
        <v>NO ENCONTRADO</v>
      </c>
      <c r="F557" s="36" t="str">
        <f>IFERROR(VLOOKUP(C557,#REF!, 3, FALSE), "NO ENCONTRADO")</f>
        <v>NO ENCONTRADO</v>
      </c>
      <c r="G557" s="36" t="str">
        <f>IFERROR(VLOOKUP(C557,#REF!, 4, FALSE), "NO ENCONTRADO")</f>
        <v>NO ENCONTRADO</v>
      </c>
      <c r="H557" s="36" t="str">
        <f>IFERROR(VLOOKUP(C557,#REF!, 5, FALSE), "NO ENCONTRADO")</f>
        <v>NO ENCONTRADO</v>
      </c>
      <c r="I557" s="15"/>
      <c r="J557" s="36"/>
      <c r="K557" s="42"/>
      <c r="L557" s="15"/>
      <c r="M557" s="39">
        <f t="shared" ca="1" si="0"/>
        <v>46026</v>
      </c>
      <c r="N557" s="40" t="str">
        <f t="shared" ca="1" si="1"/>
        <v>✅</v>
      </c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spans="1:28" ht="13" x14ac:dyDescent="0.15">
      <c r="A558" s="24">
        <f>'Scan to Sheets'!A558</f>
        <v>0</v>
      </c>
      <c r="B558" s="26">
        <f>'Scan to Sheets'!B558</f>
        <v>0</v>
      </c>
      <c r="C558" s="26">
        <f>'Scan to Sheets'!C558</f>
        <v>0</v>
      </c>
      <c r="D558" s="26">
        <f>'Scan to Sheets'!D558</f>
        <v>0</v>
      </c>
      <c r="E558" s="27" t="str">
        <f>IFERROR(VLOOKUP(C558,#REF!, 2, FALSE), "NO ENCONTRADO")</f>
        <v>NO ENCONTRADO</v>
      </c>
      <c r="F558" s="27" t="str">
        <f>IFERROR(VLOOKUP(C558,#REF!, 3, FALSE), "NO ENCONTRADO")</f>
        <v>NO ENCONTRADO</v>
      </c>
      <c r="G558" s="27" t="str">
        <f>IFERROR(VLOOKUP(C558,#REF!, 4, FALSE), "NO ENCONTRADO")</f>
        <v>NO ENCONTRADO</v>
      </c>
      <c r="H558" s="27" t="str">
        <f>IFERROR(VLOOKUP(C558,#REF!, 5, FALSE), "NO ENCONTRADO")</f>
        <v>NO ENCONTRADO</v>
      </c>
      <c r="I558" s="14"/>
      <c r="J558" s="27"/>
      <c r="K558" s="41"/>
      <c r="L558" s="14"/>
      <c r="M558" s="30">
        <f t="shared" ca="1" si="0"/>
        <v>46026</v>
      </c>
      <c r="N558" s="31" t="str">
        <f t="shared" ca="1" si="1"/>
        <v>✅</v>
      </c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spans="1:28" ht="13" x14ac:dyDescent="0.15">
      <c r="A559" s="33">
        <f>'Scan to Sheets'!A559</f>
        <v>0</v>
      </c>
      <c r="B559" s="35">
        <f>'Scan to Sheets'!B559</f>
        <v>0</v>
      </c>
      <c r="C559" s="35">
        <f>'Scan to Sheets'!C559</f>
        <v>0</v>
      </c>
      <c r="D559" s="35">
        <f>'Scan to Sheets'!D559</f>
        <v>0</v>
      </c>
      <c r="E559" s="36" t="str">
        <f>IFERROR(VLOOKUP(C559,#REF!, 2, FALSE), "NO ENCONTRADO")</f>
        <v>NO ENCONTRADO</v>
      </c>
      <c r="F559" s="36" t="str">
        <f>IFERROR(VLOOKUP(C559,#REF!, 3, FALSE), "NO ENCONTRADO")</f>
        <v>NO ENCONTRADO</v>
      </c>
      <c r="G559" s="36" t="str">
        <f>IFERROR(VLOOKUP(C559,#REF!, 4, FALSE), "NO ENCONTRADO")</f>
        <v>NO ENCONTRADO</v>
      </c>
      <c r="H559" s="36" t="str">
        <f>IFERROR(VLOOKUP(C559,#REF!, 5, FALSE), "NO ENCONTRADO")</f>
        <v>NO ENCONTRADO</v>
      </c>
      <c r="I559" s="15"/>
      <c r="J559" s="36"/>
      <c r="K559" s="42"/>
      <c r="L559" s="15"/>
      <c r="M559" s="39">
        <f t="shared" ca="1" si="0"/>
        <v>46026</v>
      </c>
      <c r="N559" s="40" t="str">
        <f t="shared" ca="1" si="1"/>
        <v>✅</v>
      </c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spans="1:28" ht="13" x14ac:dyDescent="0.15">
      <c r="A560" s="24">
        <f>'Scan to Sheets'!A560</f>
        <v>0</v>
      </c>
      <c r="B560" s="26">
        <f>'Scan to Sheets'!B560</f>
        <v>0</v>
      </c>
      <c r="C560" s="26">
        <f>'Scan to Sheets'!C560</f>
        <v>0</v>
      </c>
      <c r="D560" s="26">
        <f>'Scan to Sheets'!D560</f>
        <v>0</v>
      </c>
      <c r="E560" s="27" t="str">
        <f>IFERROR(VLOOKUP(C560,#REF!, 2, FALSE), "NO ENCONTRADO")</f>
        <v>NO ENCONTRADO</v>
      </c>
      <c r="F560" s="27" t="str">
        <f>IFERROR(VLOOKUP(C560,#REF!, 3, FALSE), "NO ENCONTRADO")</f>
        <v>NO ENCONTRADO</v>
      </c>
      <c r="G560" s="27" t="str">
        <f>IFERROR(VLOOKUP(C560,#REF!, 4, FALSE), "NO ENCONTRADO")</f>
        <v>NO ENCONTRADO</v>
      </c>
      <c r="H560" s="27" t="str">
        <f>IFERROR(VLOOKUP(C560,#REF!, 5, FALSE), "NO ENCONTRADO")</f>
        <v>NO ENCONTRADO</v>
      </c>
      <c r="I560" s="14"/>
      <c r="J560" s="27"/>
      <c r="K560" s="41"/>
      <c r="L560" s="14"/>
      <c r="M560" s="30">
        <f t="shared" ca="1" si="0"/>
        <v>46026</v>
      </c>
      <c r="N560" s="31" t="str">
        <f t="shared" ca="1" si="1"/>
        <v>✅</v>
      </c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spans="1:28" ht="13" x14ac:dyDescent="0.15">
      <c r="A561" s="33">
        <f>'Scan to Sheets'!A561</f>
        <v>0</v>
      </c>
      <c r="B561" s="35">
        <f>'Scan to Sheets'!B561</f>
        <v>0</v>
      </c>
      <c r="C561" s="35">
        <f>'Scan to Sheets'!C561</f>
        <v>0</v>
      </c>
      <c r="D561" s="35">
        <f>'Scan to Sheets'!D561</f>
        <v>0</v>
      </c>
      <c r="E561" s="36" t="str">
        <f>IFERROR(VLOOKUP(C561,#REF!, 2, FALSE), "NO ENCONTRADO")</f>
        <v>NO ENCONTRADO</v>
      </c>
      <c r="F561" s="36" t="str">
        <f>IFERROR(VLOOKUP(C561,#REF!, 3, FALSE), "NO ENCONTRADO")</f>
        <v>NO ENCONTRADO</v>
      </c>
      <c r="G561" s="36" t="str">
        <f>IFERROR(VLOOKUP(C561,#REF!, 4, FALSE), "NO ENCONTRADO")</f>
        <v>NO ENCONTRADO</v>
      </c>
      <c r="H561" s="36" t="str">
        <f>IFERROR(VLOOKUP(C561,#REF!, 5, FALSE), "NO ENCONTRADO")</f>
        <v>NO ENCONTRADO</v>
      </c>
      <c r="I561" s="15"/>
      <c r="J561" s="36"/>
      <c r="K561" s="42"/>
      <c r="L561" s="15"/>
      <c r="M561" s="39">
        <f t="shared" ca="1" si="0"/>
        <v>46026</v>
      </c>
      <c r="N561" s="40" t="str">
        <f t="shared" ca="1" si="1"/>
        <v>✅</v>
      </c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spans="1:28" ht="13" x14ac:dyDescent="0.15">
      <c r="A562" s="24">
        <f>'Scan to Sheets'!A562</f>
        <v>0</v>
      </c>
      <c r="B562" s="26">
        <f>'Scan to Sheets'!B562</f>
        <v>0</v>
      </c>
      <c r="C562" s="26">
        <f>'Scan to Sheets'!C562</f>
        <v>0</v>
      </c>
      <c r="D562" s="26">
        <f>'Scan to Sheets'!D562</f>
        <v>0</v>
      </c>
      <c r="E562" s="27" t="str">
        <f>IFERROR(VLOOKUP(C562,#REF!, 2, FALSE), "NO ENCONTRADO")</f>
        <v>NO ENCONTRADO</v>
      </c>
      <c r="F562" s="27" t="str">
        <f>IFERROR(VLOOKUP(C562,#REF!, 3, FALSE), "NO ENCONTRADO")</f>
        <v>NO ENCONTRADO</v>
      </c>
      <c r="G562" s="27" t="str">
        <f>IFERROR(VLOOKUP(C562,#REF!, 4, FALSE), "NO ENCONTRADO")</f>
        <v>NO ENCONTRADO</v>
      </c>
      <c r="H562" s="27" t="str">
        <f>IFERROR(VLOOKUP(C562,#REF!, 5, FALSE), "NO ENCONTRADO")</f>
        <v>NO ENCONTRADO</v>
      </c>
      <c r="I562" s="14"/>
      <c r="J562" s="27"/>
      <c r="K562" s="41"/>
      <c r="L562" s="14"/>
      <c r="M562" s="30">
        <f t="shared" ca="1" si="0"/>
        <v>46026</v>
      </c>
      <c r="N562" s="31" t="str">
        <f t="shared" ca="1" si="1"/>
        <v>✅</v>
      </c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spans="1:28" ht="13" x14ac:dyDescent="0.15">
      <c r="A563" s="33">
        <f>'Scan to Sheets'!A563</f>
        <v>0</v>
      </c>
      <c r="B563" s="35">
        <f>'Scan to Sheets'!B563</f>
        <v>0</v>
      </c>
      <c r="C563" s="35">
        <f>'Scan to Sheets'!C563</f>
        <v>0</v>
      </c>
      <c r="D563" s="35">
        <f>'Scan to Sheets'!D563</f>
        <v>0</v>
      </c>
      <c r="E563" s="36" t="str">
        <f>IFERROR(VLOOKUP(C563,#REF!, 2, FALSE), "NO ENCONTRADO")</f>
        <v>NO ENCONTRADO</v>
      </c>
      <c r="F563" s="36" t="str">
        <f>IFERROR(VLOOKUP(C563,#REF!, 3, FALSE), "NO ENCONTRADO")</f>
        <v>NO ENCONTRADO</v>
      </c>
      <c r="G563" s="36" t="str">
        <f>IFERROR(VLOOKUP(C563,#REF!, 4, FALSE), "NO ENCONTRADO")</f>
        <v>NO ENCONTRADO</v>
      </c>
      <c r="H563" s="36" t="str">
        <f>IFERROR(VLOOKUP(C563,#REF!, 5, FALSE), "NO ENCONTRADO")</f>
        <v>NO ENCONTRADO</v>
      </c>
      <c r="I563" s="15"/>
      <c r="J563" s="36"/>
      <c r="K563" s="42"/>
      <c r="L563" s="15"/>
      <c r="M563" s="39">
        <f t="shared" ca="1" si="0"/>
        <v>46026</v>
      </c>
      <c r="N563" s="40" t="str">
        <f t="shared" ca="1" si="1"/>
        <v>✅</v>
      </c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spans="1:28" ht="13" x14ac:dyDescent="0.15">
      <c r="A564" s="24">
        <f>'Scan to Sheets'!A564</f>
        <v>0</v>
      </c>
      <c r="B564" s="26">
        <f>'Scan to Sheets'!B564</f>
        <v>0</v>
      </c>
      <c r="C564" s="26">
        <f>'Scan to Sheets'!C564</f>
        <v>0</v>
      </c>
      <c r="D564" s="26">
        <f>'Scan to Sheets'!D564</f>
        <v>0</v>
      </c>
      <c r="E564" s="27" t="str">
        <f>IFERROR(VLOOKUP(C564,#REF!, 2, FALSE), "NO ENCONTRADO")</f>
        <v>NO ENCONTRADO</v>
      </c>
      <c r="F564" s="27" t="str">
        <f>IFERROR(VLOOKUP(C564,#REF!, 3, FALSE), "NO ENCONTRADO")</f>
        <v>NO ENCONTRADO</v>
      </c>
      <c r="G564" s="27" t="str">
        <f>IFERROR(VLOOKUP(C564,#REF!, 4, FALSE), "NO ENCONTRADO")</f>
        <v>NO ENCONTRADO</v>
      </c>
      <c r="H564" s="27" t="str">
        <f>IFERROR(VLOOKUP(C564,#REF!, 5, FALSE), "NO ENCONTRADO")</f>
        <v>NO ENCONTRADO</v>
      </c>
      <c r="I564" s="14"/>
      <c r="J564" s="27"/>
      <c r="K564" s="41"/>
      <c r="L564" s="14"/>
      <c r="M564" s="30">
        <f t="shared" ca="1" si="0"/>
        <v>46026</v>
      </c>
      <c r="N564" s="31" t="str">
        <f t="shared" ca="1" si="1"/>
        <v>✅</v>
      </c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spans="1:28" ht="13" x14ac:dyDescent="0.15">
      <c r="A565" s="33">
        <f>'Scan to Sheets'!A565</f>
        <v>0</v>
      </c>
      <c r="B565" s="35">
        <f>'Scan to Sheets'!B565</f>
        <v>0</v>
      </c>
      <c r="C565" s="35">
        <f>'Scan to Sheets'!C565</f>
        <v>0</v>
      </c>
      <c r="D565" s="35">
        <f>'Scan to Sheets'!D565</f>
        <v>0</v>
      </c>
      <c r="E565" s="36" t="str">
        <f>IFERROR(VLOOKUP(C565,#REF!, 2, FALSE), "NO ENCONTRADO")</f>
        <v>NO ENCONTRADO</v>
      </c>
      <c r="F565" s="36" t="str">
        <f>IFERROR(VLOOKUP(C565,#REF!, 3, FALSE), "NO ENCONTRADO")</f>
        <v>NO ENCONTRADO</v>
      </c>
      <c r="G565" s="36" t="str">
        <f>IFERROR(VLOOKUP(C565,#REF!, 4, FALSE), "NO ENCONTRADO")</f>
        <v>NO ENCONTRADO</v>
      </c>
      <c r="H565" s="36" t="str">
        <f>IFERROR(VLOOKUP(C565,#REF!, 5, FALSE), "NO ENCONTRADO")</f>
        <v>NO ENCONTRADO</v>
      </c>
      <c r="I565" s="15"/>
      <c r="J565" s="36"/>
      <c r="K565" s="42"/>
      <c r="L565" s="15"/>
      <c r="M565" s="39">
        <f t="shared" ca="1" si="0"/>
        <v>46026</v>
      </c>
      <c r="N565" s="40" t="str">
        <f t="shared" ca="1" si="1"/>
        <v>✅</v>
      </c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spans="1:28" ht="13" x14ac:dyDescent="0.15">
      <c r="A566" s="24">
        <f>'Scan to Sheets'!A566</f>
        <v>0</v>
      </c>
      <c r="B566" s="26">
        <f>'Scan to Sheets'!B566</f>
        <v>0</v>
      </c>
      <c r="C566" s="26">
        <f>'Scan to Sheets'!C566</f>
        <v>0</v>
      </c>
      <c r="D566" s="26">
        <f>'Scan to Sheets'!D566</f>
        <v>0</v>
      </c>
      <c r="E566" s="27" t="str">
        <f>IFERROR(VLOOKUP(C566,#REF!, 2, FALSE), "NO ENCONTRADO")</f>
        <v>NO ENCONTRADO</v>
      </c>
      <c r="F566" s="27" t="str">
        <f>IFERROR(VLOOKUP(C566,#REF!, 3, FALSE), "NO ENCONTRADO")</f>
        <v>NO ENCONTRADO</v>
      </c>
      <c r="G566" s="27" t="str">
        <f>IFERROR(VLOOKUP(C566,#REF!, 4, FALSE), "NO ENCONTRADO")</f>
        <v>NO ENCONTRADO</v>
      </c>
      <c r="H566" s="27" t="str">
        <f>IFERROR(VLOOKUP(C566,#REF!, 5, FALSE), "NO ENCONTRADO")</f>
        <v>NO ENCONTRADO</v>
      </c>
      <c r="I566" s="14"/>
      <c r="J566" s="27"/>
      <c r="K566" s="41"/>
      <c r="L566" s="14"/>
      <c r="M566" s="30">
        <f t="shared" ca="1" si="0"/>
        <v>46026</v>
      </c>
      <c r="N566" s="31" t="str">
        <f t="shared" ca="1" si="1"/>
        <v>✅</v>
      </c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spans="1:28" ht="13" x14ac:dyDescent="0.15">
      <c r="A567" s="33">
        <f>'Scan to Sheets'!A567</f>
        <v>0</v>
      </c>
      <c r="B567" s="35">
        <f>'Scan to Sheets'!B567</f>
        <v>0</v>
      </c>
      <c r="C567" s="35">
        <f>'Scan to Sheets'!C567</f>
        <v>0</v>
      </c>
      <c r="D567" s="35">
        <f>'Scan to Sheets'!D567</f>
        <v>0</v>
      </c>
      <c r="E567" s="36" t="str">
        <f>IFERROR(VLOOKUP(C567,#REF!, 2, FALSE), "NO ENCONTRADO")</f>
        <v>NO ENCONTRADO</v>
      </c>
      <c r="F567" s="36" t="str">
        <f>IFERROR(VLOOKUP(C567,#REF!, 3, FALSE), "NO ENCONTRADO")</f>
        <v>NO ENCONTRADO</v>
      </c>
      <c r="G567" s="36" t="str">
        <f>IFERROR(VLOOKUP(C567,#REF!, 4, FALSE), "NO ENCONTRADO")</f>
        <v>NO ENCONTRADO</v>
      </c>
      <c r="H567" s="36" t="str">
        <f>IFERROR(VLOOKUP(C567,#REF!, 5, FALSE), "NO ENCONTRADO")</f>
        <v>NO ENCONTRADO</v>
      </c>
      <c r="I567" s="15"/>
      <c r="J567" s="36"/>
      <c r="K567" s="42"/>
      <c r="L567" s="15"/>
      <c r="M567" s="39">
        <f t="shared" ca="1" si="0"/>
        <v>46026</v>
      </c>
      <c r="N567" s="40" t="str">
        <f t="shared" ca="1" si="1"/>
        <v>✅</v>
      </c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spans="1:28" ht="13" x14ac:dyDescent="0.15">
      <c r="A568" s="24">
        <f>'Scan to Sheets'!A568</f>
        <v>0</v>
      </c>
      <c r="B568" s="26">
        <f>'Scan to Sheets'!B568</f>
        <v>0</v>
      </c>
      <c r="C568" s="26">
        <f>'Scan to Sheets'!C568</f>
        <v>0</v>
      </c>
      <c r="D568" s="26">
        <f>'Scan to Sheets'!D568</f>
        <v>0</v>
      </c>
      <c r="E568" s="27" t="str">
        <f>IFERROR(VLOOKUP(C568,#REF!, 2, FALSE), "NO ENCONTRADO")</f>
        <v>NO ENCONTRADO</v>
      </c>
      <c r="F568" s="27" t="str">
        <f>IFERROR(VLOOKUP(C568,#REF!, 3, FALSE), "NO ENCONTRADO")</f>
        <v>NO ENCONTRADO</v>
      </c>
      <c r="G568" s="27" t="str">
        <f>IFERROR(VLOOKUP(C568,#REF!, 4, FALSE), "NO ENCONTRADO")</f>
        <v>NO ENCONTRADO</v>
      </c>
      <c r="H568" s="27" t="str">
        <f>IFERROR(VLOOKUP(C568,#REF!, 5, FALSE), "NO ENCONTRADO")</f>
        <v>NO ENCONTRADO</v>
      </c>
      <c r="I568" s="14"/>
      <c r="J568" s="27"/>
      <c r="K568" s="41"/>
      <c r="L568" s="14"/>
      <c r="M568" s="30">
        <f t="shared" ca="1" si="0"/>
        <v>46026</v>
      </c>
      <c r="N568" s="31" t="str">
        <f t="shared" ca="1" si="1"/>
        <v>✅</v>
      </c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 spans="1:28" ht="13" x14ac:dyDescent="0.15">
      <c r="A569" s="33">
        <f>'Scan to Sheets'!A569</f>
        <v>0</v>
      </c>
      <c r="B569" s="35">
        <f>'Scan to Sheets'!B569</f>
        <v>0</v>
      </c>
      <c r="C569" s="35">
        <f>'Scan to Sheets'!C569</f>
        <v>0</v>
      </c>
      <c r="D569" s="35">
        <f>'Scan to Sheets'!D569</f>
        <v>0</v>
      </c>
      <c r="E569" s="36" t="str">
        <f>IFERROR(VLOOKUP(C569,#REF!, 2, FALSE), "NO ENCONTRADO")</f>
        <v>NO ENCONTRADO</v>
      </c>
      <c r="F569" s="36" t="str">
        <f>IFERROR(VLOOKUP(C569,#REF!, 3, FALSE), "NO ENCONTRADO")</f>
        <v>NO ENCONTRADO</v>
      </c>
      <c r="G569" s="36" t="str">
        <f>IFERROR(VLOOKUP(C569,#REF!, 4, FALSE), "NO ENCONTRADO")</f>
        <v>NO ENCONTRADO</v>
      </c>
      <c r="H569" s="36" t="str">
        <f>IFERROR(VLOOKUP(C569,#REF!, 5, FALSE), "NO ENCONTRADO")</f>
        <v>NO ENCONTRADO</v>
      </c>
      <c r="I569" s="15"/>
      <c r="J569" s="36"/>
      <c r="K569" s="42"/>
      <c r="L569" s="15"/>
      <c r="M569" s="39">
        <f t="shared" ca="1" si="0"/>
        <v>46026</v>
      </c>
      <c r="N569" s="40" t="str">
        <f t="shared" ca="1" si="1"/>
        <v>✅</v>
      </c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 spans="1:28" ht="13" x14ac:dyDescent="0.15">
      <c r="A570" s="24">
        <f>'Scan to Sheets'!A570</f>
        <v>0</v>
      </c>
      <c r="B570" s="26">
        <f>'Scan to Sheets'!B570</f>
        <v>0</v>
      </c>
      <c r="C570" s="26">
        <f>'Scan to Sheets'!C570</f>
        <v>0</v>
      </c>
      <c r="D570" s="26">
        <f>'Scan to Sheets'!D570</f>
        <v>0</v>
      </c>
      <c r="E570" s="27" t="str">
        <f>IFERROR(VLOOKUP(C570,#REF!, 2, FALSE), "NO ENCONTRADO")</f>
        <v>NO ENCONTRADO</v>
      </c>
      <c r="F570" s="27" t="str">
        <f>IFERROR(VLOOKUP(C570,#REF!, 3, FALSE), "NO ENCONTRADO")</f>
        <v>NO ENCONTRADO</v>
      </c>
      <c r="G570" s="27" t="str">
        <f>IFERROR(VLOOKUP(C570,#REF!, 4, FALSE), "NO ENCONTRADO")</f>
        <v>NO ENCONTRADO</v>
      </c>
      <c r="H570" s="27" t="str">
        <f>IFERROR(VLOOKUP(C570,#REF!, 5, FALSE), "NO ENCONTRADO")</f>
        <v>NO ENCONTRADO</v>
      </c>
      <c r="I570" s="14"/>
      <c r="J570" s="27"/>
      <c r="K570" s="41"/>
      <c r="L570" s="14"/>
      <c r="M570" s="30">
        <f t="shared" ca="1" si="0"/>
        <v>46026</v>
      </c>
      <c r="N570" s="31" t="str">
        <f t="shared" ca="1" si="1"/>
        <v>✅</v>
      </c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 spans="1:28" ht="13" x14ac:dyDescent="0.15">
      <c r="A571" s="33">
        <f>'Scan to Sheets'!A571</f>
        <v>0</v>
      </c>
      <c r="B571" s="35">
        <f>'Scan to Sheets'!B571</f>
        <v>0</v>
      </c>
      <c r="C571" s="35">
        <f>'Scan to Sheets'!C571</f>
        <v>0</v>
      </c>
      <c r="D571" s="35">
        <f>'Scan to Sheets'!D571</f>
        <v>0</v>
      </c>
      <c r="E571" s="36" t="str">
        <f>IFERROR(VLOOKUP(C571,#REF!, 2, FALSE), "NO ENCONTRADO")</f>
        <v>NO ENCONTRADO</v>
      </c>
      <c r="F571" s="36" t="str">
        <f>IFERROR(VLOOKUP(C571,#REF!, 3, FALSE), "NO ENCONTRADO")</f>
        <v>NO ENCONTRADO</v>
      </c>
      <c r="G571" s="36" t="str">
        <f>IFERROR(VLOOKUP(C571,#REF!, 4, FALSE), "NO ENCONTRADO")</f>
        <v>NO ENCONTRADO</v>
      </c>
      <c r="H571" s="36" t="str">
        <f>IFERROR(VLOOKUP(C571,#REF!, 5, FALSE), "NO ENCONTRADO")</f>
        <v>NO ENCONTRADO</v>
      </c>
      <c r="I571" s="15"/>
      <c r="J571" s="36"/>
      <c r="K571" s="42"/>
      <c r="L571" s="15"/>
      <c r="M571" s="39">
        <f t="shared" ca="1" si="0"/>
        <v>46026</v>
      </c>
      <c r="N571" s="40" t="str">
        <f t="shared" ca="1" si="1"/>
        <v>✅</v>
      </c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 spans="1:28" ht="13" x14ac:dyDescent="0.15">
      <c r="A572" s="24">
        <f>'Scan to Sheets'!A572</f>
        <v>0</v>
      </c>
      <c r="B572" s="26">
        <f>'Scan to Sheets'!B572</f>
        <v>0</v>
      </c>
      <c r="C572" s="26">
        <f>'Scan to Sheets'!C572</f>
        <v>0</v>
      </c>
      <c r="D572" s="26">
        <f>'Scan to Sheets'!D572</f>
        <v>0</v>
      </c>
      <c r="E572" s="27" t="str">
        <f>IFERROR(VLOOKUP(C572,#REF!, 2, FALSE), "NO ENCONTRADO")</f>
        <v>NO ENCONTRADO</v>
      </c>
      <c r="F572" s="27" t="str">
        <f>IFERROR(VLOOKUP(C572,#REF!, 3, FALSE), "NO ENCONTRADO")</f>
        <v>NO ENCONTRADO</v>
      </c>
      <c r="G572" s="27" t="str">
        <f>IFERROR(VLOOKUP(C572,#REF!, 4, FALSE), "NO ENCONTRADO")</f>
        <v>NO ENCONTRADO</v>
      </c>
      <c r="H572" s="27" t="str">
        <f>IFERROR(VLOOKUP(C572,#REF!, 5, FALSE), "NO ENCONTRADO")</f>
        <v>NO ENCONTRADO</v>
      </c>
      <c r="I572" s="14"/>
      <c r="J572" s="27"/>
      <c r="K572" s="41"/>
      <c r="L572" s="14"/>
      <c r="M572" s="30">
        <f t="shared" ca="1" si="0"/>
        <v>46026</v>
      </c>
      <c r="N572" s="31" t="str">
        <f t="shared" ca="1" si="1"/>
        <v>✅</v>
      </c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 spans="1:28" ht="13" x14ac:dyDescent="0.15">
      <c r="A573" s="33">
        <f>'Scan to Sheets'!A573</f>
        <v>0</v>
      </c>
      <c r="B573" s="35">
        <f>'Scan to Sheets'!B573</f>
        <v>0</v>
      </c>
      <c r="C573" s="35">
        <f>'Scan to Sheets'!C573</f>
        <v>0</v>
      </c>
      <c r="D573" s="35">
        <f>'Scan to Sheets'!D573</f>
        <v>0</v>
      </c>
      <c r="E573" s="36" t="str">
        <f>IFERROR(VLOOKUP(C573,#REF!, 2, FALSE), "NO ENCONTRADO")</f>
        <v>NO ENCONTRADO</v>
      </c>
      <c r="F573" s="36" t="str">
        <f>IFERROR(VLOOKUP(C573,#REF!, 3, FALSE), "NO ENCONTRADO")</f>
        <v>NO ENCONTRADO</v>
      </c>
      <c r="G573" s="36" t="str">
        <f>IFERROR(VLOOKUP(C573,#REF!, 4, FALSE), "NO ENCONTRADO")</f>
        <v>NO ENCONTRADO</v>
      </c>
      <c r="H573" s="36" t="str">
        <f>IFERROR(VLOOKUP(C573,#REF!, 5, FALSE), "NO ENCONTRADO")</f>
        <v>NO ENCONTRADO</v>
      </c>
      <c r="I573" s="15"/>
      <c r="J573" s="36"/>
      <c r="K573" s="42"/>
      <c r="L573" s="15"/>
      <c r="M573" s="39">
        <f t="shared" ca="1" si="0"/>
        <v>46026</v>
      </c>
      <c r="N573" s="40" t="str">
        <f t="shared" ca="1" si="1"/>
        <v>✅</v>
      </c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 spans="1:28" ht="13" x14ac:dyDescent="0.15">
      <c r="A574" s="24">
        <f>'Scan to Sheets'!A574</f>
        <v>0</v>
      </c>
      <c r="B574" s="26">
        <f>'Scan to Sheets'!B574</f>
        <v>0</v>
      </c>
      <c r="C574" s="26">
        <f>'Scan to Sheets'!C574</f>
        <v>0</v>
      </c>
      <c r="D574" s="26">
        <f>'Scan to Sheets'!D574</f>
        <v>0</v>
      </c>
      <c r="E574" s="27" t="str">
        <f>IFERROR(VLOOKUP(C574,#REF!, 2, FALSE), "NO ENCONTRADO")</f>
        <v>NO ENCONTRADO</v>
      </c>
      <c r="F574" s="27" t="str">
        <f>IFERROR(VLOOKUP(C574,#REF!, 3, FALSE), "NO ENCONTRADO")</f>
        <v>NO ENCONTRADO</v>
      </c>
      <c r="G574" s="27" t="str">
        <f>IFERROR(VLOOKUP(C574,#REF!, 4, FALSE), "NO ENCONTRADO")</f>
        <v>NO ENCONTRADO</v>
      </c>
      <c r="H574" s="27" t="str">
        <f>IFERROR(VLOOKUP(C574,#REF!, 5, FALSE), "NO ENCONTRADO")</f>
        <v>NO ENCONTRADO</v>
      </c>
      <c r="I574" s="14"/>
      <c r="J574" s="27"/>
      <c r="K574" s="41"/>
      <c r="L574" s="14"/>
      <c r="M574" s="30">
        <f t="shared" ca="1" si="0"/>
        <v>46026</v>
      </c>
      <c r="N574" s="31" t="str">
        <f t="shared" ca="1" si="1"/>
        <v>✅</v>
      </c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 spans="1:28" ht="13" x14ac:dyDescent="0.15">
      <c r="A575" s="33">
        <f>'Scan to Sheets'!A575</f>
        <v>0</v>
      </c>
      <c r="B575" s="35">
        <f>'Scan to Sheets'!B575</f>
        <v>0</v>
      </c>
      <c r="C575" s="35">
        <f>'Scan to Sheets'!C575</f>
        <v>0</v>
      </c>
      <c r="D575" s="35">
        <f>'Scan to Sheets'!D575</f>
        <v>0</v>
      </c>
      <c r="E575" s="36" t="str">
        <f>IFERROR(VLOOKUP(C575,#REF!, 2, FALSE), "NO ENCONTRADO")</f>
        <v>NO ENCONTRADO</v>
      </c>
      <c r="F575" s="36" t="str">
        <f>IFERROR(VLOOKUP(C575,#REF!, 3, FALSE), "NO ENCONTRADO")</f>
        <v>NO ENCONTRADO</v>
      </c>
      <c r="G575" s="36" t="str">
        <f>IFERROR(VLOOKUP(C575,#REF!, 4, FALSE), "NO ENCONTRADO")</f>
        <v>NO ENCONTRADO</v>
      </c>
      <c r="H575" s="36" t="str">
        <f>IFERROR(VLOOKUP(C575,#REF!, 5, FALSE), "NO ENCONTRADO")</f>
        <v>NO ENCONTRADO</v>
      </c>
      <c r="I575" s="15"/>
      <c r="J575" s="36"/>
      <c r="K575" s="42"/>
      <c r="L575" s="15"/>
      <c r="M575" s="39">
        <f t="shared" ca="1" si="0"/>
        <v>46026</v>
      </c>
      <c r="N575" s="40" t="str">
        <f t="shared" ca="1" si="1"/>
        <v>✅</v>
      </c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 spans="1:28" ht="13" x14ac:dyDescent="0.15">
      <c r="A576" s="24">
        <f>'Scan to Sheets'!A576</f>
        <v>0</v>
      </c>
      <c r="B576" s="26">
        <f>'Scan to Sheets'!B576</f>
        <v>0</v>
      </c>
      <c r="C576" s="26">
        <f>'Scan to Sheets'!C576</f>
        <v>0</v>
      </c>
      <c r="D576" s="26">
        <f>'Scan to Sheets'!D576</f>
        <v>0</v>
      </c>
      <c r="E576" s="27" t="str">
        <f>IFERROR(VLOOKUP(C576,#REF!, 2, FALSE), "NO ENCONTRADO")</f>
        <v>NO ENCONTRADO</v>
      </c>
      <c r="F576" s="27" t="str">
        <f>IFERROR(VLOOKUP(C576,#REF!, 3, FALSE), "NO ENCONTRADO")</f>
        <v>NO ENCONTRADO</v>
      </c>
      <c r="G576" s="27" t="str">
        <f>IFERROR(VLOOKUP(C576,#REF!, 4, FALSE), "NO ENCONTRADO")</f>
        <v>NO ENCONTRADO</v>
      </c>
      <c r="H576" s="27" t="str">
        <f>IFERROR(VLOOKUP(C576,#REF!, 5, FALSE), "NO ENCONTRADO")</f>
        <v>NO ENCONTRADO</v>
      </c>
      <c r="I576" s="14"/>
      <c r="J576" s="27"/>
      <c r="K576" s="41"/>
      <c r="L576" s="14"/>
      <c r="M576" s="30">
        <f t="shared" ca="1" si="0"/>
        <v>46026</v>
      </c>
      <c r="N576" s="31" t="str">
        <f t="shared" ca="1" si="1"/>
        <v>✅</v>
      </c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 spans="1:28" ht="13" x14ac:dyDescent="0.15">
      <c r="A577" s="33">
        <f>'Scan to Sheets'!A577</f>
        <v>0</v>
      </c>
      <c r="B577" s="35">
        <f>'Scan to Sheets'!B577</f>
        <v>0</v>
      </c>
      <c r="C577" s="35">
        <f>'Scan to Sheets'!C577</f>
        <v>0</v>
      </c>
      <c r="D577" s="35">
        <f>'Scan to Sheets'!D577</f>
        <v>0</v>
      </c>
      <c r="E577" s="36" t="str">
        <f>IFERROR(VLOOKUP(C577,#REF!, 2, FALSE), "NO ENCONTRADO")</f>
        <v>NO ENCONTRADO</v>
      </c>
      <c r="F577" s="36" t="str">
        <f>IFERROR(VLOOKUP(C577,#REF!, 3, FALSE), "NO ENCONTRADO")</f>
        <v>NO ENCONTRADO</v>
      </c>
      <c r="G577" s="36" t="str">
        <f>IFERROR(VLOOKUP(C577,#REF!, 4, FALSE), "NO ENCONTRADO")</f>
        <v>NO ENCONTRADO</v>
      </c>
      <c r="H577" s="36" t="str">
        <f>IFERROR(VLOOKUP(C577,#REF!, 5, FALSE), "NO ENCONTRADO")</f>
        <v>NO ENCONTRADO</v>
      </c>
      <c r="I577" s="15"/>
      <c r="J577" s="36"/>
      <c r="K577" s="42"/>
      <c r="L577" s="15"/>
      <c r="M577" s="39">
        <f t="shared" ca="1" si="0"/>
        <v>46026</v>
      </c>
      <c r="N577" s="40" t="str">
        <f t="shared" ca="1" si="1"/>
        <v>✅</v>
      </c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 spans="1:28" ht="13" x14ac:dyDescent="0.15">
      <c r="A578" s="24">
        <f>'Scan to Sheets'!A578</f>
        <v>0</v>
      </c>
      <c r="B578" s="26">
        <f>'Scan to Sheets'!B578</f>
        <v>0</v>
      </c>
      <c r="C578" s="26">
        <f>'Scan to Sheets'!C578</f>
        <v>0</v>
      </c>
      <c r="D578" s="26">
        <f>'Scan to Sheets'!D578</f>
        <v>0</v>
      </c>
      <c r="E578" s="27" t="str">
        <f>IFERROR(VLOOKUP(C578,#REF!, 2, FALSE), "NO ENCONTRADO")</f>
        <v>NO ENCONTRADO</v>
      </c>
      <c r="F578" s="27" t="str">
        <f>IFERROR(VLOOKUP(C578,#REF!, 3, FALSE), "NO ENCONTRADO")</f>
        <v>NO ENCONTRADO</v>
      </c>
      <c r="G578" s="27" t="str">
        <f>IFERROR(VLOOKUP(C578,#REF!, 4, FALSE), "NO ENCONTRADO")</f>
        <v>NO ENCONTRADO</v>
      </c>
      <c r="H578" s="27" t="str">
        <f>IFERROR(VLOOKUP(C578,#REF!, 5, FALSE), "NO ENCONTRADO")</f>
        <v>NO ENCONTRADO</v>
      </c>
      <c r="I578" s="14"/>
      <c r="J578" s="27"/>
      <c r="K578" s="41"/>
      <c r="L578" s="14"/>
      <c r="M578" s="30">
        <f t="shared" ca="1" si="0"/>
        <v>46026</v>
      </c>
      <c r="N578" s="31" t="str">
        <f t="shared" ca="1" si="1"/>
        <v>✅</v>
      </c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 spans="1:28" ht="13" x14ac:dyDescent="0.15">
      <c r="A579" s="33">
        <f>'Scan to Sheets'!A579</f>
        <v>0</v>
      </c>
      <c r="B579" s="35">
        <f>'Scan to Sheets'!B579</f>
        <v>0</v>
      </c>
      <c r="C579" s="35">
        <f>'Scan to Sheets'!C579</f>
        <v>0</v>
      </c>
      <c r="D579" s="35">
        <f>'Scan to Sheets'!D579</f>
        <v>0</v>
      </c>
      <c r="E579" s="36" t="str">
        <f>IFERROR(VLOOKUP(C579,#REF!, 2, FALSE), "NO ENCONTRADO")</f>
        <v>NO ENCONTRADO</v>
      </c>
      <c r="F579" s="36" t="str">
        <f>IFERROR(VLOOKUP(C579,#REF!, 3, FALSE), "NO ENCONTRADO")</f>
        <v>NO ENCONTRADO</v>
      </c>
      <c r="G579" s="36" t="str">
        <f>IFERROR(VLOOKUP(C579,#REF!, 4, FALSE), "NO ENCONTRADO")</f>
        <v>NO ENCONTRADO</v>
      </c>
      <c r="H579" s="36" t="str">
        <f>IFERROR(VLOOKUP(C579,#REF!, 5, FALSE), "NO ENCONTRADO")</f>
        <v>NO ENCONTRADO</v>
      </c>
      <c r="I579" s="15"/>
      <c r="J579" s="36"/>
      <c r="K579" s="42"/>
      <c r="L579" s="15"/>
      <c r="M579" s="39">
        <f t="shared" ca="1" si="0"/>
        <v>46026</v>
      </c>
      <c r="N579" s="40" t="str">
        <f t="shared" ca="1" si="1"/>
        <v>✅</v>
      </c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spans="1:28" ht="13" x14ac:dyDescent="0.15">
      <c r="A580" s="24">
        <f>'Scan to Sheets'!A580</f>
        <v>0</v>
      </c>
      <c r="B580" s="26">
        <f>'Scan to Sheets'!B580</f>
        <v>0</v>
      </c>
      <c r="C580" s="26">
        <f>'Scan to Sheets'!C580</f>
        <v>0</v>
      </c>
      <c r="D580" s="26">
        <f>'Scan to Sheets'!D580</f>
        <v>0</v>
      </c>
      <c r="E580" s="27" t="str">
        <f>IFERROR(VLOOKUP(C580,#REF!, 2, FALSE), "NO ENCONTRADO")</f>
        <v>NO ENCONTRADO</v>
      </c>
      <c r="F580" s="27" t="str">
        <f>IFERROR(VLOOKUP(C580,#REF!, 3, FALSE), "NO ENCONTRADO")</f>
        <v>NO ENCONTRADO</v>
      </c>
      <c r="G580" s="27" t="str">
        <f>IFERROR(VLOOKUP(C580,#REF!, 4, FALSE), "NO ENCONTRADO")</f>
        <v>NO ENCONTRADO</v>
      </c>
      <c r="H580" s="27" t="str">
        <f>IFERROR(VLOOKUP(C580,#REF!, 5, FALSE), "NO ENCONTRADO")</f>
        <v>NO ENCONTRADO</v>
      </c>
      <c r="I580" s="14"/>
      <c r="J580" s="27"/>
      <c r="K580" s="41"/>
      <c r="L580" s="14"/>
      <c r="M580" s="30">
        <f t="shared" ca="1" si="0"/>
        <v>46026</v>
      </c>
      <c r="N580" s="31" t="str">
        <f t="shared" ca="1" si="1"/>
        <v>✅</v>
      </c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spans="1:28" ht="13" x14ac:dyDescent="0.15">
      <c r="A581" s="33">
        <f>'Scan to Sheets'!A581</f>
        <v>0</v>
      </c>
      <c r="B581" s="35">
        <f>'Scan to Sheets'!B581</f>
        <v>0</v>
      </c>
      <c r="C581" s="35">
        <f>'Scan to Sheets'!C581</f>
        <v>0</v>
      </c>
      <c r="D581" s="35">
        <f>'Scan to Sheets'!D581</f>
        <v>0</v>
      </c>
      <c r="E581" s="36" t="str">
        <f>IFERROR(VLOOKUP(C581,#REF!, 2, FALSE), "NO ENCONTRADO")</f>
        <v>NO ENCONTRADO</v>
      </c>
      <c r="F581" s="36" t="str">
        <f>IFERROR(VLOOKUP(C581,#REF!, 3, FALSE), "NO ENCONTRADO")</f>
        <v>NO ENCONTRADO</v>
      </c>
      <c r="G581" s="36" t="str">
        <f>IFERROR(VLOOKUP(C581,#REF!, 4, FALSE), "NO ENCONTRADO")</f>
        <v>NO ENCONTRADO</v>
      </c>
      <c r="H581" s="36" t="str">
        <f>IFERROR(VLOOKUP(C581,#REF!, 5, FALSE), "NO ENCONTRADO")</f>
        <v>NO ENCONTRADO</v>
      </c>
      <c r="I581" s="15"/>
      <c r="J581" s="36"/>
      <c r="K581" s="42"/>
      <c r="L581" s="15"/>
      <c r="M581" s="39">
        <f t="shared" ca="1" si="0"/>
        <v>46026</v>
      </c>
      <c r="N581" s="40" t="str">
        <f t="shared" ca="1" si="1"/>
        <v>✅</v>
      </c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spans="1:28" ht="13" x14ac:dyDescent="0.15">
      <c r="A582" s="24">
        <f>'Scan to Sheets'!A582</f>
        <v>0</v>
      </c>
      <c r="B582" s="26">
        <f>'Scan to Sheets'!B582</f>
        <v>0</v>
      </c>
      <c r="C582" s="26">
        <f>'Scan to Sheets'!C582</f>
        <v>0</v>
      </c>
      <c r="D582" s="26">
        <f>'Scan to Sheets'!D582</f>
        <v>0</v>
      </c>
      <c r="E582" s="27" t="str">
        <f>IFERROR(VLOOKUP(C582,#REF!, 2, FALSE), "NO ENCONTRADO")</f>
        <v>NO ENCONTRADO</v>
      </c>
      <c r="F582" s="27" t="str">
        <f>IFERROR(VLOOKUP(C582,#REF!, 3, FALSE), "NO ENCONTRADO")</f>
        <v>NO ENCONTRADO</v>
      </c>
      <c r="G582" s="27" t="str">
        <f>IFERROR(VLOOKUP(C582,#REF!, 4, FALSE), "NO ENCONTRADO")</f>
        <v>NO ENCONTRADO</v>
      </c>
      <c r="H582" s="27" t="str">
        <f>IFERROR(VLOOKUP(C582,#REF!, 5, FALSE), "NO ENCONTRADO")</f>
        <v>NO ENCONTRADO</v>
      </c>
      <c r="I582" s="14"/>
      <c r="J582" s="27"/>
      <c r="K582" s="41"/>
      <c r="L582" s="14"/>
      <c r="M582" s="30">
        <f t="shared" ca="1" si="0"/>
        <v>46026</v>
      </c>
      <c r="N582" s="31" t="str">
        <f t="shared" ca="1" si="1"/>
        <v>✅</v>
      </c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spans="1:28" ht="13" x14ac:dyDescent="0.15">
      <c r="A583" s="33">
        <f>'Scan to Sheets'!A583</f>
        <v>0</v>
      </c>
      <c r="B583" s="35">
        <f>'Scan to Sheets'!B583</f>
        <v>0</v>
      </c>
      <c r="C583" s="35">
        <f>'Scan to Sheets'!C583</f>
        <v>0</v>
      </c>
      <c r="D583" s="35">
        <f>'Scan to Sheets'!D583</f>
        <v>0</v>
      </c>
      <c r="E583" s="36" t="str">
        <f>IFERROR(VLOOKUP(C583,#REF!, 2, FALSE), "NO ENCONTRADO")</f>
        <v>NO ENCONTRADO</v>
      </c>
      <c r="F583" s="36" t="str">
        <f>IFERROR(VLOOKUP(C583,#REF!, 3, FALSE), "NO ENCONTRADO")</f>
        <v>NO ENCONTRADO</v>
      </c>
      <c r="G583" s="36" t="str">
        <f>IFERROR(VLOOKUP(C583,#REF!, 4, FALSE), "NO ENCONTRADO")</f>
        <v>NO ENCONTRADO</v>
      </c>
      <c r="H583" s="36" t="str">
        <f>IFERROR(VLOOKUP(C583,#REF!, 5, FALSE), "NO ENCONTRADO")</f>
        <v>NO ENCONTRADO</v>
      </c>
      <c r="I583" s="15"/>
      <c r="J583" s="36"/>
      <c r="K583" s="42"/>
      <c r="L583" s="15"/>
      <c r="M583" s="39">
        <f t="shared" ca="1" si="0"/>
        <v>46026</v>
      </c>
      <c r="N583" s="40" t="str">
        <f t="shared" ca="1" si="1"/>
        <v>✅</v>
      </c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spans="1:28" ht="13" x14ac:dyDescent="0.15">
      <c r="A584" s="24">
        <f>'Scan to Sheets'!A584</f>
        <v>0</v>
      </c>
      <c r="B584" s="26">
        <f>'Scan to Sheets'!B584</f>
        <v>0</v>
      </c>
      <c r="C584" s="26">
        <f>'Scan to Sheets'!C584</f>
        <v>0</v>
      </c>
      <c r="D584" s="26">
        <f>'Scan to Sheets'!D584</f>
        <v>0</v>
      </c>
      <c r="E584" s="27" t="str">
        <f>IFERROR(VLOOKUP(C584,#REF!, 2, FALSE), "NO ENCONTRADO")</f>
        <v>NO ENCONTRADO</v>
      </c>
      <c r="F584" s="27" t="str">
        <f>IFERROR(VLOOKUP(C584,#REF!, 3, FALSE), "NO ENCONTRADO")</f>
        <v>NO ENCONTRADO</v>
      </c>
      <c r="G584" s="27" t="str">
        <f>IFERROR(VLOOKUP(C584,#REF!, 4, FALSE), "NO ENCONTRADO")</f>
        <v>NO ENCONTRADO</v>
      </c>
      <c r="H584" s="27" t="str">
        <f>IFERROR(VLOOKUP(C584,#REF!, 5, FALSE), "NO ENCONTRADO")</f>
        <v>NO ENCONTRADO</v>
      </c>
      <c r="I584" s="14"/>
      <c r="J584" s="27"/>
      <c r="K584" s="41"/>
      <c r="L584" s="14"/>
      <c r="M584" s="30">
        <f t="shared" ca="1" si="0"/>
        <v>46026</v>
      </c>
      <c r="N584" s="31" t="str">
        <f t="shared" ca="1" si="1"/>
        <v>✅</v>
      </c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spans="1:28" ht="13" x14ac:dyDescent="0.15">
      <c r="A585" s="33">
        <f>'Scan to Sheets'!A585</f>
        <v>0</v>
      </c>
      <c r="B585" s="35">
        <f>'Scan to Sheets'!B585</f>
        <v>0</v>
      </c>
      <c r="C585" s="35">
        <f>'Scan to Sheets'!C585</f>
        <v>0</v>
      </c>
      <c r="D585" s="35">
        <f>'Scan to Sheets'!D585</f>
        <v>0</v>
      </c>
      <c r="E585" s="36" t="str">
        <f>IFERROR(VLOOKUP(C585,#REF!, 2, FALSE), "NO ENCONTRADO")</f>
        <v>NO ENCONTRADO</v>
      </c>
      <c r="F585" s="36" t="str">
        <f>IFERROR(VLOOKUP(C585,#REF!, 3, FALSE), "NO ENCONTRADO")</f>
        <v>NO ENCONTRADO</v>
      </c>
      <c r="G585" s="36" t="str">
        <f>IFERROR(VLOOKUP(C585,#REF!, 4, FALSE), "NO ENCONTRADO")</f>
        <v>NO ENCONTRADO</v>
      </c>
      <c r="H585" s="36" t="str">
        <f>IFERROR(VLOOKUP(C585,#REF!, 5, FALSE), "NO ENCONTRADO")</f>
        <v>NO ENCONTRADO</v>
      </c>
      <c r="I585" s="15"/>
      <c r="J585" s="36"/>
      <c r="K585" s="42"/>
      <c r="L585" s="15"/>
      <c r="M585" s="39">
        <f t="shared" ca="1" si="0"/>
        <v>46026</v>
      </c>
      <c r="N585" s="40" t="str">
        <f t="shared" ca="1" si="1"/>
        <v>✅</v>
      </c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spans="1:28" ht="13" x14ac:dyDescent="0.15">
      <c r="A586" s="24">
        <f>'Scan to Sheets'!A586</f>
        <v>0</v>
      </c>
      <c r="B586" s="26">
        <f>'Scan to Sheets'!B586</f>
        <v>0</v>
      </c>
      <c r="C586" s="26">
        <f>'Scan to Sheets'!C586</f>
        <v>0</v>
      </c>
      <c r="D586" s="26">
        <f>'Scan to Sheets'!D586</f>
        <v>0</v>
      </c>
      <c r="E586" s="27" t="str">
        <f>IFERROR(VLOOKUP(C586,#REF!, 2, FALSE), "NO ENCONTRADO")</f>
        <v>NO ENCONTRADO</v>
      </c>
      <c r="F586" s="27" t="str">
        <f>IFERROR(VLOOKUP(C586,#REF!, 3, FALSE), "NO ENCONTRADO")</f>
        <v>NO ENCONTRADO</v>
      </c>
      <c r="G586" s="27" t="str">
        <f>IFERROR(VLOOKUP(C586,#REF!, 4, FALSE), "NO ENCONTRADO")</f>
        <v>NO ENCONTRADO</v>
      </c>
      <c r="H586" s="27" t="str">
        <f>IFERROR(VLOOKUP(C586,#REF!, 5, FALSE), "NO ENCONTRADO")</f>
        <v>NO ENCONTRADO</v>
      </c>
      <c r="I586" s="14"/>
      <c r="J586" s="27"/>
      <c r="K586" s="41"/>
      <c r="L586" s="14"/>
      <c r="M586" s="30">
        <f t="shared" ca="1" si="0"/>
        <v>46026</v>
      </c>
      <c r="N586" s="31" t="str">
        <f t="shared" ca="1" si="1"/>
        <v>✅</v>
      </c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spans="1:28" ht="13" x14ac:dyDescent="0.15">
      <c r="A587" s="33">
        <f>'Scan to Sheets'!A587</f>
        <v>0</v>
      </c>
      <c r="B587" s="35">
        <f>'Scan to Sheets'!B587</f>
        <v>0</v>
      </c>
      <c r="C587" s="35">
        <f>'Scan to Sheets'!C587</f>
        <v>0</v>
      </c>
      <c r="D587" s="35">
        <f>'Scan to Sheets'!D587</f>
        <v>0</v>
      </c>
      <c r="E587" s="36" t="str">
        <f>IFERROR(VLOOKUP(C587,#REF!, 2, FALSE), "NO ENCONTRADO")</f>
        <v>NO ENCONTRADO</v>
      </c>
      <c r="F587" s="36" t="str">
        <f>IFERROR(VLOOKUP(C587,#REF!, 3, FALSE), "NO ENCONTRADO")</f>
        <v>NO ENCONTRADO</v>
      </c>
      <c r="G587" s="36" t="str">
        <f>IFERROR(VLOOKUP(C587,#REF!, 4, FALSE), "NO ENCONTRADO")</f>
        <v>NO ENCONTRADO</v>
      </c>
      <c r="H587" s="36" t="str">
        <f>IFERROR(VLOOKUP(C587,#REF!, 5, FALSE), "NO ENCONTRADO")</f>
        <v>NO ENCONTRADO</v>
      </c>
      <c r="I587" s="15"/>
      <c r="J587" s="36"/>
      <c r="K587" s="42"/>
      <c r="L587" s="15"/>
      <c r="M587" s="39">
        <f t="shared" ca="1" si="0"/>
        <v>46026</v>
      </c>
      <c r="N587" s="40" t="str">
        <f t="shared" ca="1" si="1"/>
        <v>✅</v>
      </c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spans="1:28" ht="13" x14ac:dyDescent="0.15">
      <c r="A588" s="24">
        <f>'Scan to Sheets'!A588</f>
        <v>0</v>
      </c>
      <c r="B588" s="26">
        <f>'Scan to Sheets'!B588</f>
        <v>0</v>
      </c>
      <c r="C588" s="26">
        <f>'Scan to Sheets'!C588</f>
        <v>0</v>
      </c>
      <c r="D588" s="26">
        <f>'Scan to Sheets'!D588</f>
        <v>0</v>
      </c>
      <c r="E588" s="27" t="str">
        <f>IFERROR(VLOOKUP(C588,#REF!, 2, FALSE), "NO ENCONTRADO")</f>
        <v>NO ENCONTRADO</v>
      </c>
      <c r="F588" s="27" t="str">
        <f>IFERROR(VLOOKUP(C588,#REF!, 3, FALSE), "NO ENCONTRADO")</f>
        <v>NO ENCONTRADO</v>
      </c>
      <c r="G588" s="27" t="str">
        <f>IFERROR(VLOOKUP(C588,#REF!, 4, FALSE), "NO ENCONTRADO")</f>
        <v>NO ENCONTRADO</v>
      </c>
      <c r="H588" s="27" t="str">
        <f>IFERROR(VLOOKUP(C588,#REF!, 5, FALSE), "NO ENCONTRADO")</f>
        <v>NO ENCONTRADO</v>
      </c>
      <c r="I588" s="14"/>
      <c r="J588" s="27"/>
      <c r="K588" s="41"/>
      <c r="L588" s="14"/>
      <c r="M588" s="30">
        <f t="shared" ca="1" si="0"/>
        <v>46026</v>
      </c>
      <c r="N588" s="31" t="str">
        <f t="shared" ca="1" si="1"/>
        <v>✅</v>
      </c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spans="1:28" ht="13" x14ac:dyDescent="0.15">
      <c r="A589" s="33">
        <f>'Scan to Sheets'!A589</f>
        <v>0</v>
      </c>
      <c r="B589" s="35">
        <f>'Scan to Sheets'!B589</f>
        <v>0</v>
      </c>
      <c r="C589" s="35">
        <f>'Scan to Sheets'!C589</f>
        <v>0</v>
      </c>
      <c r="D589" s="35">
        <f>'Scan to Sheets'!D589</f>
        <v>0</v>
      </c>
      <c r="E589" s="36" t="str">
        <f>IFERROR(VLOOKUP(C589,#REF!, 2, FALSE), "NO ENCONTRADO")</f>
        <v>NO ENCONTRADO</v>
      </c>
      <c r="F589" s="36" t="str">
        <f>IFERROR(VLOOKUP(C589,#REF!, 3, FALSE), "NO ENCONTRADO")</f>
        <v>NO ENCONTRADO</v>
      </c>
      <c r="G589" s="36" t="str">
        <f>IFERROR(VLOOKUP(C589,#REF!, 4, FALSE), "NO ENCONTRADO")</f>
        <v>NO ENCONTRADO</v>
      </c>
      <c r="H589" s="36" t="str">
        <f>IFERROR(VLOOKUP(C589,#REF!, 5, FALSE), "NO ENCONTRADO")</f>
        <v>NO ENCONTRADO</v>
      </c>
      <c r="I589" s="15"/>
      <c r="J589" s="36"/>
      <c r="K589" s="42"/>
      <c r="L589" s="15"/>
      <c r="M589" s="39">
        <f t="shared" ca="1" si="0"/>
        <v>46026</v>
      </c>
      <c r="N589" s="40" t="str">
        <f t="shared" ca="1" si="1"/>
        <v>✅</v>
      </c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spans="1:28" ht="13" x14ac:dyDescent="0.15">
      <c r="A590" s="24">
        <f>'Scan to Sheets'!A590</f>
        <v>0</v>
      </c>
      <c r="B590" s="26">
        <f>'Scan to Sheets'!B590</f>
        <v>0</v>
      </c>
      <c r="C590" s="26">
        <f>'Scan to Sheets'!C590</f>
        <v>0</v>
      </c>
      <c r="D590" s="26">
        <f>'Scan to Sheets'!D590</f>
        <v>0</v>
      </c>
      <c r="E590" s="27" t="str">
        <f>IFERROR(VLOOKUP(C590,#REF!, 2, FALSE), "NO ENCONTRADO")</f>
        <v>NO ENCONTRADO</v>
      </c>
      <c r="F590" s="27" t="str">
        <f>IFERROR(VLOOKUP(C590,#REF!, 3, FALSE), "NO ENCONTRADO")</f>
        <v>NO ENCONTRADO</v>
      </c>
      <c r="G590" s="27" t="str">
        <f>IFERROR(VLOOKUP(C590,#REF!, 4, FALSE), "NO ENCONTRADO")</f>
        <v>NO ENCONTRADO</v>
      </c>
      <c r="H590" s="27" t="str">
        <f>IFERROR(VLOOKUP(C590,#REF!, 5, FALSE), "NO ENCONTRADO")</f>
        <v>NO ENCONTRADO</v>
      </c>
      <c r="I590" s="14"/>
      <c r="J590" s="27"/>
      <c r="K590" s="41"/>
      <c r="L590" s="14"/>
      <c r="M590" s="30">
        <f t="shared" ca="1" si="0"/>
        <v>46026</v>
      </c>
      <c r="N590" s="31" t="str">
        <f t="shared" ca="1" si="1"/>
        <v>✅</v>
      </c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spans="1:28" ht="13" x14ac:dyDescent="0.15">
      <c r="A591" s="33">
        <f>'Scan to Sheets'!A591</f>
        <v>0</v>
      </c>
      <c r="B591" s="35">
        <f>'Scan to Sheets'!B591</f>
        <v>0</v>
      </c>
      <c r="C591" s="35">
        <f>'Scan to Sheets'!C591</f>
        <v>0</v>
      </c>
      <c r="D591" s="35">
        <f>'Scan to Sheets'!D591</f>
        <v>0</v>
      </c>
      <c r="E591" s="36" t="str">
        <f>IFERROR(VLOOKUP(C591,#REF!, 2, FALSE), "NO ENCONTRADO")</f>
        <v>NO ENCONTRADO</v>
      </c>
      <c r="F591" s="36" t="str">
        <f>IFERROR(VLOOKUP(C591,#REF!, 3, FALSE), "NO ENCONTRADO")</f>
        <v>NO ENCONTRADO</v>
      </c>
      <c r="G591" s="36" t="str">
        <f>IFERROR(VLOOKUP(C591,#REF!, 4, FALSE), "NO ENCONTRADO")</f>
        <v>NO ENCONTRADO</v>
      </c>
      <c r="H591" s="36" t="str">
        <f>IFERROR(VLOOKUP(C591,#REF!, 5, FALSE), "NO ENCONTRADO")</f>
        <v>NO ENCONTRADO</v>
      </c>
      <c r="I591" s="15"/>
      <c r="J591" s="36"/>
      <c r="K591" s="42"/>
      <c r="L591" s="15"/>
      <c r="M591" s="39">
        <f t="shared" ca="1" si="0"/>
        <v>46026</v>
      </c>
      <c r="N591" s="40" t="str">
        <f t="shared" ca="1" si="1"/>
        <v>✅</v>
      </c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spans="1:28" ht="13" x14ac:dyDescent="0.15">
      <c r="A592" s="24">
        <f>'Scan to Sheets'!A592</f>
        <v>0</v>
      </c>
      <c r="B592" s="26">
        <f>'Scan to Sheets'!B592</f>
        <v>0</v>
      </c>
      <c r="C592" s="26">
        <f>'Scan to Sheets'!C592</f>
        <v>0</v>
      </c>
      <c r="D592" s="26">
        <f>'Scan to Sheets'!D592</f>
        <v>0</v>
      </c>
      <c r="E592" s="27" t="str">
        <f>IFERROR(VLOOKUP(C592,#REF!, 2, FALSE), "NO ENCONTRADO")</f>
        <v>NO ENCONTRADO</v>
      </c>
      <c r="F592" s="27" t="str">
        <f>IFERROR(VLOOKUP(C592,#REF!, 3, FALSE), "NO ENCONTRADO")</f>
        <v>NO ENCONTRADO</v>
      </c>
      <c r="G592" s="27" t="str">
        <f>IFERROR(VLOOKUP(C592,#REF!, 4, FALSE), "NO ENCONTRADO")</f>
        <v>NO ENCONTRADO</v>
      </c>
      <c r="H592" s="27" t="str">
        <f>IFERROR(VLOOKUP(C592,#REF!, 5, FALSE), "NO ENCONTRADO")</f>
        <v>NO ENCONTRADO</v>
      </c>
      <c r="I592" s="14"/>
      <c r="J592" s="27"/>
      <c r="K592" s="41"/>
      <c r="L592" s="14"/>
      <c r="M592" s="30">
        <f t="shared" ca="1" si="0"/>
        <v>46026</v>
      </c>
      <c r="N592" s="31" t="str">
        <f t="shared" ca="1" si="1"/>
        <v>✅</v>
      </c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 spans="1:28" ht="13" x14ac:dyDescent="0.15">
      <c r="A593" s="33">
        <f>'Scan to Sheets'!A593</f>
        <v>0</v>
      </c>
      <c r="B593" s="35">
        <f>'Scan to Sheets'!B593</f>
        <v>0</v>
      </c>
      <c r="C593" s="35">
        <f>'Scan to Sheets'!C593</f>
        <v>0</v>
      </c>
      <c r="D593" s="35">
        <f>'Scan to Sheets'!D593</f>
        <v>0</v>
      </c>
      <c r="E593" s="36" t="str">
        <f>IFERROR(VLOOKUP(C593,#REF!, 2, FALSE), "NO ENCONTRADO")</f>
        <v>NO ENCONTRADO</v>
      </c>
      <c r="F593" s="36" t="str">
        <f>IFERROR(VLOOKUP(C593,#REF!, 3, FALSE), "NO ENCONTRADO")</f>
        <v>NO ENCONTRADO</v>
      </c>
      <c r="G593" s="36" t="str">
        <f>IFERROR(VLOOKUP(C593,#REF!, 4, FALSE), "NO ENCONTRADO")</f>
        <v>NO ENCONTRADO</v>
      </c>
      <c r="H593" s="36" t="str">
        <f>IFERROR(VLOOKUP(C593,#REF!, 5, FALSE), "NO ENCONTRADO")</f>
        <v>NO ENCONTRADO</v>
      </c>
      <c r="I593" s="15"/>
      <c r="J593" s="36"/>
      <c r="K593" s="42"/>
      <c r="L593" s="15"/>
      <c r="M593" s="39">
        <f t="shared" ca="1" si="0"/>
        <v>46026</v>
      </c>
      <c r="N593" s="40" t="str">
        <f t="shared" ca="1" si="1"/>
        <v>✅</v>
      </c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 spans="1:28" ht="13" x14ac:dyDescent="0.15">
      <c r="A594" s="24">
        <f>'Scan to Sheets'!A594</f>
        <v>0</v>
      </c>
      <c r="B594" s="26">
        <f>'Scan to Sheets'!B594</f>
        <v>0</v>
      </c>
      <c r="C594" s="26">
        <f>'Scan to Sheets'!C594</f>
        <v>0</v>
      </c>
      <c r="D594" s="26">
        <f>'Scan to Sheets'!D594</f>
        <v>0</v>
      </c>
      <c r="E594" s="27" t="str">
        <f>IFERROR(VLOOKUP(C594,#REF!, 2, FALSE), "NO ENCONTRADO")</f>
        <v>NO ENCONTRADO</v>
      </c>
      <c r="F594" s="27" t="str">
        <f>IFERROR(VLOOKUP(C594,#REF!, 3, FALSE), "NO ENCONTRADO")</f>
        <v>NO ENCONTRADO</v>
      </c>
      <c r="G594" s="27" t="str">
        <f>IFERROR(VLOOKUP(C594,#REF!, 4, FALSE), "NO ENCONTRADO")</f>
        <v>NO ENCONTRADO</v>
      </c>
      <c r="H594" s="27" t="str">
        <f>IFERROR(VLOOKUP(C594,#REF!, 5, FALSE), "NO ENCONTRADO")</f>
        <v>NO ENCONTRADO</v>
      </c>
      <c r="I594" s="14"/>
      <c r="J594" s="27"/>
      <c r="K594" s="41"/>
      <c r="L594" s="14"/>
      <c r="M594" s="30">
        <f t="shared" ca="1" si="0"/>
        <v>46026</v>
      </c>
      <c r="N594" s="31" t="str">
        <f t="shared" ca="1" si="1"/>
        <v>✅</v>
      </c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 spans="1:28" ht="13" x14ac:dyDescent="0.15">
      <c r="A595" s="33">
        <f>'Scan to Sheets'!A595</f>
        <v>0</v>
      </c>
      <c r="B595" s="35">
        <f>'Scan to Sheets'!B595</f>
        <v>0</v>
      </c>
      <c r="C595" s="35">
        <f>'Scan to Sheets'!C595</f>
        <v>0</v>
      </c>
      <c r="D595" s="35">
        <f>'Scan to Sheets'!D595</f>
        <v>0</v>
      </c>
      <c r="E595" s="36" t="str">
        <f>IFERROR(VLOOKUP(C595,#REF!, 2, FALSE), "NO ENCONTRADO")</f>
        <v>NO ENCONTRADO</v>
      </c>
      <c r="F595" s="36" t="str">
        <f>IFERROR(VLOOKUP(C595,#REF!, 3, FALSE), "NO ENCONTRADO")</f>
        <v>NO ENCONTRADO</v>
      </c>
      <c r="G595" s="36" t="str">
        <f>IFERROR(VLOOKUP(C595,#REF!, 4, FALSE), "NO ENCONTRADO")</f>
        <v>NO ENCONTRADO</v>
      </c>
      <c r="H595" s="36" t="str">
        <f>IFERROR(VLOOKUP(C595,#REF!, 5, FALSE), "NO ENCONTRADO")</f>
        <v>NO ENCONTRADO</v>
      </c>
      <c r="I595" s="15"/>
      <c r="J595" s="36"/>
      <c r="K595" s="42"/>
      <c r="L595" s="15"/>
      <c r="M595" s="39">
        <f t="shared" ca="1" si="0"/>
        <v>46026</v>
      </c>
      <c r="N595" s="40" t="str">
        <f t="shared" ca="1" si="1"/>
        <v>✅</v>
      </c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 spans="1:28" ht="13" x14ac:dyDescent="0.15">
      <c r="A596" s="24">
        <f>'Scan to Sheets'!A596</f>
        <v>0</v>
      </c>
      <c r="B596" s="26">
        <f>'Scan to Sheets'!B596</f>
        <v>0</v>
      </c>
      <c r="C596" s="26">
        <f>'Scan to Sheets'!C596</f>
        <v>0</v>
      </c>
      <c r="D596" s="26">
        <f>'Scan to Sheets'!D596</f>
        <v>0</v>
      </c>
      <c r="E596" s="27" t="str">
        <f>IFERROR(VLOOKUP(C596,#REF!, 2, FALSE), "NO ENCONTRADO")</f>
        <v>NO ENCONTRADO</v>
      </c>
      <c r="F596" s="27" t="str">
        <f>IFERROR(VLOOKUP(C596,#REF!, 3, FALSE), "NO ENCONTRADO")</f>
        <v>NO ENCONTRADO</v>
      </c>
      <c r="G596" s="27" t="str">
        <f>IFERROR(VLOOKUP(C596,#REF!, 4, FALSE), "NO ENCONTRADO")</f>
        <v>NO ENCONTRADO</v>
      </c>
      <c r="H596" s="27" t="str">
        <f>IFERROR(VLOOKUP(C596,#REF!, 5, FALSE), "NO ENCONTRADO")</f>
        <v>NO ENCONTRADO</v>
      </c>
      <c r="I596" s="14"/>
      <c r="J596" s="27"/>
      <c r="K596" s="41"/>
      <c r="L596" s="14"/>
      <c r="M596" s="30">
        <f t="shared" ca="1" si="0"/>
        <v>46026</v>
      </c>
      <c r="N596" s="31" t="str">
        <f t="shared" ca="1" si="1"/>
        <v>✅</v>
      </c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 spans="1:28" ht="13" x14ac:dyDescent="0.15">
      <c r="A597" s="33">
        <f>'Scan to Sheets'!A597</f>
        <v>0</v>
      </c>
      <c r="B597" s="35">
        <f>'Scan to Sheets'!B597</f>
        <v>0</v>
      </c>
      <c r="C597" s="35">
        <f>'Scan to Sheets'!C597</f>
        <v>0</v>
      </c>
      <c r="D597" s="35">
        <f>'Scan to Sheets'!D597</f>
        <v>0</v>
      </c>
      <c r="E597" s="36" t="str">
        <f>IFERROR(VLOOKUP(C597,#REF!, 2, FALSE), "NO ENCONTRADO")</f>
        <v>NO ENCONTRADO</v>
      </c>
      <c r="F597" s="36" t="str">
        <f>IFERROR(VLOOKUP(C597,#REF!, 3, FALSE), "NO ENCONTRADO")</f>
        <v>NO ENCONTRADO</v>
      </c>
      <c r="G597" s="36" t="str">
        <f>IFERROR(VLOOKUP(C597,#REF!, 4, FALSE), "NO ENCONTRADO")</f>
        <v>NO ENCONTRADO</v>
      </c>
      <c r="H597" s="36" t="str">
        <f>IFERROR(VLOOKUP(C597,#REF!, 5, FALSE), "NO ENCONTRADO")</f>
        <v>NO ENCONTRADO</v>
      </c>
      <c r="I597" s="15"/>
      <c r="J597" s="36"/>
      <c r="K597" s="42"/>
      <c r="L597" s="15"/>
      <c r="M597" s="39">
        <f t="shared" ca="1" si="0"/>
        <v>46026</v>
      </c>
      <c r="N597" s="40" t="str">
        <f t="shared" ca="1" si="1"/>
        <v>✅</v>
      </c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 spans="1:28" ht="13" x14ac:dyDescent="0.15">
      <c r="A598" s="24">
        <f>'Scan to Sheets'!A598</f>
        <v>0</v>
      </c>
      <c r="B598" s="26">
        <f>'Scan to Sheets'!B598</f>
        <v>0</v>
      </c>
      <c r="C598" s="26">
        <f>'Scan to Sheets'!C598</f>
        <v>0</v>
      </c>
      <c r="D598" s="26">
        <f>'Scan to Sheets'!D598</f>
        <v>0</v>
      </c>
      <c r="E598" s="27" t="str">
        <f>IFERROR(VLOOKUP(C598,#REF!, 2, FALSE), "NO ENCONTRADO")</f>
        <v>NO ENCONTRADO</v>
      </c>
      <c r="F598" s="27" t="str">
        <f>IFERROR(VLOOKUP(C598,#REF!, 3, FALSE), "NO ENCONTRADO")</f>
        <v>NO ENCONTRADO</v>
      </c>
      <c r="G598" s="27" t="str">
        <f>IFERROR(VLOOKUP(C598,#REF!, 4, FALSE), "NO ENCONTRADO")</f>
        <v>NO ENCONTRADO</v>
      </c>
      <c r="H598" s="27" t="str">
        <f>IFERROR(VLOOKUP(C598,#REF!, 5, FALSE), "NO ENCONTRADO")</f>
        <v>NO ENCONTRADO</v>
      </c>
      <c r="I598" s="14"/>
      <c r="J598" s="27"/>
      <c r="K598" s="41"/>
      <c r="L598" s="14"/>
      <c r="M598" s="30">
        <f t="shared" ca="1" si="0"/>
        <v>46026</v>
      </c>
      <c r="N598" s="31" t="str">
        <f t="shared" ca="1" si="1"/>
        <v>✅</v>
      </c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 spans="1:28" ht="13" x14ac:dyDescent="0.15">
      <c r="A599" s="33">
        <f>'Scan to Sheets'!A599</f>
        <v>0</v>
      </c>
      <c r="B599" s="35">
        <f>'Scan to Sheets'!B599</f>
        <v>0</v>
      </c>
      <c r="C599" s="35">
        <f>'Scan to Sheets'!C599</f>
        <v>0</v>
      </c>
      <c r="D599" s="35">
        <f>'Scan to Sheets'!D599</f>
        <v>0</v>
      </c>
      <c r="E599" s="36" t="str">
        <f>IFERROR(VLOOKUP(C599,#REF!, 2, FALSE), "NO ENCONTRADO")</f>
        <v>NO ENCONTRADO</v>
      </c>
      <c r="F599" s="36" t="str">
        <f>IFERROR(VLOOKUP(C599,#REF!, 3, FALSE), "NO ENCONTRADO")</f>
        <v>NO ENCONTRADO</v>
      </c>
      <c r="G599" s="36" t="str">
        <f>IFERROR(VLOOKUP(C599,#REF!, 4, FALSE), "NO ENCONTRADO")</f>
        <v>NO ENCONTRADO</v>
      </c>
      <c r="H599" s="36" t="str">
        <f>IFERROR(VLOOKUP(C599,#REF!, 5, FALSE), "NO ENCONTRADO")</f>
        <v>NO ENCONTRADO</v>
      </c>
      <c r="I599" s="15"/>
      <c r="J599" s="36"/>
      <c r="K599" s="42"/>
      <c r="L599" s="15"/>
      <c r="M599" s="39">
        <f t="shared" ca="1" si="0"/>
        <v>46026</v>
      </c>
      <c r="N599" s="40" t="str">
        <f t="shared" ca="1" si="1"/>
        <v>✅</v>
      </c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 spans="1:28" ht="13" x14ac:dyDescent="0.15">
      <c r="A600" s="24">
        <f>'Scan to Sheets'!A600</f>
        <v>0</v>
      </c>
      <c r="B600" s="26">
        <f>'Scan to Sheets'!B600</f>
        <v>0</v>
      </c>
      <c r="C600" s="26">
        <f>'Scan to Sheets'!C600</f>
        <v>0</v>
      </c>
      <c r="D600" s="26">
        <f>'Scan to Sheets'!D600</f>
        <v>0</v>
      </c>
      <c r="E600" s="27" t="str">
        <f>IFERROR(VLOOKUP(C600,#REF!, 2, FALSE), "NO ENCONTRADO")</f>
        <v>NO ENCONTRADO</v>
      </c>
      <c r="F600" s="27" t="str">
        <f>IFERROR(VLOOKUP(C600,#REF!, 3, FALSE), "NO ENCONTRADO")</f>
        <v>NO ENCONTRADO</v>
      </c>
      <c r="G600" s="27" t="str">
        <f>IFERROR(VLOOKUP(C600,#REF!, 4, FALSE), "NO ENCONTRADO")</f>
        <v>NO ENCONTRADO</v>
      </c>
      <c r="H600" s="27" t="str">
        <f>IFERROR(VLOOKUP(C600,#REF!, 5, FALSE), "NO ENCONTRADO")</f>
        <v>NO ENCONTRADO</v>
      </c>
      <c r="I600" s="14"/>
      <c r="J600" s="27"/>
      <c r="K600" s="41"/>
      <c r="L600" s="14"/>
      <c r="M600" s="30">
        <f t="shared" ca="1" si="0"/>
        <v>46026</v>
      </c>
      <c r="N600" s="31" t="str">
        <f t="shared" ca="1" si="1"/>
        <v>✅</v>
      </c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 spans="1:28" ht="13" x14ac:dyDescent="0.15">
      <c r="A601" s="33">
        <f>'Scan to Sheets'!A601</f>
        <v>0</v>
      </c>
      <c r="B601" s="35">
        <f>'Scan to Sheets'!B601</f>
        <v>0</v>
      </c>
      <c r="C601" s="35">
        <f>'Scan to Sheets'!C601</f>
        <v>0</v>
      </c>
      <c r="D601" s="35">
        <f>'Scan to Sheets'!D601</f>
        <v>0</v>
      </c>
      <c r="E601" s="36" t="str">
        <f>IFERROR(VLOOKUP(C601,#REF!, 2, FALSE), "NO ENCONTRADO")</f>
        <v>NO ENCONTRADO</v>
      </c>
      <c r="F601" s="36" t="str">
        <f>IFERROR(VLOOKUP(C601,#REF!, 3, FALSE), "NO ENCONTRADO")</f>
        <v>NO ENCONTRADO</v>
      </c>
      <c r="G601" s="36" t="str">
        <f>IFERROR(VLOOKUP(C601,#REF!, 4, FALSE), "NO ENCONTRADO")</f>
        <v>NO ENCONTRADO</v>
      </c>
      <c r="H601" s="36" t="str">
        <f>IFERROR(VLOOKUP(C601,#REF!, 5, FALSE), "NO ENCONTRADO")</f>
        <v>NO ENCONTRADO</v>
      </c>
      <c r="I601" s="15"/>
      <c r="J601" s="36"/>
      <c r="K601" s="42"/>
      <c r="L601" s="15"/>
      <c r="M601" s="39">
        <f t="shared" ca="1" si="0"/>
        <v>46026</v>
      </c>
      <c r="N601" s="40" t="str">
        <f t="shared" ca="1" si="1"/>
        <v>✅</v>
      </c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 spans="1:28" ht="13" x14ac:dyDescent="0.15">
      <c r="A602" s="24">
        <f>'Scan to Sheets'!A602</f>
        <v>0</v>
      </c>
      <c r="B602" s="26">
        <f>'Scan to Sheets'!B602</f>
        <v>0</v>
      </c>
      <c r="C602" s="26">
        <f>'Scan to Sheets'!C602</f>
        <v>0</v>
      </c>
      <c r="D602" s="26">
        <f>'Scan to Sheets'!D602</f>
        <v>0</v>
      </c>
      <c r="E602" s="27" t="str">
        <f>IFERROR(VLOOKUP(C602,#REF!, 2, FALSE), "NO ENCONTRADO")</f>
        <v>NO ENCONTRADO</v>
      </c>
      <c r="F602" s="27" t="str">
        <f>IFERROR(VLOOKUP(C602,#REF!, 3, FALSE), "NO ENCONTRADO")</f>
        <v>NO ENCONTRADO</v>
      </c>
      <c r="G602" s="27" t="str">
        <f>IFERROR(VLOOKUP(C602,#REF!, 4, FALSE), "NO ENCONTRADO")</f>
        <v>NO ENCONTRADO</v>
      </c>
      <c r="H602" s="27" t="str">
        <f>IFERROR(VLOOKUP(C602,#REF!, 5, FALSE), "NO ENCONTRADO")</f>
        <v>NO ENCONTRADO</v>
      </c>
      <c r="I602" s="14"/>
      <c r="J602" s="27"/>
      <c r="K602" s="41"/>
      <c r="L602" s="14"/>
      <c r="M602" s="30">
        <f t="shared" ca="1" si="0"/>
        <v>46026</v>
      </c>
      <c r="N602" s="31" t="str">
        <f t="shared" ca="1" si="1"/>
        <v>✅</v>
      </c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 spans="1:28" ht="13" x14ac:dyDescent="0.15">
      <c r="A603" s="33">
        <f>'Scan to Sheets'!A603</f>
        <v>0</v>
      </c>
      <c r="B603" s="35">
        <f>'Scan to Sheets'!B603</f>
        <v>0</v>
      </c>
      <c r="C603" s="35">
        <f>'Scan to Sheets'!C603</f>
        <v>0</v>
      </c>
      <c r="D603" s="35">
        <f>'Scan to Sheets'!D603</f>
        <v>0</v>
      </c>
      <c r="E603" s="36" t="str">
        <f>IFERROR(VLOOKUP(C603,#REF!, 2, FALSE), "NO ENCONTRADO")</f>
        <v>NO ENCONTRADO</v>
      </c>
      <c r="F603" s="36" t="str">
        <f>IFERROR(VLOOKUP(C603,#REF!, 3, FALSE), "NO ENCONTRADO")</f>
        <v>NO ENCONTRADO</v>
      </c>
      <c r="G603" s="36" t="str">
        <f>IFERROR(VLOOKUP(C603,#REF!, 4, FALSE), "NO ENCONTRADO")</f>
        <v>NO ENCONTRADO</v>
      </c>
      <c r="H603" s="36" t="str">
        <f>IFERROR(VLOOKUP(C603,#REF!, 5, FALSE), "NO ENCONTRADO")</f>
        <v>NO ENCONTRADO</v>
      </c>
      <c r="I603" s="15"/>
      <c r="J603" s="36"/>
      <c r="K603" s="42"/>
      <c r="L603" s="15"/>
      <c r="M603" s="39">
        <f t="shared" ca="1" si="0"/>
        <v>46026</v>
      </c>
      <c r="N603" s="40" t="str">
        <f t="shared" ca="1" si="1"/>
        <v>✅</v>
      </c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spans="1:28" ht="13" x14ac:dyDescent="0.15">
      <c r="A604" s="24">
        <f>'Scan to Sheets'!A604</f>
        <v>0</v>
      </c>
      <c r="B604" s="26">
        <f>'Scan to Sheets'!B604</f>
        <v>0</v>
      </c>
      <c r="C604" s="26">
        <f>'Scan to Sheets'!C604</f>
        <v>0</v>
      </c>
      <c r="D604" s="26">
        <f>'Scan to Sheets'!D604</f>
        <v>0</v>
      </c>
      <c r="E604" s="27" t="str">
        <f>IFERROR(VLOOKUP(C604,#REF!, 2, FALSE), "NO ENCONTRADO")</f>
        <v>NO ENCONTRADO</v>
      </c>
      <c r="F604" s="27" t="str">
        <f>IFERROR(VLOOKUP(C604,#REF!, 3, FALSE), "NO ENCONTRADO")</f>
        <v>NO ENCONTRADO</v>
      </c>
      <c r="G604" s="27" t="str">
        <f>IFERROR(VLOOKUP(C604,#REF!, 4, FALSE), "NO ENCONTRADO")</f>
        <v>NO ENCONTRADO</v>
      </c>
      <c r="H604" s="27" t="str">
        <f>IFERROR(VLOOKUP(C604,#REF!, 5, FALSE), "NO ENCONTRADO")</f>
        <v>NO ENCONTRADO</v>
      </c>
      <c r="I604" s="14"/>
      <c r="J604" s="27"/>
      <c r="K604" s="41"/>
      <c r="L604" s="14"/>
      <c r="M604" s="30">
        <f t="shared" ca="1" si="0"/>
        <v>46026</v>
      </c>
      <c r="N604" s="31" t="str">
        <f t="shared" ca="1" si="1"/>
        <v>✅</v>
      </c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spans="1:28" ht="13" x14ac:dyDescent="0.15">
      <c r="A605" s="33">
        <f>'Scan to Sheets'!A605</f>
        <v>0</v>
      </c>
      <c r="B605" s="35">
        <f>'Scan to Sheets'!B605</f>
        <v>0</v>
      </c>
      <c r="C605" s="35">
        <f>'Scan to Sheets'!C605</f>
        <v>0</v>
      </c>
      <c r="D605" s="35">
        <f>'Scan to Sheets'!D605</f>
        <v>0</v>
      </c>
      <c r="E605" s="36" t="str">
        <f>IFERROR(VLOOKUP(C605,#REF!, 2, FALSE), "NO ENCONTRADO")</f>
        <v>NO ENCONTRADO</v>
      </c>
      <c r="F605" s="36" t="str">
        <f>IFERROR(VLOOKUP(C605,#REF!, 3, FALSE), "NO ENCONTRADO")</f>
        <v>NO ENCONTRADO</v>
      </c>
      <c r="G605" s="36" t="str">
        <f>IFERROR(VLOOKUP(C605,#REF!, 4, FALSE), "NO ENCONTRADO")</f>
        <v>NO ENCONTRADO</v>
      </c>
      <c r="H605" s="36" t="str">
        <f>IFERROR(VLOOKUP(C605,#REF!, 5, FALSE), "NO ENCONTRADO")</f>
        <v>NO ENCONTRADO</v>
      </c>
      <c r="I605" s="15"/>
      <c r="J605" s="36"/>
      <c r="K605" s="42"/>
      <c r="L605" s="15"/>
      <c r="M605" s="39">
        <f t="shared" ca="1" si="0"/>
        <v>46026</v>
      </c>
      <c r="N605" s="40" t="str">
        <f t="shared" ca="1" si="1"/>
        <v>✅</v>
      </c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spans="1:28" ht="13" x14ac:dyDescent="0.15">
      <c r="A606" s="24">
        <f>'Scan to Sheets'!A606</f>
        <v>0</v>
      </c>
      <c r="B606" s="26">
        <f>'Scan to Sheets'!B606</f>
        <v>0</v>
      </c>
      <c r="C606" s="26">
        <f>'Scan to Sheets'!C606</f>
        <v>0</v>
      </c>
      <c r="D606" s="26">
        <f>'Scan to Sheets'!D606</f>
        <v>0</v>
      </c>
      <c r="E606" s="27" t="str">
        <f>IFERROR(VLOOKUP(C606,#REF!, 2, FALSE), "NO ENCONTRADO")</f>
        <v>NO ENCONTRADO</v>
      </c>
      <c r="F606" s="27" t="str">
        <f>IFERROR(VLOOKUP(C606,#REF!, 3, FALSE), "NO ENCONTRADO")</f>
        <v>NO ENCONTRADO</v>
      </c>
      <c r="G606" s="27" t="str">
        <f>IFERROR(VLOOKUP(C606,#REF!, 4, FALSE), "NO ENCONTRADO")</f>
        <v>NO ENCONTRADO</v>
      </c>
      <c r="H606" s="27" t="str">
        <f>IFERROR(VLOOKUP(C606,#REF!, 5, FALSE), "NO ENCONTRADO")</f>
        <v>NO ENCONTRADO</v>
      </c>
      <c r="I606" s="14"/>
      <c r="J606" s="27"/>
      <c r="K606" s="41"/>
      <c r="L606" s="14"/>
      <c r="M606" s="30">
        <f t="shared" ca="1" si="0"/>
        <v>46026</v>
      </c>
      <c r="N606" s="31" t="str">
        <f t="shared" ca="1" si="1"/>
        <v>✅</v>
      </c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spans="1:28" ht="13" x14ac:dyDescent="0.15">
      <c r="A607" s="33">
        <f>'Scan to Sheets'!A607</f>
        <v>0</v>
      </c>
      <c r="B607" s="35">
        <f>'Scan to Sheets'!B607</f>
        <v>0</v>
      </c>
      <c r="C607" s="35">
        <f>'Scan to Sheets'!C607</f>
        <v>0</v>
      </c>
      <c r="D607" s="35">
        <f>'Scan to Sheets'!D607</f>
        <v>0</v>
      </c>
      <c r="E607" s="36" t="str">
        <f>IFERROR(VLOOKUP(C607,#REF!, 2, FALSE), "NO ENCONTRADO")</f>
        <v>NO ENCONTRADO</v>
      </c>
      <c r="F607" s="36" t="str">
        <f>IFERROR(VLOOKUP(C607,#REF!, 3, FALSE), "NO ENCONTRADO")</f>
        <v>NO ENCONTRADO</v>
      </c>
      <c r="G607" s="36" t="str">
        <f>IFERROR(VLOOKUP(C607,#REF!, 4, FALSE), "NO ENCONTRADO")</f>
        <v>NO ENCONTRADO</v>
      </c>
      <c r="H607" s="36" t="str">
        <f>IFERROR(VLOOKUP(C607,#REF!, 5, FALSE), "NO ENCONTRADO")</f>
        <v>NO ENCONTRADO</v>
      </c>
      <c r="I607" s="15"/>
      <c r="J607" s="36"/>
      <c r="K607" s="42"/>
      <c r="L607" s="15"/>
      <c r="M607" s="39">
        <f t="shared" ca="1" si="0"/>
        <v>46026</v>
      </c>
      <c r="N607" s="40" t="str">
        <f t="shared" ca="1" si="1"/>
        <v>✅</v>
      </c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spans="1:28" ht="13" x14ac:dyDescent="0.15">
      <c r="A608" s="24">
        <f>'Scan to Sheets'!A608</f>
        <v>0</v>
      </c>
      <c r="B608" s="26">
        <f>'Scan to Sheets'!B608</f>
        <v>0</v>
      </c>
      <c r="C608" s="26">
        <f>'Scan to Sheets'!C608</f>
        <v>0</v>
      </c>
      <c r="D608" s="26">
        <f>'Scan to Sheets'!D608</f>
        <v>0</v>
      </c>
      <c r="E608" s="27" t="str">
        <f>IFERROR(VLOOKUP(C608,#REF!, 2, FALSE), "NO ENCONTRADO")</f>
        <v>NO ENCONTRADO</v>
      </c>
      <c r="F608" s="27" t="str">
        <f>IFERROR(VLOOKUP(C608,#REF!, 3, FALSE), "NO ENCONTRADO")</f>
        <v>NO ENCONTRADO</v>
      </c>
      <c r="G608" s="27" t="str">
        <f>IFERROR(VLOOKUP(C608,#REF!, 4, FALSE), "NO ENCONTRADO")</f>
        <v>NO ENCONTRADO</v>
      </c>
      <c r="H608" s="27" t="str">
        <f>IFERROR(VLOOKUP(C608,#REF!, 5, FALSE), "NO ENCONTRADO")</f>
        <v>NO ENCONTRADO</v>
      </c>
      <c r="I608" s="14"/>
      <c r="J608" s="27"/>
      <c r="K608" s="41"/>
      <c r="L608" s="14"/>
      <c r="M608" s="30">
        <f t="shared" ca="1" si="0"/>
        <v>46026</v>
      </c>
      <c r="N608" s="31" t="str">
        <f t="shared" ca="1" si="1"/>
        <v>✅</v>
      </c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spans="1:28" ht="13" x14ac:dyDescent="0.15">
      <c r="A609" s="33">
        <f>'Scan to Sheets'!A609</f>
        <v>0</v>
      </c>
      <c r="B609" s="35">
        <f>'Scan to Sheets'!B609</f>
        <v>0</v>
      </c>
      <c r="C609" s="35">
        <f>'Scan to Sheets'!C609</f>
        <v>0</v>
      </c>
      <c r="D609" s="35">
        <f>'Scan to Sheets'!D609</f>
        <v>0</v>
      </c>
      <c r="E609" s="36" t="str">
        <f>IFERROR(VLOOKUP(C609,#REF!, 2, FALSE), "NO ENCONTRADO")</f>
        <v>NO ENCONTRADO</v>
      </c>
      <c r="F609" s="36" t="str">
        <f>IFERROR(VLOOKUP(C609,#REF!, 3, FALSE), "NO ENCONTRADO")</f>
        <v>NO ENCONTRADO</v>
      </c>
      <c r="G609" s="36" t="str">
        <f>IFERROR(VLOOKUP(C609,#REF!, 4, FALSE), "NO ENCONTRADO")</f>
        <v>NO ENCONTRADO</v>
      </c>
      <c r="H609" s="36" t="str">
        <f>IFERROR(VLOOKUP(C609,#REF!, 5, FALSE), "NO ENCONTRADO")</f>
        <v>NO ENCONTRADO</v>
      </c>
      <c r="I609" s="15"/>
      <c r="J609" s="36"/>
      <c r="K609" s="42"/>
      <c r="L609" s="15"/>
      <c r="M609" s="39">
        <f t="shared" ca="1" si="0"/>
        <v>46026</v>
      </c>
      <c r="N609" s="40" t="str">
        <f t="shared" ca="1" si="1"/>
        <v>✅</v>
      </c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spans="1:28" ht="13" x14ac:dyDescent="0.15">
      <c r="A610" s="24">
        <f>'Scan to Sheets'!A610</f>
        <v>0</v>
      </c>
      <c r="B610" s="26">
        <f>'Scan to Sheets'!B610</f>
        <v>0</v>
      </c>
      <c r="C610" s="26">
        <f>'Scan to Sheets'!C610</f>
        <v>0</v>
      </c>
      <c r="D610" s="26">
        <f>'Scan to Sheets'!D610</f>
        <v>0</v>
      </c>
      <c r="E610" s="27" t="str">
        <f>IFERROR(VLOOKUP(C610,#REF!, 2, FALSE), "NO ENCONTRADO")</f>
        <v>NO ENCONTRADO</v>
      </c>
      <c r="F610" s="27" t="str">
        <f>IFERROR(VLOOKUP(C610,#REF!, 3, FALSE), "NO ENCONTRADO")</f>
        <v>NO ENCONTRADO</v>
      </c>
      <c r="G610" s="27" t="str">
        <f>IFERROR(VLOOKUP(C610,#REF!, 4, FALSE), "NO ENCONTRADO")</f>
        <v>NO ENCONTRADO</v>
      </c>
      <c r="H610" s="27" t="str">
        <f>IFERROR(VLOOKUP(C610,#REF!, 5, FALSE), "NO ENCONTRADO")</f>
        <v>NO ENCONTRADO</v>
      </c>
      <c r="I610" s="14"/>
      <c r="J610" s="27"/>
      <c r="K610" s="41"/>
      <c r="L610" s="14"/>
      <c r="M610" s="30">
        <f t="shared" ca="1" si="0"/>
        <v>46026</v>
      </c>
      <c r="N610" s="31" t="str">
        <f t="shared" ca="1" si="1"/>
        <v>✅</v>
      </c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spans="1:28" ht="13" x14ac:dyDescent="0.15">
      <c r="A611" s="33">
        <f>'Scan to Sheets'!A611</f>
        <v>0</v>
      </c>
      <c r="B611" s="35">
        <f>'Scan to Sheets'!B611</f>
        <v>0</v>
      </c>
      <c r="C611" s="35">
        <f>'Scan to Sheets'!C611</f>
        <v>0</v>
      </c>
      <c r="D611" s="35">
        <f>'Scan to Sheets'!D611</f>
        <v>0</v>
      </c>
      <c r="E611" s="36" t="str">
        <f>IFERROR(VLOOKUP(C611,#REF!, 2, FALSE), "NO ENCONTRADO")</f>
        <v>NO ENCONTRADO</v>
      </c>
      <c r="F611" s="36" t="str">
        <f>IFERROR(VLOOKUP(C611,#REF!, 3, FALSE), "NO ENCONTRADO")</f>
        <v>NO ENCONTRADO</v>
      </c>
      <c r="G611" s="36" t="str">
        <f>IFERROR(VLOOKUP(C611,#REF!, 4, FALSE), "NO ENCONTRADO")</f>
        <v>NO ENCONTRADO</v>
      </c>
      <c r="H611" s="36" t="str">
        <f>IFERROR(VLOOKUP(C611,#REF!, 5, FALSE), "NO ENCONTRADO")</f>
        <v>NO ENCONTRADO</v>
      </c>
      <c r="I611" s="15"/>
      <c r="J611" s="36"/>
      <c r="K611" s="42"/>
      <c r="L611" s="15"/>
      <c r="M611" s="39">
        <f t="shared" ca="1" si="0"/>
        <v>46026</v>
      </c>
      <c r="N611" s="40" t="str">
        <f t="shared" ca="1" si="1"/>
        <v>✅</v>
      </c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spans="1:28" ht="13" x14ac:dyDescent="0.15">
      <c r="A612" s="24">
        <f>'Scan to Sheets'!A612</f>
        <v>0</v>
      </c>
      <c r="B612" s="26">
        <f>'Scan to Sheets'!B612</f>
        <v>0</v>
      </c>
      <c r="C612" s="26">
        <f>'Scan to Sheets'!C612</f>
        <v>0</v>
      </c>
      <c r="D612" s="26">
        <f>'Scan to Sheets'!D612</f>
        <v>0</v>
      </c>
      <c r="E612" s="27" t="str">
        <f>IFERROR(VLOOKUP(C612,#REF!, 2, FALSE), "NO ENCONTRADO")</f>
        <v>NO ENCONTRADO</v>
      </c>
      <c r="F612" s="27" t="str">
        <f>IFERROR(VLOOKUP(C612,#REF!, 3, FALSE), "NO ENCONTRADO")</f>
        <v>NO ENCONTRADO</v>
      </c>
      <c r="G612" s="27" t="str">
        <f>IFERROR(VLOOKUP(C612,#REF!, 4, FALSE), "NO ENCONTRADO")</f>
        <v>NO ENCONTRADO</v>
      </c>
      <c r="H612" s="27" t="str">
        <f>IFERROR(VLOOKUP(C612,#REF!, 5, FALSE), "NO ENCONTRADO")</f>
        <v>NO ENCONTRADO</v>
      </c>
      <c r="I612" s="14"/>
      <c r="J612" s="27"/>
      <c r="K612" s="41"/>
      <c r="L612" s="14"/>
      <c r="M612" s="30">
        <f t="shared" ca="1" si="0"/>
        <v>46026</v>
      </c>
      <c r="N612" s="31" t="str">
        <f t="shared" ca="1" si="1"/>
        <v>✅</v>
      </c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spans="1:28" ht="13" x14ac:dyDescent="0.15">
      <c r="A613" s="33">
        <f>'Scan to Sheets'!A613</f>
        <v>0</v>
      </c>
      <c r="B613" s="35">
        <f>'Scan to Sheets'!B613</f>
        <v>0</v>
      </c>
      <c r="C613" s="35">
        <f>'Scan to Sheets'!C613</f>
        <v>0</v>
      </c>
      <c r="D613" s="35">
        <f>'Scan to Sheets'!D613</f>
        <v>0</v>
      </c>
      <c r="E613" s="36" t="str">
        <f>IFERROR(VLOOKUP(C613,#REF!, 2, FALSE), "NO ENCONTRADO")</f>
        <v>NO ENCONTRADO</v>
      </c>
      <c r="F613" s="36" t="str">
        <f>IFERROR(VLOOKUP(C613,#REF!, 3, FALSE), "NO ENCONTRADO")</f>
        <v>NO ENCONTRADO</v>
      </c>
      <c r="G613" s="36" t="str">
        <f>IFERROR(VLOOKUP(C613,#REF!, 4, FALSE), "NO ENCONTRADO")</f>
        <v>NO ENCONTRADO</v>
      </c>
      <c r="H613" s="36" t="str">
        <f>IFERROR(VLOOKUP(C613,#REF!, 5, FALSE), "NO ENCONTRADO")</f>
        <v>NO ENCONTRADO</v>
      </c>
      <c r="I613" s="15"/>
      <c r="J613" s="36"/>
      <c r="K613" s="42"/>
      <c r="L613" s="15"/>
      <c r="M613" s="39">
        <f t="shared" ca="1" si="0"/>
        <v>46026</v>
      </c>
      <c r="N613" s="40" t="str">
        <f t="shared" ca="1" si="1"/>
        <v>✅</v>
      </c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spans="1:28" ht="13" x14ac:dyDescent="0.15">
      <c r="A614" s="24">
        <f>'Scan to Sheets'!A614</f>
        <v>0</v>
      </c>
      <c r="B614" s="26">
        <f>'Scan to Sheets'!B614</f>
        <v>0</v>
      </c>
      <c r="C614" s="26">
        <f>'Scan to Sheets'!C614</f>
        <v>0</v>
      </c>
      <c r="D614" s="26">
        <f>'Scan to Sheets'!D614</f>
        <v>0</v>
      </c>
      <c r="E614" s="27" t="str">
        <f>IFERROR(VLOOKUP(C614,#REF!, 2, FALSE), "NO ENCONTRADO")</f>
        <v>NO ENCONTRADO</v>
      </c>
      <c r="F614" s="27" t="str">
        <f>IFERROR(VLOOKUP(C614,#REF!, 3, FALSE), "NO ENCONTRADO")</f>
        <v>NO ENCONTRADO</v>
      </c>
      <c r="G614" s="27" t="str">
        <f>IFERROR(VLOOKUP(C614,#REF!, 4, FALSE), "NO ENCONTRADO")</f>
        <v>NO ENCONTRADO</v>
      </c>
      <c r="H614" s="27" t="str">
        <f>IFERROR(VLOOKUP(C614,#REF!, 5, FALSE), "NO ENCONTRADO")</f>
        <v>NO ENCONTRADO</v>
      </c>
      <c r="I614" s="14"/>
      <c r="J614" s="27"/>
      <c r="K614" s="41"/>
      <c r="L614" s="14"/>
      <c r="M614" s="30">
        <f t="shared" ca="1" si="0"/>
        <v>46026</v>
      </c>
      <c r="N614" s="31" t="str">
        <f t="shared" ca="1" si="1"/>
        <v>✅</v>
      </c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spans="1:28" ht="13" x14ac:dyDescent="0.15">
      <c r="A615" s="33">
        <f>'Scan to Sheets'!A615</f>
        <v>0</v>
      </c>
      <c r="B615" s="35">
        <f>'Scan to Sheets'!B615</f>
        <v>0</v>
      </c>
      <c r="C615" s="35">
        <f>'Scan to Sheets'!C615</f>
        <v>0</v>
      </c>
      <c r="D615" s="35">
        <f>'Scan to Sheets'!D615</f>
        <v>0</v>
      </c>
      <c r="E615" s="36" t="str">
        <f>IFERROR(VLOOKUP(C615,#REF!, 2, FALSE), "NO ENCONTRADO")</f>
        <v>NO ENCONTRADO</v>
      </c>
      <c r="F615" s="36" t="str">
        <f>IFERROR(VLOOKUP(C615,#REF!, 3, FALSE), "NO ENCONTRADO")</f>
        <v>NO ENCONTRADO</v>
      </c>
      <c r="G615" s="36" t="str">
        <f>IFERROR(VLOOKUP(C615,#REF!, 4, FALSE), "NO ENCONTRADO")</f>
        <v>NO ENCONTRADO</v>
      </c>
      <c r="H615" s="36" t="str">
        <f>IFERROR(VLOOKUP(C615,#REF!, 5, FALSE), "NO ENCONTRADO")</f>
        <v>NO ENCONTRADO</v>
      </c>
      <c r="I615" s="15"/>
      <c r="J615" s="36"/>
      <c r="K615" s="42"/>
      <c r="L615" s="15"/>
      <c r="M615" s="39">
        <f t="shared" ca="1" si="0"/>
        <v>46026</v>
      </c>
      <c r="N615" s="40" t="str">
        <f t="shared" ca="1" si="1"/>
        <v>✅</v>
      </c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spans="1:28" ht="13" x14ac:dyDescent="0.15">
      <c r="A616" s="24">
        <f>'Scan to Sheets'!A616</f>
        <v>0</v>
      </c>
      <c r="B616" s="26">
        <f>'Scan to Sheets'!B616</f>
        <v>0</v>
      </c>
      <c r="C616" s="26">
        <f>'Scan to Sheets'!C616</f>
        <v>0</v>
      </c>
      <c r="D616" s="26">
        <f>'Scan to Sheets'!D616</f>
        <v>0</v>
      </c>
      <c r="E616" s="27" t="str">
        <f>IFERROR(VLOOKUP(C616,#REF!, 2, FALSE), "NO ENCONTRADO")</f>
        <v>NO ENCONTRADO</v>
      </c>
      <c r="F616" s="27" t="str">
        <f>IFERROR(VLOOKUP(C616,#REF!, 3, FALSE), "NO ENCONTRADO")</f>
        <v>NO ENCONTRADO</v>
      </c>
      <c r="G616" s="27" t="str">
        <f>IFERROR(VLOOKUP(C616,#REF!, 4, FALSE), "NO ENCONTRADO")</f>
        <v>NO ENCONTRADO</v>
      </c>
      <c r="H616" s="27" t="str">
        <f>IFERROR(VLOOKUP(C616,#REF!, 5, FALSE), "NO ENCONTRADO")</f>
        <v>NO ENCONTRADO</v>
      </c>
      <c r="I616" s="14"/>
      <c r="J616" s="27"/>
      <c r="K616" s="41"/>
      <c r="L616" s="14"/>
      <c r="M616" s="30">
        <f t="shared" ca="1" si="0"/>
        <v>46026</v>
      </c>
      <c r="N616" s="31" t="str">
        <f t="shared" ca="1" si="1"/>
        <v>✅</v>
      </c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 spans="1:28" ht="13" x14ac:dyDescent="0.15">
      <c r="A617" s="33">
        <f>'Scan to Sheets'!A617</f>
        <v>0</v>
      </c>
      <c r="B617" s="35">
        <f>'Scan to Sheets'!B617</f>
        <v>0</v>
      </c>
      <c r="C617" s="35">
        <f>'Scan to Sheets'!C617</f>
        <v>0</v>
      </c>
      <c r="D617" s="35">
        <f>'Scan to Sheets'!D617</f>
        <v>0</v>
      </c>
      <c r="E617" s="36" t="str">
        <f>IFERROR(VLOOKUP(C617,#REF!, 2, FALSE), "NO ENCONTRADO")</f>
        <v>NO ENCONTRADO</v>
      </c>
      <c r="F617" s="36" t="str">
        <f>IFERROR(VLOOKUP(C617,#REF!, 3, FALSE), "NO ENCONTRADO")</f>
        <v>NO ENCONTRADO</v>
      </c>
      <c r="G617" s="36" t="str">
        <f>IFERROR(VLOOKUP(C617,#REF!, 4, FALSE), "NO ENCONTRADO")</f>
        <v>NO ENCONTRADO</v>
      </c>
      <c r="H617" s="36" t="str">
        <f>IFERROR(VLOOKUP(C617,#REF!, 5, FALSE), "NO ENCONTRADO")</f>
        <v>NO ENCONTRADO</v>
      </c>
      <c r="I617" s="15"/>
      <c r="J617" s="36"/>
      <c r="K617" s="42"/>
      <c r="L617" s="15"/>
      <c r="M617" s="39">
        <f t="shared" ca="1" si="0"/>
        <v>46026</v>
      </c>
      <c r="N617" s="40" t="str">
        <f t="shared" ca="1" si="1"/>
        <v>✅</v>
      </c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 spans="1:28" ht="13" x14ac:dyDescent="0.15">
      <c r="A618" s="24">
        <f>'Scan to Sheets'!A618</f>
        <v>0</v>
      </c>
      <c r="B618" s="26">
        <f>'Scan to Sheets'!B618</f>
        <v>0</v>
      </c>
      <c r="C618" s="26">
        <f>'Scan to Sheets'!C618</f>
        <v>0</v>
      </c>
      <c r="D618" s="26">
        <f>'Scan to Sheets'!D618</f>
        <v>0</v>
      </c>
      <c r="E618" s="27" t="str">
        <f>IFERROR(VLOOKUP(C618,#REF!, 2, FALSE), "NO ENCONTRADO")</f>
        <v>NO ENCONTRADO</v>
      </c>
      <c r="F618" s="27" t="str">
        <f>IFERROR(VLOOKUP(C618,#REF!, 3, FALSE), "NO ENCONTRADO")</f>
        <v>NO ENCONTRADO</v>
      </c>
      <c r="G618" s="27" t="str">
        <f>IFERROR(VLOOKUP(C618,#REF!, 4, FALSE), "NO ENCONTRADO")</f>
        <v>NO ENCONTRADO</v>
      </c>
      <c r="H618" s="27" t="str">
        <f>IFERROR(VLOOKUP(C618,#REF!, 5, FALSE), "NO ENCONTRADO")</f>
        <v>NO ENCONTRADO</v>
      </c>
      <c r="I618" s="14"/>
      <c r="J618" s="27"/>
      <c r="K618" s="41"/>
      <c r="L618" s="14"/>
      <c r="M618" s="30">
        <f t="shared" ca="1" si="0"/>
        <v>46026</v>
      </c>
      <c r="N618" s="31" t="str">
        <f t="shared" ca="1" si="1"/>
        <v>✅</v>
      </c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 spans="1:28" ht="13" x14ac:dyDescent="0.15">
      <c r="A619" s="33">
        <f>'Scan to Sheets'!A619</f>
        <v>0</v>
      </c>
      <c r="B619" s="35">
        <f>'Scan to Sheets'!B619</f>
        <v>0</v>
      </c>
      <c r="C619" s="35">
        <f>'Scan to Sheets'!C619</f>
        <v>0</v>
      </c>
      <c r="D619" s="35">
        <f>'Scan to Sheets'!D619</f>
        <v>0</v>
      </c>
      <c r="E619" s="36" t="str">
        <f>IFERROR(VLOOKUP(C619,#REF!, 2, FALSE), "NO ENCONTRADO")</f>
        <v>NO ENCONTRADO</v>
      </c>
      <c r="F619" s="36" t="str">
        <f>IFERROR(VLOOKUP(C619,#REF!, 3, FALSE), "NO ENCONTRADO")</f>
        <v>NO ENCONTRADO</v>
      </c>
      <c r="G619" s="36" t="str">
        <f>IFERROR(VLOOKUP(C619,#REF!, 4, FALSE), "NO ENCONTRADO")</f>
        <v>NO ENCONTRADO</v>
      </c>
      <c r="H619" s="36" t="str">
        <f>IFERROR(VLOOKUP(C619,#REF!, 5, FALSE), "NO ENCONTRADO")</f>
        <v>NO ENCONTRADO</v>
      </c>
      <c r="I619" s="15"/>
      <c r="J619" s="36"/>
      <c r="K619" s="42"/>
      <c r="L619" s="15"/>
      <c r="M619" s="39">
        <f t="shared" ca="1" si="0"/>
        <v>46026</v>
      </c>
      <c r="N619" s="40" t="str">
        <f t="shared" ca="1" si="1"/>
        <v>✅</v>
      </c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 spans="1:28" ht="13" x14ac:dyDescent="0.15">
      <c r="A620" s="24">
        <f>'Scan to Sheets'!A620</f>
        <v>0</v>
      </c>
      <c r="B620" s="26">
        <f>'Scan to Sheets'!B620</f>
        <v>0</v>
      </c>
      <c r="C620" s="26">
        <f>'Scan to Sheets'!C620</f>
        <v>0</v>
      </c>
      <c r="D620" s="26">
        <f>'Scan to Sheets'!D620</f>
        <v>0</v>
      </c>
      <c r="E620" s="27" t="str">
        <f>IFERROR(VLOOKUP(C620,#REF!, 2, FALSE), "NO ENCONTRADO")</f>
        <v>NO ENCONTRADO</v>
      </c>
      <c r="F620" s="27" t="str">
        <f>IFERROR(VLOOKUP(C620,#REF!, 3, FALSE), "NO ENCONTRADO")</f>
        <v>NO ENCONTRADO</v>
      </c>
      <c r="G620" s="27" t="str">
        <f>IFERROR(VLOOKUP(C620,#REF!, 4, FALSE), "NO ENCONTRADO")</f>
        <v>NO ENCONTRADO</v>
      </c>
      <c r="H620" s="27" t="str">
        <f>IFERROR(VLOOKUP(C620,#REF!, 5, FALSE), "NO ENCONTRADO")</f>
        <v>NO ENCONTRADO</v>
      </c>
      <c r="I620" s="14"/>
      <c r="J620" s="27"/>
      <c r="K620" s="41"/>
      <c r="L620" s="14"/>
      <c r="M620" s="30">
        <f t="shared" ca="1" si="0"/>
        <v>46026</v>
      </c>
      <c r="N620" s="31" t="str">
        <f t="shared" ca="1" si="1"/>
        <v>✅</v>
      </c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 spans="1:28" ht="13" x14ac:dyDescent="0.15">
      <c r="A621" s="33">
        <f>'Scan to Sheets'!A621</f>
        <v>0</v>
      </c>
      <c r="B621" s="35">
        <f>'Scan to Sheets'!B621</f>
        <v>0</v>
      </c>
      <c r="C621" s="35">
        <f>'Scan to Sheets'!C621</f>
        <v>0</v>
      </c>
      <c r="D621" s="35">
        <f>'Scan to Sheets'!D621</f>
        <v>0</v>
      </c>
      <c r="E621" s="36" t="str">
        <f>IFERROR(VLOOKUP(C621,#REF!, 2, FALSE), "NO ENCONTRADO")</f>
        <v>NO ENCONTRADO</v>
      </c>
      <c r="F621" s="36" t="str">
        <f>IFERROR(VLOOKUP(C621,#REF!, 3, FALSE), "NO ENCONTRADO")</f>
        <v>NO ENCONTRADO</v>
      </c>
      <c r="G621" s="36" t="str">
        <f>IFERROR(VLOOKUP(C621,#REF!, 4, FALSE), "NO ENCONTRADO")</f>
        <v>NO ENCONTRADO</v>
      </c>
      <c r="H621" s="36" t="str">
        <f>IFERROR(VLOOKUP(C621,#REF!, 5, FALSE), "NO ENCONTRADO")</f>
        <v>NO ENCONTRADO</v>
      </c>
      <c r="I621" s="15"/>
      <c r="J621" s="36"/>
      <c r="K621" s="42"/>
      <c r="L621" s="15"/>
      <c r="M621" s="39">
        <f t="shared" ca="1" si="0"/>
        <v>46026</v>
      </c>
      <c r="N621" s="40" t="str">
        <f t="shared" ca="1" si="1"/>
        <v>✅</v>
      </c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 spans="1:28" ht="13" x14ac:dyDescent="0.15">
      <c r="A622" s="24">
        <f>'Scan to Sheets'!A622</f>
        <v>0</v>
      </c>
      <c r="B622" s="26">
        <f>'Scan to Sheets'!B622</f>
        <v>0</v>
      </c>
      <c r="C622" s="26">
        <f>'Scan to Sheets'!C622</f>
        <v>0</v>
      </c>
      <c r="D622" s="26">
        <f>'Scan to Sheets'!D622</f>
        <v>0</v>
      </c>
      <c r="E622" s="27" t="str">
        <f>IFERROR(VLOOKUP(C622,#REF!, 2, FALSE), "NO ENCONTRADO")</f>
        <v>NO ENCONTRADO</v>
      </c>
      <c r="F622" s="27" t="str">
        <f>IFERROR(VLOOKUP(C622,#REF!, 3, FALSE), "NO ENCONTRADO")</f>
        <v>NO ENCONTRADO</v>
      </c>
      <c r="G622" s="27" t="str">
        <f>IFERROR(VLOOKUP(C622,#REF!, 4, FALSE), "NO ENCONTRADO")</f>
        <v>NO ENCONTRADO</v>
      </c>
      <c r="H622" s="27" t="str">
        <f>IFERROR(VLOOKUP(C622,#REF!, 5, FALSE), "NO ENCONTRADO")</f>
        <v>NO ENCONTRADO</v>
      </c>
      <c r="I622" s="14"/>
      <c r="J622" s="27"/>
      <c r="K622" s="41"/>
      <c r="L622" s="14"/>
      <c r="M622" s="30">
        <f t="shared" ca="1" si="0"/>
        <v>46026</v>
      </c>
      <c r="N622" s="31" t="str">
        <f t="shared" ca="1" si="1"/>
        <v>✅</v>
      </c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 spans="1:28" ht="13" x14ac:dyDescent="0.15">
      <c r="A623" s="33">
        <f>'Scan to Sheets'!A623</f>
        <v>0</v>
      </c>
      <c r="B623" s="35">
        <f>'Scan to Sheets'!B623</f>
        <v>0</v>
      </c>
      <c r="C623" s="35">
        <f>'Scan to Sheets'!C623</f>
        <v>0</v>
      </c>
      <c r="D623" s="35">
        <f>'Scan to Sheets'!D623</f>
        <v>0</v>
      </c>
      <c r="E623" s="36" t="str">
        <f>IFERROR(VLOOKUP(C623,#REF!, 2, FALSE), "NO ENCONTRADO")</f>
        <v>NO ENCONTRADO</v>
      </c>
      <c r="F623" s="36" t="str">
        <f>IFERROR(VLOOKUP(C623,#REF!, 3, FALSE), "NO ENCONTRADO")</f>
        <v>NO ENCONTRADO</v>
      </c>
      <c r="G623" s="36" t="str">
        <f>IFERROR(VLOOKUP(C623,#REF!, 4, FALSE), "NO ENCONTRADO")</f>
        <v>NO ENCONTRADO</v>
      </c>
      <c r="H623" s="36" t="str">
        <f>IFERROR(VLOOKUP(C623,#REF!, 5, FALSE), "NO ENCONTRADO")</f>
        <v>NO ENCONTRADO</v>
      </c>
      <c r="I623" s="15"/>
      <c r="J623" s="36"/>
      <c r="K623" s="42"/>
      <c r="L623" s="15"/>
      <c r="M623" s="39">
        <f t="shared" ca="1" si="0"/>
        <v>46026</v>
      </c>
      <c r="N623" s="40" t="str">
        <f t="shared" ca="1" si="1"/>
        <v>✅</v>
      </c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 spans="1:28" ht="13" x14ac:dyDescent="0.15">
      <c r="A624" s="24">
        <f>'Scan to Sheets'!A624</f>
        <v>0</v>
      </c>
      <c r="B624" s="26">
        <f>'Scan to Sheets'!B624</f>
        <v>0</v>
      </c>
      <c r="C624" s="26">
        <f>'Scan to Sheets'!C624</f>
        <v>0</v>
      </c>
      <c r="D624" s="26">
        <f>'Scan to Sheets'!D624</f>
        <v>0</v>
      </c>
      <c r="E624" s="27" t="str">
        <f>IFERROR(VLOOKUP(C624,#REF!, 2, FALSE), "NO ENCONTRADO")</f>
        <v>NO ENCONTRADO</v>
      </c>
      <c r="F624" s="27" t="str">
        <f>IFERROR(VLOOKUP(C624,#REF!, 3, FALSE), "NO ENCONTRADO")</f>
        <v>NO ENCONTRADO</v>
      </c>
      <c r="G624" s="27" t="str">
        <f>IFERROR(VLOOKUP(C624,#REF!, 4, FALSE), "NO ENCONTRADO")</f>
        <v>NO ENCONTRADO</v>
      </c>
      <c r="H624" s="27" t="str">
        <f>IFERROR(VLOOKUP(C624,#REF!, 5, FALSE), "NO ENCONTRADO")</f>
        <v>NO ENCONTRADO</v>
      </c>
      <c r="I624" s="14"/>
      <c r="J624" s="27"/>
      <c r="K624" s="41"/>
      <c r="L624" s="14"/>
      <c r="M624" s="30">
        <f t="shared" ca="1" si="0"/>
        <v>46026</v>
      </c>
      <c r="N624" s="31" t="str">
        <f t="shared" ca="1" si="1"/>
        <v>✅</v>
      </c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 spans="1:28" ht="13" x14ac:dyDescent="0.15">
      <c r="A625" s="33">
        <f>'Scan to Sheets'!A625</f>
        <v>0</v>
      </c>
      <c r="B625" s="35">
        <f>'Scan to Sheets'!B625</f>
        <v>0</v>
      </c>
      <c r="C625" s="35">
        <f>'Scan to Sheets'!C625</f>
        <v>0</v>
      </c>
      <c r="D625" s="35">
        <f>'Scan to Sheets'!D625</f>
        <v>0</v>
      </c>
      <c r="E625" s="36" t="str">
        <f>IFERROR(VLOOKUP(C625,#REF!, 2, FALSE), "NO ENCONTRADO")</f>
        <v>NO ENCONTRADO</v>
      </c>
      <c r="F625" s="36" t="str">
        <f>IFERROR(VLOOKUP(C625,#REF!, 3, FALSE), "NO ENCONTRADO")</f>
        <v>NO ENCONTRADO</v>
      </c>
      <c r="G625" s="36" t="str">
        <f>IFERROR(VLOOKUP(C625,#REF!, 4, FALSE), "NO ENCONTRADO")</f>
        <v>NO ENCONTRADO</v>
      </c>
      <c r="H625" s="36" t="str">
        <f>IFERROR(VLOOKUP(C625,#REF!, 5, FALSE), "NO ENCONTRADO")</f>
        <v>NO ENCONTRADO</v>
      </c>
      <c r="I625" s="15"/>
      <c r="J625" s="36"/>
      <c r="K625" s="42"/>
      <c r="L625" s="15"/>
      <c r="M625" s="39">
        <f t="shared" ca="1" si="0"/>
        <v>46026</v>
      </c>
      <c r="N625" s="40" t="str">
        <f t="shared" ca="1" si="1"/>
        <v>✅</v>
      </c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 spans="1:28" ht="13" x14ac:dyDescent="0.15">
      <c r="A626" s="24">
        <f>'Scan to Sheets'!A626</f>
        <v>0</v>
      </c>
      <c r="B626" s="26">
        <f>'Scan to Sheets'!B626</f>
        <v>0</v>
      </c>
      <c r="C626" s="26">
        <f>'Scan to Sheets'!C626</f>
        <v>0</v>
      </c>
      <c r="D626" s="26">
        <f>'Scan to Sheets'!D626</f>
        <v>0</v>
      </c>
      <c r="E626" s="27" t="str">
        <f>IFERROR(VLOOKUP(C626,#REF!, 2, FALSE), "NO ENCONTRADO")</f>
        <v>NO ENCONTRADO</v>
      </c>
      <c r="F626" s="27" t="str">
        <f>IFERROR(VLOOKUP(C626,#REF!, 3, FALSE), "NO ENCONTRADO")</f>
        <v>NO ENCONTRADO</v>
      </c>
      <c r="G626" s="27" t="str">
        <f>IFERROR(VLOOKUP(C626,#REF!, 4, FALSE), "NO ENCONTRADO")</f>
        <v>NO ENCONTRADO</v>
      </c>
      <c r="H626" s="27" t="str">
        <f>IFERROR(VLOOKUP(C626,#REF!, 5, FALSE), "NO ENCONTRADO")</f>
        <v>NO ENCONTRADO</v>
      </c>
      <c r="I626" s="14"/>
      <c r="J626" s="27"/>
      <c r="K626" s="41"/>
      <c r="L626" s="14"/>
      <c r="M626" s="30">
        <f t="shared" ca="1" si="0"/>
        <v>46026</v>
      </c>
      <c r="N626" s="31" t="str">
        <f t="shared" ca="1" si="1"/>
        <v>✅</v>
      </c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 spans="1:28" ht="13" x14ac:dyDescent="0.15">
      <c r="A627" s="33">
        <f>'Scan to Sheets'!A627</f>
        <v>0</v>
      </c>
      <c r="B627" s="35">
        <f>'Scan to Sheets'!B627</f>
        <v>0</v>
      </c>
      <c r="C627" s="35">
        <f>'Scan to Sheets'!C627</f>
        <v>0</v>
      </c>
      <c r="D627" s="35">
        <f>'Scan to Sheets'!D627</f>
        <v>0</v>
      </c>
      <c r="E627" s="36" t="str">
        <f>IFERROR(VLOOKUP(C627,#REF!, 2, FALSE), "NO ENCONTRADO")</f>
        <v>NO ENCONTRADO</v>
      </c>
      <c r="F627" s="36" t="str">
        <f>IFERROR(VLOOKUP(C627,#REF!, 3, FALSE), "NO ENCONTRADO")</f>
        <v>NO ENCONTRADO</v>
      </c>
      <c r="G627" s="36" t="str">
        <f>IFERROR(VLOOKUP(C627,#REF!, 4, FALSE), "NO ENCONTRADO")</f>
        <v>NO ENCONTRADO</v>
      </c>
      <c r="H627" s="36" t="str">
        <f>IFERROR(VLOOKUP(C627,#REF!, 5, FALSE), "NO ENCONTRADO")</f>
        <v>NO ENCONTRADO</v>
      </c>
      <c r="I627" s="15"/>
      <c r="J627" s="36"/>
      <c r="K627" s="42"/>
      <c r="L627" s="15"/>
      <c r="M627" s="39">
        <f t="shared" ca="1" si="0"/>
        <v>46026</v>
      </c>
      <c r="N627" s="40" t="str">
        <f t="shared" ca="1" si="1"/>
        <v>✅</v>
      </c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spans="1:28" ht="13" x14ac:dyDescent="0.15">
      <c r="A628" s="24">
        <f>'Scan to Sheets'!A628</f>
        <v>0</v>
      </c>
      <c r="B628" s="26">
        <f>'Scan to Sheets'!B628</f>
        <v>0</v>
      </c>
      <c r="C628" s="26">
        <f>'Scan to Sheets'!C628</f>
        <v>0</v>
      </c>
      <c r="D628" s="26">
        <f>'Scan to Sheets'!D628</f>
        <v>0</v>
      </c>
      <c r="E628" s="27" t="str">
        <f>IFERROR(VLOOKUP(C628,#REF!, 2, FALSE), "NO ENCONTRADO")</f>
        <v>NO ENCONTRADO</v>
      </c>
      <c r="F628" s="27" t="str">
        <f>IFERROR(VLOOKUP(C628,#REF!, 3, FALSE), "NO ENCONTRADO")</f>
        <v>NO ENCONTRADO</v>
      </c>
      <c r="G628" s="27" t="str">
        <f>IFERROR(VLOOKUP(C628,#REF!, 4, FALSE), "NO ENCONTRADO")</f>
        <v>NO ENCONTRADO</v>
      </c>
      <c r="H628" s="27" t="str">
        <f>IFERROR(VLOOKUP(C628,#REF!, 5, FALSE), "NO ENCONTRADO")</f>
        <v>NO ENCONTRADO</v>
      </c>
      <c r="I628" s="14"/>
      <c r="J628" s="27"/>
      <c r="K628" s="41"/>
      <c r="L628" s="14"/>
      <c r="M628" s="30">
        <f t="shared" ca="1" si="0"/>
        <v>46026</v>
      </c>
      <c r="N628" s="31" t="str">
        <f t="shared" ca="1" si="1"/>
        <v>✅</v>
      </c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spans="1:28" ht="13" x14ac:dyDescent="0.15">
      <c r="A629" s="33">
        <f>'Scan to Sheets'!A629</f>
        <v>0</v>
      </c>
      <c r="B629" s="35">
        <f>'Scan to Sheets'!B629</f>
        <v>0</v>
      </c>
      <c r="C629" s="35">
        <f>'Scan to Sheets'!C629</f>
        <v>0</v>
      </c>
      <c r="D629" s="35">
        <f>'Scan to Sheets'!D629</f>
        <v>0</v>
      </c>
      <c r="E629" s="36" t="str">
        <f>IFERROR(VLOOKUP(C629,#REF!, 2, FALSE), "NO ENCONTRADO")</f>
        <v>NO ENCONTRADO</v>
      </c>
      <c r="F629" s="36" t="str">
        <f>IFERROR(VLOOKUP(C629,#REF!, 3, FALSE), "NO ENCONTRADO")</f>
        <v>NO ENCONTRADO</v>
      </c>
      <c r="G629" s="36" t="str">
        <f>IFERROR(VLOOKUP(C629,#REF!, 4, FALSE), "NO ENCONTRADO")</f>
        <v>NO ENCONTRADO</v>
      </c>
      <c r="H629" s="36" t="str">
        <f>IFERROR(VLOOKUP(C629,#REF!, 5, FALSE), "NO ENCONTRADO")</f>
        <v>NO ENCONTRADO</v>
      </c>
      <c r="I629" s="15"/>
      <c r="J629" s="36"/>
      <c r="K629" s="42"/>
      <c r="L629" s="15"/>
      <c r="M629" s="39">
        <f t="shared" ca="1" si="0"/>
        <v>46026</v>
      </c>
      <c r="N629" s="40" t="str">
        <f t="shared" ca="1" si="1"/>
        <v>✅</v>
      </c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spans="1:28" ht="13" x14ac:dyDescent="0.15">
      <c r="A630" s="24">
        <f>'Scan to Sheets'!A630</f>
        <v>0</v>
      </c>
      <c r="B630" s="26">
        <f>'Scan to Sheets'!B630</f>
        <v>0</v>
      </c>
      <c r="C630" s="26">
        <f>'Scan to Sheets'!C630</f>
        <v>0</v>
      </c>
      <c r="D630" s="26">
        <f>'Scan to Sheets'!D630</f>
        <v>0</v>
      </c>
      <c r="E630" s="27" t="str">
        <f>IFERROR(VLOOKUP(C630,#REF!, 2, FALSE), "NO ENCONTRADO")</f>
        <v>NO ENCONTRADO</v>
      </c>
      <c r="F630" s="27" t="str">
        <f>IFERROR(VLOOKUP(C630,#REF!, 3, FALSE), "NO ENCONTRADO")</f>
        <v>NO ENCONTRADO</v>
      </c>
      <c r="G630" s="27" t="str">
        <f>IFERROR(VLOOKUP(C630,#REF!, 4, FALSE), "NO ENCONTRADO")</f>
        <v>NO ENCONTRADO</v>
      </c>
      <c r="H630" s="27" t="str">
        <f>IFERROR(VLOOKUP(C630,#REF!, 5, FALSE), "NO ENCONTRADO")</f>
        <v>NO ENCONTRADO</v>
      </c>
      <c r="I630" s="14"/>
      <c r="J630" s="27"/>
      <c r="K630" s="41"/>
      <c r="L630" s="14"/>
      <c r="M630" s="30">
        <f t="shared" ca="1" si="0"/>
        <v>46026</v>
      </c>
      <c r="N630" s="31" t="str">
        <f t="shared" ca="1" si="1"/>
        <v>✅</v>
      </c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spans="1:28" ht="13" x14ac:dyDescent="0.15">
      <c r="A631" s="33">
        <f>'Scan to Sheets'!A631</f>
        <v>0</v>
      </c>
      <c r="B631" s="35">
        <f>'Scan to Sheets'!B631</f>
        <v>0</v>
      </c>
      <c r="C631" s="35">
        <f>'Scan to Sheets'!C631</f>
        <v>0</v>
      </c>
      <c r="D631" s="35">
        <f>'Scan to Sheets'!D631</f>
        <v>0</v>
      </c>
      <c r="E631" s="36" t="str">
        <f>IFERROR(VLOOKUP(C631,#REF!, 2, FALSE), "NO ENCONTRADO")</f>
        <v>NO ENCONTRADO</v>
      </c>
      <c r="F631" s="36" t="str">
        <f>IFERROR(VLOOKUP(C631,#REF!, 3, FALSE), "NO ENCONTRADO")</f>
        <v>NO ENCONTRADO</v>
      </c>
      <c r="G631" s="36" t="str">
        <f>IFERROR(VLOOKUP(C631,#REF!, 4, FALSE), "NO ENCONTRADO")</f>
        <v>NO ENCONTRADO</v>
      </c>
      <c r="H631" s="36" t="str">
        <f>IFERROR(VLOOKUP(C631,#REF!, 5, FALSE), "NO ENCONTRADO")</f>
        <v>NO ENCONTRADO</v>
      </c>
      <c r="I631" s="15"/>
      <c r="J631" s="36"/>
      <c r="K631" s="42"/>
      <c r="L631" s="15"/>
      <c r="M631" s="39">
        <f t="shared" ca="1" si="0"/>
        <v>46026</v>
      </c>
      <c r="N631" s="40" t="str">
        <f t="shared" ca="1" si="1"/>
        <v>✅</v>
      </c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spans="1:28" ht="13" x14ac:dyDescent="0.15">
      <c r="A632" s="24">
        <f>'Scan to Sheets'!A632</f>
        <v>0</v>
      </c>
      <c r="B632" s="26">
        <f>'Scan to Sheets'!B632</f>
        <v>0</v>
      </c>
      <c r="C632" s="26">
        <f>'Scan to Sheets'!C632</f>
        <v>0</v>
      </c>
      <c r="D632" s="26">
        <f>'Scan to Sheets'!D632</f>
        <v>0</v>
      </c>
      <c r="E632" s="27" t="str">
        <f>IFERROR(VLOOKUP(C632,#REF!, 2, FALSE), "NO ENCONTRADO")</f>
        <v>NO ENCONTRADO</v>
      </c>
      <c r="F632" s="27" t="str">
        <f>IFERROR(VLOOKUP(C632,#REF!, 3, FALSE), "NO ENCONTRADO")</f>
        <v>NO ENCONTRADO</v>
      </c>
      <c r="G632" s="27" t="str">
        <f>IFERROR(VLOOKUP(C632,#REF!, 4, FALSE), "NO ENCONTRADO")</f>
        <v>NO ENCONTRADO</v>
      </c>
      <c r="H632" s="27" t="str">
        <f>IFERROR(VLOOKUP(C632,#REF!, 5, FALSE), "NO ENCONTRADO")</f>
        <v>NO ENCONTRADO</v>
      </c>
      <c r="I632" s="14"/>
      <c r="J632" s="27"/>
      <c r="K632" s="41"/>
      <c r="L632" s="14"/>
      <c r="M632" s="30">
        <f t="shared" ca="1" si="0"/>
        <v>46026</v>
      </c>
      <c r="N632" s="31" t="str">
        <f t="shared" ca="1" si="1"/>
        <v>✅</v>
      </c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spans="1:28" ht="13" x14ac:dyDescent="0.15">
      <c r="A633" s="33">
        <f>'Scan to Sheets'!A633</f>
        <v>0</v>
      </c>
      <c r="B633" s="35">
        <f>'Scan to Sheets'!B633</f>
        <v>0</v>
      </c>
      <c r="C633" s="35">
        <f>'Scan to Sheets'!C633</f>
        <v>0</v>
      </c>
      <c r="D633" s="35">
        <f>'Scan to Sheets'!D633</f>
        <v>0</v>
      </c>
      <c r="E633" s="36" t="str">
        <f>IFERROR(VLOOKUP(C633,#REF!, 2, FALSE), "NO ENCONTRADO")</f>
        <v>NO ENCONTRADO</v>
      </c>
      <c r="F633" s="36" t="str">
        <f>IFERROR(VLOOKUP(C633,#REF!, 3, FALSE), "NO ENCONTRADO")</f>
        <v>NO ENCONTRADO</v>
      </c>
      <c r="G633" s="36" t="str">
        <f>IFERROR(VLOOKUP(C633,#REF!, 4, FALSE), "NO ENCONTRADO")</f>
        <v>NO ENCONTRADO</v>
      </c>
      <c r="H633" s="36" t="str">
        <f>IFERROR(VLOOKUP(C633,#REF!, 5, FALSE), "NO ENCONTRADO")</f>
        <v>NO ENCONTRADO</v>
      </c>
      <c r="I633" s="15"/>
      <c r="J633" s="36"/>
      <c r="K633" s="42"/>
      <c r="L633" s="15"/>
      <c r="M633" s="39">
        <f t="shared" ca="1" si="0"/>
        <v>46026</v>
      </c>
      <c r="N633" s="40" t="str">
        <f t="shared" ca="1" si="1"/>
        <v>✅</v>
      </c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spans="1:28" ht="13" x14ac:dyDescent="0.15">
      <c r="A634" s="24">
        <f>'Scan to Sheets'!A634</f>
        <v>0</v>
      </c>
      <c r="B634" s="26">
        <f>'Scan to Sheets'!B634</f>
        <v>0</v>
      </c>
      <c r="C634" s="26">
        <f>'Scan to Sheets'!C634</f>
        <v>0</v>
      </c>
      <c r="D634" s="26">
        <f>'Scan to Sheets'!D634</f>
        <v>0</v>
      </c>
      <c r="E634" s="27" t="str">
        <f>IFERROR(VLOOKUP(C634,#REF!, 2, FALSE), "NO ENCONTRADO")</f>
        <v>NO ENCONTRADO</v>
      </c>
      <c r="F634" s="27" t="str">
        <f>IFERROR(VLOOKUP(C634,#REF!, 3, FALSE), "NO ENCONTRADO")</f>
        <v>NO ENCONTRADO</v>
      </c>
      <c r="G634" s="27" t="str">
        <f>IFERROR(VLOOKUP(C634,#REF!, 4, FALSE), "NO ENCONTRADO")</f>
        <v>NO ENCONTRADO</v>
      </c>
      <c r="H634" s="27" t="str">
        <f>IFERROR(VLOOKUP(C634,#REF!, 5, FALSE), "NO ENCONTRADO")</f>
        <v>NO ENCONTRADO</v>
      </c>
      <c r="I634" s="14"/>
      <c r="J634" s="27"/>
      <c r="K634" s="41"/>
      <c r="L634" s="14"/>
      <c r="M634" s="30">
        <f t="shared" ca="1" si="0"/>
        <v>46026</v>
      </c>
      <c r="N634" s="31" t="str">
        <f t="shared" ca="1" si="1"/>
        <v>✅</v>
      </c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spans="1:28" ht="13" x14ac:dyDescent="0.15">
      <c r="A635" s="33">
        <f>'Scan to Sheets'!A635</f>
        <v>0</v>
      </c>
      <c r="B635" s="35">
        <f>'Scan to Sheets'!B635</f>
        <v>0</v>
      </c>
      <c r="C635" s="35">
        <f>'Scan to Sheets'!C635</f>
        <v>0</v>
      </c>
      <c r="D635" s="35">
        <f>'Scan to Sheets'!D635</f>
        <v>0</v>
      </c>
      <c r="E635" s="36" t="str">
        <f>IFERROR(VLOOKUP(C635,#REF!, 2, FALSE), "NO ENCONTRADO")</f>
        <v>NO ENCONTRADO</v>
      </c>
      <c r="F635" s="36" t="str">
        <f>IFERROR(VLOOKUP(C635,#REF!, 3, FALSE), "NO ENCONTRADO")</f>
        <v>NO ENCONTRADO</v>
      </c>
      <c r="G635" s="36" t="str">
        <f>IFERROR(VLOOKUP(C635,#REF!, 4, FALSE), "NO ENCONTRADO")</f>
        <v>NO ENCONTRADO</v>
      </c>
      <c r="H635" s="36" t="str">
        <f>IFERROR(VLOOKUP(C635,#REF!, 5, FALSE), "NO ENCONTRADO")</f>
        <v>NO ENCONTRADO</v>
      </c>
      <c r="I635" s="15"/>
      <c r="J635" s="36"/>
      <c r="K635" s="42"/>
      <c r="L635" s="15"/>
      <c r="M635" s="39">
        <f t="shared" ca="1" si="0"/>
        <v>46026</v>
      </c>
      <c r="N635" s="40" t="str">
        <f t="shared" ca="1" si="1"/>
        <v>✅</v>
      </c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spans="1:28" ht="13" x14ac:dyDescent="0.15">
      <c r="A636" s="24">
        <f>'Scan to Sheets'!A636</f>
        <v>0</v>
      </c>
      <c r="B636" s="26">
        <f>'Scan to Sheets'!B636</f>
        <v>0</v>
      </c>
      <c r="C636" s="26">
        <f>'Scan to Sheets'!C636</f>
        <v>0</v>
      </c>
      <c r="D636" s="26">
        <f>'Scan to Sheets'!D636</f>
        <v>0</v>
      </c>
      <c r="E636" s="27" t="str">
        <f>IFERROR(VLOOKUP(C636,#REF!, 2, FALSE), "NO ENCONTRADO")</f>
        <v>NO ENCONTRADO</v>
      </c>
      <c r="F636" s="27" t="str">
        <f>IFERROR(VLOOKUP(C636,#REF!, 3, FALSE), "NO ENCONTRADO")</f>
        <v>NO ENCONTRADO</v>
      </c>
      <c r="G636" s="27" t="str">
        <f>IFERROR(VLOOKUP(C636,#REF!, 4, FALSE), "NO ENCONTRADO")</f>
        <v>NO ENCONTRADO</v>
      </c>
      <c r="H636" s="27" t="str">
        <f>IFERROR(VLOOKUP(C636,#REF!, 5, FALSE), "NO ENCONTRADO")</f>
        <v>NO ENCONTRADO</v>
      </c>
      <c r="I636" s="14"/>
      <c r="J636" s="27"/>
      <c r="K636" s="41"/>
      <c r="L636" s="14"/>
      <c r="M636" s="30">
        <f t="shared" ca="1" si="0"/>
        <v>46026</v>
      </c>
      <c r="N636" s="31" t="str">
        <f t="shared" ca="1" si="1"/>
        <v>✅</v>
      </c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spans="1:28" ht="13" x14ac:dyDescent="0.15">
      <c r="A637" s="33">
        <f>'Scan to Sheets'!A637</f>
        <v>0</v>
      </c>
      <c r="B637" s="35">
        <f>'Scan to Sheets'!B637</f>
        <v>0</v>
      </c>
      <c r="C637" s="35">
        <f>'Scan to Sheets'!C637</f>
        <v>0</v>
      </c>
      <c r="D637" s="35">
        <f>'Scan to Sheets'!D637</f>
        <v>0</v>
      </c>
      <c r="E637" s="36" t="str">
        <f>IFERROR(VLOOKUP(C637,#REF!, 2, FALSE), "NO ENCONTRADO")</f>
        <v>NO ENCONTRADO</v>
      </c>
      <c r="F637" s="36" t="str">
        <f>IFERROR(VLOOKUP(C637,#REF!, 3, FALSE), "NO ENCONTRADO")</f>
        <v>NO ENCONTRADO</v>
      </c>
      <c r="G637" s="36" t="str">
        <f>IFERROR(VLOOKUP(C637,#REF!, 4, FALSE), "NO ENCONTRADO")</f>
        <v>NO ENCONTRADO</v>
      </c>
      <c r="H637" s="36" t="str">
        <f>IFERROR(VLOOKUP(C637,#REF!, 5, FALSE), "NO ENCONTRADO")</f>
        <v>NO ENCONTRADO</v>
      </c>
      <c r="I637" s="15"/>
      <c r="J637" s="36"/>
      <c r="K637" s="42"/>
      <c r="L637" s="15"/>
      <c r="M637" s="39">
        <f t="shared" ca="1" si="0"/>
        <v>46026</v>
      </c>
      <c r="N637" s="40" t="str">
        <f t="shared" ca="1" si="1"/>
        <v>✅</v>
      </c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spans="1:28" ht="13" x14ac:dyDescent="0.15">
      <c r="A638" s="24">
        <f>'Scan to Sheets'!A638</f>
        <v>0</v>
      </c>
      <c r="B638" s="26">
        <f>'Scan to Sheets'!B638</f>
        <v>0</v>
      </c>
      <c r="C638" s="26">
        <f>'Scan to Sheets'!C638</f>
        <v>0</v>
      </c>
      <c r="D638" s="26">
        <f>'Scan to Sheets'!D638</f>
        <v>0</v>
      </c>
      <c r="E638" s="27" t="str">
        <f>IFERROR(VLOOKUP(C638,#REF!, 2, FALSE), "NO ENCONTRADO")</f>
        <v>NO ENCONTRADO</v>
      </c>
      <c r="F638" s="27" t="str">
        <f>IFERROR(VLOOKUP(C638,#REF!, 3, FALSE), "NO ENCONTRADO")</f>
        <v>NO ENCONTRADO</v>
      </c>
      <c r="G638" s="27" t="str">
        <f>IFERROR(VLOOKUP(C638,#REF!, 4, FALSE), "NO ENCONTRADO")</f>
        <v>NO ENCONTRADO</v>
      </c>
      <c r="H638" s="27" t="str">
        <f>IFERROR(VLOOKUP(C638,#REF!, 5, FALSE), "NO ENCONTRADO")</f>
        <v>NO ENCONTRADO</v>
      </c>
      <c r="I638" s="14"/>
      <c r="J638" s="27"/>
      <c r="K638" s="41"/>
      <c r="L638" s="14"/>
      <c r="M638" s="30">
        <f t="shared" ca="1" si="0"/>
        <v>46026</v>
      </c>
      <c r="N638" s="31" t="str">
        <f t="shared" ca="1" si="1"/>
        <v>✅</v>
      </c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spans="1:28" ht="13" x14ac:dyDescent="0.15">
      <c r="A639" s="33">
        <f>'Scan to Sheets'!A639</f>
        <v>0</v>
      </c>
      <c r="B639" s="35">
        <f>'Scan to Sheets'!B639</f>
        <v>0</v>
      </c>
      <c r="C639" s="35">
        <f>'Scan to Sheets'!C639</f>
        <v>0</v>
      </c>
      <c r="D639" s="35">
        <f>'Scan to Sheets'!D639</f>
        <v>0</v>
      </c>
      <c r="E639" s="36" t="str">
        <f>IFERROR(VLOOKUP(C639,#REF!, 2, FALSE), "NO ENCONTRADO")</f>
        <v>NO ENCONTRADO</v>
      </c>
      <c r="F639" s="36" t="str">
        <f>IFERROR(VLOOKUP(C639,#REF!, 3, FALSE), "NO ENCONTRADO")</f>
        <v>NO ENCONTRADO</v>
      </c>
      <c r="G639" s="36" t="str">
        <f>IFERROR(VLOOKUP(C639,#REF!, 4, FALSE), "NO ENCONTRADO")</f>
        <v>NO ENCONTRADO</v>
      </c>
      <c r="H639" s="36" t="str">
        <f>IFERROR(VLOOKUP(C639,#REF!, 5, FALSE), "NO ENCONTRADO")</f>
        <v>NO ENCONTRADO</v>
      </c>
      <c r="I639" s="15"/>
      <c r="J639" s="36"/>
      <c r="K639" s="42"/>
      <c r="L639" s="15"/>
      <c r="M639" s="39">
        <f t="shared" ca="1" si="0"/>
        <v>46026</v>
      </c>
      <c r="N639" s="40" t="str">
        <f t="shared" ca="1" si="1"/>
        <v>✅</v>
      </c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spans="1:28" ht="13" x14ac:dyDescent="0.15">
      <c r="A640" s="24">
        <f>'Scan to Sheets'!A640</f>
        <v>0</v>
      </c>
      <c r="B640" s="26">
        <f>'Scan to Sheets'!B640</f>
        <v>0</v>
      </c>
      <c r="C640" s="26">
        <f>'Scan to Sheets'!C640</f>
        <v>0</v>
      </c>
      <c r="D640" s="26">
        <f>'Scan to Sheets'!D640</f>
        <v>0</v>
      </c>
      <c r="E640" s="27" t="str">
        <f>IFERROR(VLOOKUP(C640,#REF!, 2, FALSE), "NO ENCONTRADO")</f>
        <v>NO ENCONTRADO</v>
      </c>
      <c r="F640" s="27" t="str">
        <f>IFERROR(VLOOKUP(C640,#REF!, 3, FALSE), "NO ENCONTRADO")</f>
        <v>NO ENCONTRADO</v>
      </c>
      <c r="G640" s="27" t="str">
        <f>IFERROR(VLOOKUP(C640,#REF!, 4, FALSE), "NO ENCONTRADO")</f>
        <v>NO ENCONTRADO</v>
      </c>
      <c r="H640" s="27" t="str">
        <f>IFERROR(VLOOKUP(C640,#REF!, 5, FALSE), "NO ENCONTRADO")</f>
        <v>NO ENCONTRADO</v>
      </c>
      <c r="I640" s="14"/>
      <c r="J640" s="27"/>
      <c r="K640" s="41"/>
      <c r="L640" s="14"/>
      <c r="M640" s="30">
        <f t="shared" ca="1" si="0"/>
        <v>46026</v>
      </c>
      <c r="N640" s="31" t="str">
        <f t="shared" ca="1" si="1"/>
        <v>✅</v>
      </c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 spans="1:28" ht="13" x14ac:dyDescent="0.15">
      <c r="A641" s="33">
        <f>'Scan to Sheets'!A641</f>
        <v>0</v>
      </c>
      <c r="B641" s="35">
        <f>'Scan to Sheets'!B641</f>
        <v>0</v>
      </c>
      <c r="C641" s="35">
        <f>'Scan to Sheets'!C641</f>
        <v>0</v>
      </c>
      <c r="D641" s="35">
        <f>'Scan to Sheets'!D641</f>
        <v>0</v>
      </c>
      <c r="E641" s="36" t="str">
        <f>IFERROR(VLOOKUP(C641,#REF!, 2, FALSE), "NO ENCONTRADO")</f>
        <v>NO ENCONTRADO</v>
      </c>
      <c r="F641" s="36" t="str">
        <f>IFERROR(VLOOKUP(C641,#REF!, 3, FALSE), "NO ENCONTRADO")</f>
        <v>NO ENCONTRADO</v>
      </c>
      <c r="G641" s="36" t="str">
        <f>IFERROR(VLOOKUP(C641,#REF!, 4, FALSE), "NO ENCONTRADO")</f>
        <v>NO ENCONTRADO</v>
      </c>
      <c r="H641" s="36" t="str">
        <f>IFERROR(VLOOKUP(C641,#REF!, 5, FALSE), "NO ENCONTRADO")</f>
        <v>NO ENCONTRADO</v>
      </c>
      <c r="I641" s="15"/>
      <c r="J641" s="36"/>
      <c r="K641" s="42"/>
      <c r="L641" s="15"/>
      <c r="M641" s="39">
        <f t="shared" ca="1" si="0"/>
        <v>46026</v>
      </c>
      <c r="N641" s="40" t="str">
        <f t="shared" ca="1" si="1"/>
        <v>✅</v>
      </c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 spans="1:28" ht="13" x14ac:dyDescent="0.15">
      <c r="A642" s="24">
        <f>'Scan to Sheets'!A642</f>
        <v>0</v>
      </c>
      <c r="B642" s="26">
        <f>'Scan to Sheets'!B642</f>
        <v>0</v>
      </c>
      <c r="C642" s="26">
        <f>'Scan to Sheets'!C642</f>
        <v>0</v>
      </c>
      <c r="D642" s="26">
        <f>'Scan to Sheets'!D642</f>
        <v>0</v>
      </c>
      <c r="E642" s="27" t="str">
        <f>IFERROR(VLOOKUP(C642,#REF!, 2, FALSE), "NO ENCONTRADO")</f>
        <v>NO ENCONTRADO</v>
      </c>
      <c r="F642" s="27" t="str">
        <f>IFERROR(VLOOKUP(C642,#REF!, 3, FALSE), "NO ENCONTRADO")</f>
        <v>NO ENCONTRADO</v>
      </c>
      <c r="G642" s="27" t="str">
        <f>IFERROR(VLOOKUP(C642,#REF!, 4, FALSE), "NO ENCONTRADO")</f>
        <v>NO ENCONTRADO</v>
      </c>
      <c r="H642" s="27" t="str">
        <f>IFERROR(VLOOKUP(C642,#REF!, 5, FALSE), "NO ENCONTRADO")</f>
        <v>NO ENCONTRADO</v>
      </c>
      <c r="I642" s="14"/>
      <c r="J642" s="27"/>
      <c r="K642" s="41"/>
      <c r="L642" s="14"/>
      <c r="M642" s="30">
        <f t="shared" ca="1" si="0"/>
        <v>46026</v>
      </c>
      <c r="N642" s="31" t="str">
        <f t="shared" ca="1" si="1"/>
        <v>✅</v>
      </c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 spans="1:28" ht="13" x14ac:dyDescent="0.15">
      <c r="A643" s="33">
        <f>'Scan to Sheets'!A643</f>
        <v>0</v>
      </c>
      <c r="B643" s="35">
        <f>'Scan to Sheets'!B643</f>
        <v>0</v>
      </c>
      <c r="C643" s="35">
        <f>'Scan to Sheets'!C643</f>
        <v>0</v>
      </c>
      <c r="D643" s="35">
        <f>'Scan to Sheets'!D643</f>
        <v>0</v>
      </c>
      <c r="E643" s="36" t="str">
        <f>IFERROR(VLOOKUP(C643,#REF!, 2, FALSE), "NO ENCONTRADO")</f>
        <v>NO ENCONTRADO</v>
      </c>
      <c r="F643" s="36" t="str">
        <f>IFERROR(VLOOKUP(C643,#REF!, 3, FALSE), "NO ENCONTRADO")</f>
        <v>NO ENCONTRADO</v>
      </c>
      <c r="G643" s="36" t="str">
        <f>IFERROR(VLOOKUP(C643,#REF!, 4, FALSE), "NO ENCONTRADO")</f>
        <v>NO ENCONTRADO</v>
      </c>
      <c r="H643" s="36" t="str">
        <f>IFERROR(VLOOKUP(C643,#REF!, 5, FALSE), "NO ENCONTRADO")</f>
        <v>NO ENCONTRADO</v>
      </c>
      <c r="I643" s="15"/>
      <c r="J643" s="36"/>
      <c r="K643" s="42"/>
      <c r="L643" s="15"/>
      <c r="M643" s="39">
        <f t="shared" ca="1" si="0"/>
        <v>46026</v>
      </c>
      <c r="N643" s="40" t="str">
        <f t="shared" ca="1" si="1"/>
        <v>✅</v>
      </c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 spans="1:28" ht="13" x14ac:dyDescent="0.15">
      <c r="A644" s="24">
        <f>'Scan to Sheets'!A644</f>
        <v>0</v>
      </c>
      <c r="B644" s="26">
        <f>'Scan to Sheets'!B644</f>
        <v>0</v>
      </c>
      <c r="C644" s="26">
        <f>'Scan to Sheets'!C644</f>
        <v>0</v>
      </c>
      <c r="D644" s="26">
        <f>'Scan to Sheets'!D644</f>
        <v>0</v>
      </c>
      <c r="E644" s="27" t="str">
        <f>IFERROR(VLOOKUP(C644,#REF!, 2, FALSE), "NO ENCONTRADO")</f>
        <v>NO ENCONTRADO</v>
      </c>
      <c r="F644" s="27" t="str">
        <f>IFERROR(VLOOKUP(C644,#REF!, 3, FALSE), "NO ENCONTRADO")</f>
        <v>NO ENCONTRADO</v>
      </c>
      <c r="G644" s="27" t="str">
        <f>IFERROR(VLOOKUP(C644,#REF!, 4, FALSE), "NO ENCONTRADO")</f>
        <v>NO ENCONTRADO</v>
      </c>
      <c r="H644" s="27" t="str">
        <f>IFERROR(VLOOKUP(C644,#REF!, 5, FALSE), "NO ENCONTRADO")</f>
        <v>NO ENCONTRADO</v>
      </c>
      <c r="I644" s="14"/>
      <c r="J644" s="27"/>
      <c r="K644" s="41"/>
      <c r="L644" s="14"/>
      <c r="M644" s="30">
        <f t="shared" ca="1" si="0"/>
        <v>46026</v>
      </c>
      <c r="N644" s="31" t="str">
        <f t="shared" ca="1" si="1"/>
        <v>✅</v>
      </c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 spans="1:28" ht="13" x14ac:dyDescent="0.15">
      <c r="A645" s="33">
        <f>'Scan to Sheets'!A645</f>
        <v>0</v>
      </c>
      <c r="B645" s="35">
        <f>'Scan to Sheets'!B645</f>
        <v>0</v>
      </c>
      <c r="C645" s="35">
        <f>'Scan to Sheets'!C645</f>
        <v>0</v>
      </c>
      <c r="D645" s="35">
        <f>'Scan to Sheets'!D645</f>
        <v>0</v>
      </c>
      <c r="E645" s="36" t="str">
        <f>IFERROR(VLOOKUP(C645,#REF!, 2, FALSE), "NO ENCONTRADO")</f>
        <v>NO ENCONTRADO</v>
      </c>
      <c r="F645" s="36" t="str">
        <f>IFERROR(VLOOKUP(C645,#REF!, 3, FALSE), "NO ENCONTRADO")</f>
        <v>NO ENCONTRADO</v>
      </c>
      <c r="G645" s="36" t="str">
        <f>IFERROR(VLOOKUP(C645,#REF!, 4, FALSE), "NO ENCONTRADO")</f>
        <v>NO ENCONTRADO</v>
      </c>
      <c r="H645" s="36" t="str">
        <f>IFERROR(VLOOKUP(C645,#REF!, 5, FALSE), "NO ENCONTRADO")</f>
        <v>NO ENCONTRADO</v>
      </c>
      <c r="I645" s="15"/>
      <c r="J645" s="36"/>
      <c r="K645" s="42"/>
      <c r="L645" s="15"/>
      <c r="M645" s="39">
        <f t="shared" ca="1" si="0"/>
        <v>46026</v>
      </c>
      <c r="N645" s="40" t="str">
        <f t="shared" ca="1" si="1"/>
        <v>✅</v>
      </c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 spans="1:28" ht="13" x14ac:dyDescent="0.15">
      <c r="A646" s="24">
        <f>'Scan to Sheets'!A646</f>
        <v>0</v>
      </c>
      <c r="B646" s="26">
        <f>'Scan to Sheets'!B646</f>
        <v>0</v>
      </c>
      <c r="C646" s="26">
        <f>'Scan to Sheets'!C646</f>
        <v>0</v>
      </c>
      <c r="D646" s="26">
        <f>'Scan to Sheets'!D646</f>
        <v>0</v>
      </c>
      <c r="E646" s="27" t="str">
        <f>IFERROR(VLOOKUP(C646,#REF!, 2, FALSE), "NO ENCONTRADO")</f>
        <v>NO ENCONTRADO</v>
      </c>
      <c r="F646" s="27" t="str">
        <f>IFERROR(VLOOKUP(C646,#REF!, 3, FALSE), "NO ENCONTRADO")</f>
        <v>NO ENCONTRADO</v>
      </c>
      <c r="G646" s="27" t="str">
        <f>IFERROR(VLOOKUP(C646,#REF!, 4, FALSE), "NO ENCONTRADO")</f>
        <v>NO ENCONTRADO</v>
      </c>
      <c r="H646" s="27" t="str">
        <f>IFERROR(VLOOKUP(C646,#REF!, 5, FALSE), "NO ENCONTRADO")</f>
        <v>NO ENCONTRADO</v>
      </c>
      <c r="I646" s="14"/>
      <c r="J646" s="27"/>
      <c r="K646" s="41"/>
      <c r="L646" s="14"/>
      <c r="M646" s="30">
        <f t="shared" ca="1" si="0"/>
        <v>46026</v>
      </c>
      <c r="N646" s="31" t="str">
        <f t="shared" ca="1" si="1"/>
        <v>✅</v>
      </c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 spans="1:28" ht="13" x14ac:dyDescent="0.15">
      <c r="A647" s="33">
        <f>'Scan to Sheets'!A647</f>
        <v>0</v>
      </c>
      <c r="B647" s="35">
        <f>'Scan to Sheets'!B647</f>
        <v>0</v>
      </c>
      <c r="C647" s="35">
        <f>'Scan to Sheets'!C647</f>
        <v>0</v>
      </c>
      <c r="D647" s="35">
        <f>'Scan to Sheets'!D647</f>
        <v>0</v>
      </c>
      <c r="E647" s="36" t="str">
        <f>IFERROR(VLOOKUP(C647,#REF!, 2, FALSE), "NO ENCONTRADO")</f>
        <v>NO ENCONTRADO</v>
      </c>
      <c r="F647" s="36" t="str">
        <f>IFERROR(VLOOKUP(C647,#REF!, 3, FALSE), "NO ENCONTRADO")</f>
        <v>NO ENCONTRADO</v>
      </c>
      <c r="G647" s="36" t="str">
        <f>IFERROR(VLOOKUP(C647,#REF!, 4, FALSE), "NO ENCONTRADO")</f>
        <v>NO ENCONTRADO</v>
      </c>
      <c r="H647" s="36" t="str">
        <f>IFERROR(VLOOKUP(C647,#REF!, 5, FALSE), "NO ENCONTRADO")</f>
        <v>NO ENCONTRADO</v>
      </c>
      <c r="I647" s="15"/>
      <c r="J647" s="36"/>
      <c r="K647" s="42"/>
      <c r="L647" s="15"/>
      <c r="M647" s="39">
        <f t="shared" ca="1" si="0"/>
        <v>46026</v>
      </c>
      <c r="N647" s="40" t="str">
        <f t="shared" ca="1" si="1"/>
        <v>✅</v>
      </c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 spans="1:28" ht="13" x14ac:dyDescent="0.15">
      <c r="A648" s="24">
        <f>'Scan to Sheets'!A648</f>
        <v>0</v>
      </c>
      <c r="B648" s="26">
        <f>'Scan to Sheets'!B648</f>
        <v>0</v>
      </c>
      <c r="C648" s="26">
        <f>'Scan to Sheets'!C648</f>
        <v>0</v>
      </c>
      <c r="D648" s="26">
        <f>'Scan to Sheets'!D648</f>
        <v>0</v>
      </c>
      <c r="E648" s="27" t="str">
        <f>IFERROR(VLOOKUP(C648,#REF!, 2, FALSE), "NO ENCONTRADO")</f>
        <v>NO ENCONTRADO</v>
      </c>
      <c r="F648" s="27" t="str">
        <f>IFERROR(VLOOKUP(C648,#REF!, 3, FALSE), "NO ENCONTRADO")</f>
        <v>NO ENCONTRADO</v>
      </c>
      <c r="G648" s="27" t="str">
        <f>IFERROR(VLOOKUP(C648,#REF!, 4, FALSE), "NO ENCONTRADO")</f>
        <v>NO ENCONTRADO</v>
      </c>
      <c r="H648" s="27" t="str">
        <f>IFERROR(VLOOKUP(C648,#REF!, 5, FALSE), "NO ENCONTRADO")</f>
        <v>NO ENCONTRADO</v>
      </c>
      <c r="I648" s="14"/>
      <c r="J648" s="27"/>
      <c r="K648" s="41"/>
      <c r="L648" s="14"/>
      <c r="M648" s="30">
        <f t="shared" ca="1" si="0"/>
        <v>46026</v>
      </c>
      <c r="N648" s="31" t="str">
        <f t="shared" ca="1" si="1"/>
        <v>✅</v>
      </c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 spans="1:28" ht="13" x14ac:dyDescent="0.15">
      <c r="A649" s="33">
        <f>'Scan to Sheets'!A649</f>
        <v>0</v>
      </c>
      <c r="B649" s="35">
        <f>'Scan to Sheets'!B649</f>
        <v>0</v>
      </c>
      <c r="C649" s="35">
        <f>'Scan to Sheets'!C649</f>
        <v>0</v>
      </c>
      <c r="D649" s="35">
        <f>'Scan to Sheets'!D649</f>
        <v>0</v>
      </c>
      <c r="E649" s="36" t="str">
        <f>IFERROR(VLOOKUP(C649,#REF!, 2, FALSE), "NO ENCONTRADO")</f>
        <v>NO ENCONTRADO</v>
      </c>
      <c r="F649" s="36" t="str">
        <f>IFERROR(VLOOKUP(C649,#REF!, 3, FALSE), "NO ENCONTRADO")</f>
        <v>NO ENCONTRADO</v>
      </c>
      <c r="G649" s="36" t="str">
        <f>IFERROR(VLOOKUP(C649,#REF!, 4, FALSE), "NO ENCONTRADO")</f>
        <v>NO ENCONTRADO</v>
      </c>
      <c r="H649" s="36" t="str">
        <f>IFERROR(VLOOKUP(C649,#REF!, 5, FALSE), "NO ENCONTRADO")</f>
        <v>NO ENCONTRADO</v>
      </c>
      <c r="I649" s="15"/>
      <c r="J649" s="36"/>
      <c r="K649" s="42"/>
      <c r="L649" s="15"/>
      <c r="M649" s="39">
        <f t="shared" ca="1" si="0"/>
        <v>46026</v>
      </c>
      <c r="N649" s="40" t="str">
        <f t="shared" ca="1" si="1"/>
        <v>✅</v>
      </c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 spans="1:28" ht="13" x14ac:dyDescent="0.15">
      <c r="A650" s="24">
        <f>'Scan to Sheets'!A650</f>
        <v>0</v>
      </c>
      <c r="B650" s="26">
        <f>'Scan to Sheets'!B650</f>
        <v>0</v>
      </c>
      <c r="C650" s="26">
        <f>'Scan to Sheets'!C650</f>
        <v>0</v>
      </c>
      <c r="D650" s="26">
        <f>'Scan to Sheets'!D650</f>
        <v>0</v>
      </c>
      <c r="E650" s="27" t="str">
        <f>IFERROR(VLOOKUP(C650,#REF!, 2, FALSE), "NO ENCONTRADO")</f>
        <v>NO ENCONTRADO</v>
      </c>
      <c r="F650" s="27" t="str">
        <f>IFERROR(VLOOKUP(C650,#REF!, 3, FALSE), "NO ENCONTRADO")</f>
        <v>NO ENCONTRADO</v>
      </c>
      <c r="G650" s="27" t="str">
        <f>IFERROR(VLOOKUP(C650,#REF!, 4, FALSE), "NO ENCONTRADO")</f>
        <v>NO ENCONTRADO</v>
      </c>
      <c r="H650" s="27" t="str">
        <f>IFERROR(VLOOKUP(C650,#REF!, 5, FALSE), "NO ENCONTRADO")</f>
        <v>NO ENCONTRADO</v>
      </c>
      <c r="I650" s="14"/>
      <c r="J650" s="27"/>
      <c r="K650" s="41"/>
      <c r="L650" s="14"/>
      <c r="M650" s="30">
        <f t="shared" ca="1" si="0"/>
        <v>46026</v>
      </c>
      <c r="N650" s="31" t="str">
        <f t="shared" ca="1" si="1"/>
        <v>✅</v>
      </c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 spans="1:28" ht="13" x14ac:dyDescent="0.15">
      <c r="A651" s="33">
        <f>'Scan to Sheets'!A651</f>
        <v>0</v>
      </c>
      <c r="B651" s="35">
        <f>'Scan to Sheets'!B651</f>
        <v>0</v>
      </c>
      <c r="C651" s="35">
        <f>'Scan to Sheets'!C651</f>
        <v>0</v>
      </c>
      <c r="D651" s="35">
        <f>'Scan to Sheets'!D651</f>
        <v>0</v>
      </c>
      <c r="E651" s="36" t="str">
        <f>IFERROR(VLOOKUP(C651,#REF!, 2, FALSE), "NO ENCONTRADO")</f>
        <v>NO ENCONTRADO</v>
      </c>
      <c r="F651" s="36" t="str">
        <f>IFERROR(VLOOKUP(C651,#REF!, 3, FALSE), "NO ENCONTRADO")</f>
        <v>NO ENCONTRADO</v>
      </c>
      <c r="G651" s="36" t="str">
        <f>IFERROR(VLOOKUP(C651,#REF!, 4, FALSE), "NO ENCONTRADO")</f>
        <v>NO ENCONTRADO</v>
      </c>
      <c r="H651" s="36" t="str">
        <f>IFERROR(VLOOKUP(C651,#REF!, 5, FALSE), "NO ENCONTRADO")</f>
        <v>NO ENCONTRADO</v>
      </c>
      <c r="I651" s="15"/>
      <c r="J651" s="36"/>
      <c r="K651" s="42"/>
      <c r="L651" s="15"/>
      <c r="M651" s="39">
        <f t="shared" ca="1" si="0"/>
        <v>46026</v>
      </c>
      <c r="N651" s="40" t="str">
        <f t="shared" ca="1" si="1"/>
        <v>✅</v>
      </c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spans="1:28" ht="13" x14ac:dyDescent="0.15">
      <c r="A652" s="24">
        <f>'Scan to Sheets'!A652</f>
        <v>0</v>
      </c>
      <c r="B652" s="26">
        <f>'Scan to Sheets'!B652</f>
        <v>0</v>
      </c>
      <c r="C652" s="26">
        <f>'Scan to Sheets'!C652</f>
        <v>0</v>
      </c>
      <c r="D652" s="26">
        <f>'Scan to Sheets'!D652</f>
        <v>0</v>
      </c>
      <c r="E652" s="27" t="str">
        <f>IFERROR(VLOOKUP(C652,#REF!, 2, FALSE), "NO ENCONTRADO")</f>
        <v>NO ENCONTRADO</v>
      </c>
      <c r="F652" s="27" t="str">
        <f>IFERROR(VLOOKUP(C652,#REF!, 3, FALSE), "NO ENCONTRADO")</f>
        <v>NO ENCONTRADO</v>
      </c>
      <c r="G652" s="27" t="str">
        <f>IFERROR(VLOOKUP(C652,#REF!, 4, FALSE), "NO ENCONTRADO")</f>
        <v>NO ENCONTRADO</v>
      </c>
      <c r="H652" s="27" t="str">
        <f>IFERROR(VLOOKUP(C652,#REF!, 5, FALSE), "NO ENCONTRADO")</f>
        <v>NO ENCONTRADO</v>
      </c>
      <c r="I652" s="14"/>
      <c r="J652" s="27"/>
      <c r="K652" s="41"/>
      <c r="L652" s="14"/>
      <c r="M652" s="30">
        <f t="shared" ca="1" si="0"/>
        <v>46026</v>
      </c>
      <c r="N652" s="31" t="str">
        <f t="shared" ca="1" si="1"/>
        <v>✅</v>
      </c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spans="1:28" ht="13" x14ac:dyDescent="0.15">
      <c r="A653" s="33">
        <f>'Scan to Sheets'!A653</f>
        <v>0</v>
      </c>
      <c r="B653" s="35">
        <f>'Scan to Sheets'!B653</f>
        <v>0</v>
      </c>
      <c r="C653" s="35">
        <f>'Scan to Sheets'!C653</f>
        <v>0</v>
      </c>
      <c r="D653" s="35">
        <f>'Scan to Sheets'!D653</f>
        <v>0</v>
      </c>
      <c r="E653" s="36" t="str">
        <f>IFERROR(VLOOKUP(C653,#REF!, 2, FALSE), "NO ENCONTRADO")</f>
        <v>NO ENCONTRADO</v>
      </c>
      <c r="F653" s="36" t="str">
        <f>IFERROR(VLOOKUP(C653,#REF!, 3, FALSE), "NO ENCONTRADO")</f>
        <v>NO ENCONTRADO</v>
      </c>
      <c r="G653" s="36" t="str">
        <f>IFERROR(VLOOKUP(C653,#REF!, 4, FALSE), "NO ENCONTRADO")</f>
        <v>NO ENCONTRADO</v>
      </c>
      <c r="H653" s="36" t="str">
        <f>IFERROR(VLOOKUP(C653,#REF!, 5, FALSE), "NO ENCONTRADO")</f>
        <v>NO ENCONTRADO</v>
      </c>
      <c r="I653" s="15"/>
      <c r="J653" s="36"/>
      <c r="K653" s="42"/>
      <c r="L653" s="15"/>
      <c r="M653" s="39">
        <f t="shared" ca="1" si="0"/>
        <v>46026</v>
      </c>
      <c r="N653" s="40" t="str">
        <f t="shared" ca="1" si="1"/>
        <v>✅</v>
      </c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spans="1:28" ht="13" x14ac:dyDescent="0.15">
      <c r="A654" s="24">
        <f>'Scan to Sheets'!A654</f>
        <v>0</v>
      </c>
      <c r="B654" s="26">
        <f>'Scan to Sheets'!B654</f>
        <v>0</v>
      </c>
      <c r="C654" s="26">
        <f>'Scan to Sheets'!C654</f>
        <v>0</v>
      </c>
      <c r="D654" s="26">
        <f>'Scan to Sheets'!D654</f>
        <v>0</v>
      </c>
      <c r="E654" s="27" t="str">
        <f>IFERROR(VLOOKUP(C654,#REF!, 2, FALSE), "NO ENCONTRADO")</f>
        <v>NO ENCONTRADO</v>
      </c>
      <c r="F654" s="27" t="str">
        <f>IFERROR(VLOOKUP(C654,#REF!, 3, FALSE), "NO ENCONTRADO")</f>
        <v>NO ENCONTRADO</v>
      </c>
      <c r="G654" s="27" t="str">
        <f>IFERROR(VLOOKUP(C654,#REF!, 4, FALSE), "NO ENCONTRADO")</f>
        <v>NO ENCONTRADO</v>
      </c>
      <c r="H654" s="27" t="str">
        <f>IFERROR(VLOOKUP(C654,#REF!, 5, FALSE), "NO ENCONTRADO")</f>
        <v>NO ENCONTRADO</v>
      </c>
      <c r="I654" s="14"/>
      <c r="J654" s="27"/>
      <c r="K654" s="41"/>
      <c r="L654" s="14"/>
      <c r="M654" s="30">
        <f t="shared" ca="1" si="0"/>
        <v>46026</v>
      </c>
      <c r="N654" s="31" t="str">
        <f t="shared" ca="1" si="1"/>
        <v>✅</v>
      </c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spans="1:28" ht="13" x14ac:dyDescent="0.15">
      <c r="A655" s="33">
        <f>'Scan to Sheets'!A655</f>
        <v>0</v>
      </c>
      <c r="B655" s="35">
        <f>'Scan to Sheets'!B655</f>
        <v>0</v>
      </c>
      <c r="C655" s="35">
        <f>'Scan to Sheets'!C655</f>
        <v>0</v>
      </c>
      <c r="D655" s="35">
        <f>'Scan to Sheets'!D655</f>
        <v>0</v>
      </c>
      <c r="E655" s="36" t="str">
        <f>IFERROR(VLOOKUP(C655,#REF!, 2, FALSE), "NO ENCONTRADO")</f>
        <v>NO ENCONTRADO</v>
      </c>
      <c r="F655" s="36" t="str">
        <f>IFERROR(VLOOKUP(C655,#REF!, 3, FALSE), "NO ENCONTRADO")</f>
        <v>NO ENCONTRADO</v>
      </c>
      <c r="G655" s="36" t="str">
        <f>IFERROR(VLOOKUP(C655,#REF!, 4, FALSE), "NO ENCONTRADO")</f>
        <v>NO ENCONTRADO</v>
      </c>
      <c r="H655" s="36" t="str">
        <f>IFERROR(VLOOKUP(C655,#REF!, 5, FALSE), "NO ENCONTRADO")</f>
        <v>NO ENCONTRADO</v>
      </c>
      <c r="I655" s="15"/>
      <c r="J655" s="36"/>
      <c r="K655" s="42"/>
      <c r="L655" s="15"/>
      <c r="M655" s="39">
        <f t="shared" ca="1" si="0"/>
        <v>46026</v>
      </c>
      <c r="N655" s="40" t="str">
        <f t="shared" ca="1" si="1"/>
        <v>✅</v>
      </c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spans="1:28" ht="13" x14ac:dyDescent="0.15">
      <c r="A656" s="24">
        <f>'Scan to Sheets'!A656</f>
        <v>0</v>
      </c>
      <c r="B656" s="26">
        <f>'Scan to Sheets'!B656</f>
        <v>0</v>
      </c>
      <c r="C656" s="26">
        <f>'Scan to Sheets'!C656</f>
        <v>0</v>
      </c>
      <c r="D656" s="26">
        <f>'Scan to Sheets'!D656</f>
        <v>0</v>
      </c>
      <c r="E656" s="27" t="str">
        <f>IFERROR(VLOOKUP(C656,#REF!, 2, FALSE), "NO ENCONTRADO")</f>
        <v>NO ENCONTRADO</v>
      </c>
      <c r="F656" s="27" t="str">
        <f>IFERROR(VLOOKUP(C656,#REF!, 3, FALSE), "NO ENCONTRADO")</f>
        <v>NO ENCONTRADO</v>
      </c>
      <c r="G656" s="27" t="str">
        <f>IFERROR(VLOOKUP(C656,#REF!, 4, FALSE), "NO ENCONTRADO")</f>
        <v>NO ENCONTRADO</v>
      </c>
      <c r="H656" s="27" t="str">
        <f>IFERROR(VLOOKUP(C656,#REF!, 5, FALSE), "NO ENCONTRADO")</f>
        <v>NO ENCONTRADO</v>
      </c>
      <c r="I656" s="14"/>
      <c r="J656" s="27"/>
      <c r="K656" s="41"/>
      <c r="L656" s="14"/>
      <c r="M656" s="30">
        <f t="shared" ca="1" si="0"/>
        <v>46026</v>
      </c>
      <c r="N656" s="31" t="str">
        <f t="shared" ca="1" si="1"/>
        <v>✅</v>
      </c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spans="1:28" ht="13" x14ac:dyDescent="0.15">
      <c r="A657" s="33">
        <f>'Scan to Sheets'!A657</f>
        <v>0</v>
      </c>
      <c r="B657" s="35">
        <f>'Scan to Sheets'!B657</f>
        <v>0</v>
      </c>
      <c r="C657" s="35">
        <f>'Scan to Sheets'!C657</f>
        <v>0</v>
      </c>
      <c r="D657" s="35">
        <f>'Scan to Sheets'!D657</f>
        <v>0</v>
      </c>
      <c r="E657" s="36" t="str">
        <f>IFERROR(VLOOKUP(C657,#REF!, 2, FALSE), "NO ENCONTRADO")</f>
        <v>NO ENCONTRADO</v>
      </c>
      <c r="F657" s="36" t="str">
        <f>IFERROR(VLOOKUP(C657,#REF!, 3, FALSE), "NO ENCONTRADO")</f>
        <v>NO ENCONTRADO</v>
      </c>
      <c r="G657" s="36" t="str">
        <f>IFERROR(VLOOKUP(C657,#REF!, 4, FALSE), "NO ENCONTRADO")</f>
        <v>NO ENCONTRADO</v>
      </c>
      <c r="H657" s="36" t="str">
        <f>IFERROR(VLOOKUP(C657,#REF!, 5, FALSE), "NO ENCONTRADO")</f>
        <v>NO ENCONTRADO</v>
      </c>
      <c r="I657" s="15"/>
      <c r="J657" s="36"/>
      <c r="K657" s="42"/>
      <c r="L657" s="15"/>
      <c r="M657" s="39">
        <f t="shared" ca="1" si="0"/>
        <v>46026</v>
      </c>
      <c r="N657" s="40" t="str">
        <f t="shared" ca="1" si="1"/>
        <v>✅</v>
      </c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spans="1:28" ht="13" x14ac:dyDescent="0.15">
      <c r="A658" s="24">
        <f>'Scan to Sheets'!A658</f>
        <v>0</v>
      </c>
      <c r="B658" s="26">
        <f>'Scan to Sheets'!B658</f>
        <v>0</v>
      </c>
      <c r="C658" s="26">
        <f>'Scan to Sheets'!C658</f>
        <v>0</v>
      </c>
      <c r="D658" s="26">
        <f>'Scan to Sheets'!D658</f>
        <v>0</v>
      </c>
      <c r="E658" s="27" t="str">
        <f>IFERROR(VLOOKUP(C658,#REF!, 2, FALSE), "NO ENCONTRADO")</f>
        <v>NO ENCONTRADO</v>
      </c>
      <c r="F658" s="27" t="str">
        <f>IFERROR(VLOOKUP(C658,#REF!, 3, FALSE), "NO ENCONTRADO")</f>
        <v>NO ENCONTRADO</v>
      </c>
      <c r="G658" s="27" t="str">
        <f>IFERROR(VLOOKUP(C658,#REF!, 4, FALSE), "NO ENCONTRADO")</f>
        <v>NO ENCONTRADO</v>
      </c>
      <c r="H658" s="27" t="str">
        <f>IFERROR(VLOOKUP(C658,#REF!, 5, FALSE), "NO ENCONTRADO")</f>
        <v>NO ENCONTRADO</v>
      </c>
      <c r="I658" s="14"/>
      <c r="J658" s="27"/>
      <c r="K658" s="41"/>
      <c r="L658" s="14"/>
      <c r="M658" s="30">
        <f t="shared" ca="1" si="0"/>
        <v>46026</v>
      </c>
      <c r="N658" s="31" t="str">
        <f t="shared" ca="1" si="1"/>
        <v>✅</v>
      </c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spans="1:28" ht="13" x14ac:dyDescent="0.15">
      <c r="A659" s="33">
        <f>'Scan to Sheets'!A659</f>
        <v>0</v>
      </c>
      <c r="B659" s="35">
        <f>'Scan to Sheets'!B659</f>
        <v>0</v>
      </c>
      <c r="C659" s="35">
        <f>'Scan to Sheets'!C659</f>
        <v>0</v>
      </c>
      <c r="D659" s="35">
        <f>'Scan to Sheets'!D659</f>
        <v>0</v>
      </c>
      <c r="E659" s="36" t="str">
        <f>IFERROR(VLOOKUP(C659,#REF!, 2, FALSE), "NO ENCONTRADO")</f>
        <v>NO ENCONTRADO</v>
      </c>
      <c r="F659" s="36" t="str">
        <f>IFERROR(VLOOKUP(C659,#REF!, 3, FALSE), "NO ENCONTRADO")</f>
        <v>NO ENCONTRADO</v>
      </c>
      <c r="G659" s="36" t="str">
        <f>IFERROR(VLOOKUP(C659,#REF!, 4, FALSE), "NO ENCONTRADO")</f>
        <v>NO ENCONTRADO</v>
      </c>
      <c r="H659" s="36" t="str">
        <f>IFERROR(VLOOKUP(C659,#REF!, 5, FALSE), "NO ENCONTRADO")</f>
        <v>NO ENCONTRADO</v>
      </c>
      <c r="I659" s="15"/>
      <c r="J659" s="36"/>
      <c r="K659" s="42"/>
      <c r="L659" s="15"/>
      <c r="M659" s="39">
        <f t="shared" ca="1" si="0"/>
        <v>46026</v>
      </c>
      <c r="N659" s="40" t="str">
        <f t="shared" ca="1" si="1"/>
        <v>✅</v>
      </c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spans="1:28" ht="13" x14ac:dyDescent="0.15">
      <c r="A660" s="24">
        <f>'Scan to Sheets'!A660</f>
        <v>0</v>
      </c>
      <c r="B660" s="26">
        <f>'Scan to Sheets'!B660</f>
        <v>0</v>
      </c>
      <c r="C660" s="26">
        <f>'Scan to Sheets'!C660</f>
        <v>0</v>
      </c>
      <c r="D660" s="26">
        <f>'Scan to Sheets'!D660</f>
        <v>0</v>
      </c>
      <c r="E660" s="27" t="str">
        <f>IFERROR(VLOOKUP(C660,#REF!, 2, FALSE), "NO ENCONTRADO")</f>
        <v>NO ENCONTRADO</v>
      </c>
      <c r="F660" s="27" t="str">
        <f>IFERROR(VLOOKUP(C660,#REF!, 3, FALSE), "NO ENCONTRADO")</f>
        <v>NO ENCONTRADO</v>
      </c>
      <c r="G660" s="27" t="str">
        <f>IFERROR(VLOOKUP(C660,#REF!, 4, FALSE), "NO ENCONTRADO")</f>
        <v>NO ENCONTRADO</v>
      </c>
      <c r="H660" s="27" t="str">
        <f>IFERROR(VLOOKUP(C660,#REF!, 5, FALSE), "NO ENCONTRADO")</f>
        <v>NO ENCONTRADO</v>
      </c>
      <c r="I660" s="14"/>
      <c r="J660" s="27"/>
      <c r="K660" s="41"/>
      <c r="L660" s="14"/>
      <c r="M660" s="30">
        <f t="shared" ca="1" si="0"/>
        <v>46026</v>
      </c>
      <c r="N660" s="31" t="str">
        <f t="shared" ca="1" si="1"/>
        <v>✅</v>
      </c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spans="1:28" ht="13" x14ac:dyDescent="0.15">
      <c r="A661" s="33">
        <f>'Scan to Sheets'!A661</f>
        <v>0</v>
      </c>
      <c r="B661" s="35">
        <f>'Scan to Sheets'!B661</f>
        <v>0</v>
      </c>
      <c r="C661" s="35">
        <f>'Scan to Sheets'!C661</f>
        <v>0</v>
      </c>
      <c r="D661" s="35">
        <f>'Scan to Sheets'!D661</f>
        <v>0</v>
      </c>
      <c r="E661" s="36" t="str">
        <f>IFERROR(VLOOKUP(C661,#REF!, 2, FALSE), "NO ENCONTRADO")</f>
        <v>NO ENCONTRADO</v>
      </c>
      <c r="F661" s="36" t="str">
        <f>IFERROR(VLOOKUP(C661,#REF!, 3, FALSE), "NO ENCONTRADO")</f>
        <v>NO ENCONTRADO</v>
      </c>
      <c r="G661" s="36" t="str">
        <f>IFERROR(VLOOKUP(C661,#REF!, 4, FALSE), "NO ENCONTRADO")</f>
        <v>NO ENCONTRADO</v>
      </c>
      <c r="H661" s="36" t="str">
        <f>IFERROR(VLOOKUP(C661,#REF!, 5, FALSE), "NO ENCONTRADO")</f>
        <v>NO ENCONTRADO</v>
      </c>
      <c r="I661" s="15"/>
      <c r="J661" s="36"/>
      <c r="K661" s="42"/>
      <c r="L661" s="15"/>
      <c r="M661" s="39">
        <f t="shared" ca="1" si="0"/>
        <v>46026</v>
      </c>
      <c r="N661" s="40" t="str">
        <f t="shared" ca="1" si="1"/>
        <v>✅</v>
      </c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spans="1:28" ht="13" x14ac:dyDescent="0.15">
      <c r="A662" s="24">
        <f>'Scan to Sheets'!A662</f>
        <v>0</v>
      </c>
      <c r="B662" s="26">
        <f>'Scan to Sheets'!B662</f>
        <v>0</v>
      </c>
      <c r="C662" s="26">
        <f>'Scan to Sheets'!C662</f>
        <v>0</v>
      </c>
      <c r="D662" s="26">
        <f>'Scan to Sheets'!D662</f>
        <v>0</v>
      </c>
      <c r="E662" s="27" t="str">
        <f>IFERROR(VLOOKUP(C662,#REF!, 2, FALSE), "NO ENCONTRADO")</f>
        <v>NO ENCONTRADO</v>
      </c>
      <c r="F662" s="27" t="str">
        <f>IFERROR(VLOOKUP(C662,#REF!, 3, FALSE), "NO ENCONTRADO")</f>
        <v>NO ENCONTRADO</v>
      </c>
      <c r="G662" s="27" t="str">
        <f>IFERROR(VLOOKUP(C662,#REF!, 4, FALSE), "NO ENCONTRADO")</f>
        <v>NO ENCONTRADO</v>
      </c>
      <c r="H662" s="27" t="str">
        <f>IFERROR(VLOOKUP(C662,#REF!, 5, FALSE), "NO ENCONTRADO")</f>
        <v>NO ENCONTRADO</v>
      </c>
      <c r="I662" s="14"/>
      <c r="J662" s="27"/>
      <c r="K662" s="41"/>
      <c r="L662" s="14"/>
      <c r="M662" s="30">
        <f t="shared" ca="1" si="0"/>
        <v>46026</v>
      </c>
      <c r="N662" s="31" t="str">
        <f t="shared" ca="1" si="1"/>
        <v>✅</v>
      </c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spans="1:28" ht="13" x14ac:dyDescent="0.15">
      <c r="A663" s="33">
        <f>'Scan to Sheets'!A663</f>
        <v>0</v>
      </c>
      <c r="B663" s="35">
        <f>'Scan to Sheets'!B663</f>
        <v>0</v>
      </c>
      <c r="C663" s="35">
        <f>'Scan to Sheets'!C663</f>
        <v>0</v>
      </c>
      <c r="D663" s="35">
        <f>'Scan to Sheets'!D663</f>
        <v>0</v>
      </c>
      <c r="E663" s="36" t="str">
        <f>IFERROR(VLOOKUP(C663,#REF!, 2, FALSE), "NO ENCONTRADO")</f>
        <v>NO ENCONTRADO</v>
      </c>
      <c r="F663" s="36" t="str">
        <f>IFERROR(VLOOKUP(C663,#REF!, 3, FALSE), "NO ENCONTRADO")</f>
        <v>NO ENCONTRADO</v>
      </c>
      <c r="G663" s="36" t="str">
        <f>IFERROR(VLOOKUP(C663,#REF!, 4, FALSE), "NO ENCONTRADO")</f>
        <v>NO ENCONTRADO</v>
      </c>
      <c r="H663" s="36" t="str">
        <f>IFERROR(VLOOKUP(C663,#REF!, 5, FALSE), "NO ENCONTRADO")</f>
        <v>NO ENCONTRADO</v>
      </c>
      <c r="I663" s="15"/>
      <c r="J663" s="36"/>
      <c r="K663" s="42"/>
      <c r="L663" s="15"/>
      <c r="M663" s="39">
        <f t="shared" ca="1" si="0"/>
        <v>46026</v>
      </c>
      <c r="N663" s="40" t="str">
        <f t="shared" ca="1" si="1"/>
        <v>✅</v>
      </c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spans="1:28" ht="13" x14ac:dyDescent="0.15">
      <c r="A664" s="24">
        <f>'Scan to Sheets'!A664</f>
        <v>0</v>
      </c>
      <c r="B664" s="26">
        <f>'Scan to Sheets'!B664</f>
        <v>0</v>
      </c>
      <c r="C664" s="26">
        <f>'Scan to Sheets'!C664</f>
        <v>0</v>
      </c>
      <c r="D664" s="26">
        <f>'Scan to Sheets'!D664</f>
        <v>0</v>
      </c>
      <c r="E664" s="27" t="str">
        <f>IFERROR(VLOOKUP(C664,#REF!, 2, FALSE), "NO ENCONTRADO")</f>
        <v>NO ENCONTRADO</v>
      </c>
      <c r="F664" s="27" t="str">
        <f>IFERROR(VLOOKUP(C664,#REF!, 3, FALSE), "NO ENCONTRADO")</f>
        <v>NO ENCONTRADO</v>
      </c>
      <c r="G664" s="27" t="str">
        <f>IFERROR(VLOOKUP(C664,#REF!, 4, FALSE), "NO ENCONTRADO")</f>
        <v>NO ENCONTRADO</v>
      </c>
      <c r="H664" s="27" t="str">
        <f>IFERROR(VLOOKUP(C664,#REF!, 5, FALSE), "NO ENCONTRADO")</f>
        <v>NO ENCONTRADO</v>
      </c>
      <c r="I664" s="14"/>
      <c r="J664" s="27"/>
      <c r="K664" s="41"/>
      <c r="L664" s="14"/>
      <c r="M664" s="30">
        <f t="shared" ca="1" si="0"/>
        <v>46026</v>
      </c>
      <c r="N664" s="31" t="str">
        <f t="shared" ca="1" si="1"/>
        <v>✅</v>
      </c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 spans="1:28" ht="13" x14ac:dyDescent="0.15">
      <c r="A665" s="33">
        <f>'Scan to Sheets'!A665</f>
        <v>0</v>
      </c>
      <c r="B665" s="35">
        <f>'Scan to Sheets'!B665</f>
        <v>0</v>
      </c>
      <c r="C665" s="35">
        <f>'Scan to Sheets'!C665</f>
        <v>0</v>
      </c>
      <c r="D665" s="35">
        <f>'Scan to Sheets'!D665</f>
        <v>0</v>
      </c>
      <c r="E665" s="36" t="str">
        <f>IFERROR(VLOOKUP(C665,#REF!, 2, FALSE), "NO ENCONTRADO")</f>
        <v>NO ENCONTRADO</v>
      </c>
      <c r="F665" s="36" t="str">
        <f>IFERROR(VLOOKUP(C665,#REF!, 3, FALSE), "NO ENCONTRADO")</f>
        <v>NO ENCONTRADO</v>
      </c>
      <c r="G665" s="36" t="str">
        <f>IFERROR(VLOOKUP(C665,#REF!, 4, FALSE), "NO ENCONTRADO")</f>
        <v>NO ENCONTRADO</v>
      </c>
      <c r="H665" s="36" t="str">
        <f>IFERROR(VLOOKUP(C665,#REF!, 5, FALSE), "NO ENCONTRADO")</f>
        <v>NO ENCONTRADO</v>
      </c>
      <c r="I665" s="15"/>
      <c r="J665" s="36"/>
      <c r="K665" s="42"/>
      <c r="L665" s="15"/>
      <c r="M665" s="39">
        <f t="shared" ca="1" si="0"/>
        <v>46026</v>
      </c>
      <c r="N665" s="40" t="str">
        <f t="shared" ca="1" si="1"/>
        <v>✅</v>
      </c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 spans="1:28" ht="13" x14ac:dyDescent="0.15">
      <c r="A666" s="24">
        <f>'Scan to Sheets'!A666</f>
        <v>0</v>
      </c>
      <c r="B666" s="26">
        <f>'Scan to Sheets'!B666</f>
        <v>0</v>
      </c>
      <c r="C666" s="26">
        <f>'Scan to Sheets'!C666</f>
        <v>0</v>
      </c>
      <c r="D666" s="26">
        <f>'Scan to Sheets'!D666</f>
        <v>0</v>
      </c>
      <c r="E666" s="27" t="str">
        <f>IFERROR(VLOOKUP(C666,#REF!, 2, FALSE), "NO ENCONTRADO")</f>
        <v>NO ENCONTRADO</v>
      </c>
      <c r="F666" s="27" t="str">
        <f>IFERROR(VLOOKUP(C666,#REF!, 3, FALSE), "NO ENCONTRADO")</f>
        <v>NO ENCONTRADO</v>
      </c>
      <c r="G666" s="27" t="str">
        <f>IFERROR(VLOOKUP(C666,#REF!, 4, FALSE), "NO ENCONTRADO")</f>
        <v>NO ENCONTRADO</v>
      </c>
      <c r="H666" s="27" t="str">
        <f>IFERROR(VLOOKUP(C666,#REF!, 5, FALSE), "NO ENCONTRADO")</f>
        <v>NO ENCONTRADO</v>
      </c>
      <c r="I666" s="14"/>
      <c r="J666" s="27"/>
      <c r="K666" s="41"/>
      <c r="L666" s="14"/>
      <c r="M666" s="30">
        <f t="shared" ca="1" si="0"/>
        <v>46026</v>
      </c>
      <c r="N666" s="31" t="str">
        <f t="shared" ca="1" si="1"/>
        <v>✅</v>
      </c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 spans="1:28" ht="13" x14ac:dyDescent="0.15">
      <c r="A667" s="33">
        <f>'Scan to Sheets'!A667</f>
        <v>0</v>
      </c>
      <c r="B667" s="35">
        <f>'Scan to Sheets'!B667</f>
        <v>0</v>
      </c>
      <c r="C667" s="35">
        <f>'Scan to Sheets'!C667</f>
        <v>0</v>
      </c>
      <c r="D667" s="35">
        <f>'Scan to Sheets'!D667</f>
        <v>0</v>
      </c>
      <c r="E667" s="36" t="str">
        <f>IFERROR(VLOOKUP(C667,#REF!, 2, FALSE), "NO ENCONTRADO")</f>
        <v>NO ENCONTRADO</v>
      </c>
      <c r="F667" s="36" t="str">
        <f>IFERROR(VLOOKUP(C667,#REF!, 3, FALSE), "NO ENCONTRADO")</f>
        <v>NO ENCONTRADO</v>
      </c>
      <c r="G667" s="36" t="str">
        <f>IFERROR(VLOOKUP(C667,#REF!, 4, FALSE), "NO ENCONTRADO")</f>
        <v>NO ENCONTRADO</v>
      </c>
      <c r="H667" s="36" t="str">
        <f>IFERROR(VLOOKUP(C667,#REF!, 5, FALSE), "NO ENCONTRADO")</f>
        <v>NO ENCONTRADO</v>
      </c>
      <c r="I667" s="15"/>
      <c r="J667" s="36"/>
      <c r="K667" s="42"/>
      <c r="L667" s="15"/>
      <c r="M667" s="39">
        <f t="shared" ca="1" si="0"/>
        <v>46026</v>
      </c>
      <c r="N667" s="40" t="str">
        <f t="shared" ca="1" si="1"/>
        <v>✅</v>
      </c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 spans="1:28" ht="13" x14ac:dyDescent="0.15">
      <c r="A668" s="24">
        <f>'Scan to Sheets'!A668</f>
        <v>0</v>
      </c>
      <c r="B668" s="26">
        <f>'Scan to Sheets'!B668</f>
        <v>0</v>
      </c>
      <c r="C668" s="26">
        <f>'Scan to Sheets'!C668</f>
        <v>0</v>
      </c>
      <c r="D668" s="26">
        <f>'Scan to Sheets'!D668</f>
        <v>0</v>
      </c>
      <c r="E668" s="27" t="str">
        <f>IFERROR(VLOOKUP(C668,#REF!, 2, FALSE), "NO ENCONTRADO")</f>
        <v>NO ENCONTRADO</v>
      </c>
      <c r="F668" s="27" t="str">
        <f>IFERROR(VLOOKUP(C668,#REF!, 3, FALSE), "NO ENCONTRADO")</f>
        <v>NO ENCONTRADO</v>
      </c>
      <c r="G668" s="27" t="str">
        <f>IFERROR(VLOOKUP(C668,#REF!, 4, FALSE), "NO ENCONTRADO")</f>
        <v>NO ENCONTRADO</v>
      </c>
      <c r="H668" s="27" t="str">
        <f>IFERROR(VLOOKUP(C668,#REF!, 5, FALSE), "NO ENCONTRADO")</f>
        <v>NO ENCONTRADO</v>
      </c>
      <c r="I668" s="14"/>
      <c r="J668" s="27"/>
      <c r="K668" s="41"/>
      <c r="L668" s="14"/>
      <c r="M668" s="30">
        <f t="shared" ca="1" si="0"/>
        <v>46026</v>
      </c>
      <c r="N668" s="31" t="str">
        <f t="shared" ca="1" si="1"/>
        <v>✅</v>
      </c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 spans="1:28" ht="13" x14ac:dyDescent="0.15">
      <c r="A669" s="33">
        <f>'Scan to Sheets'!A669</f>
        <v>0</v>
      </c>
      <c r="B669" s="35">
        <f>'Scan to Sheets'!B669</f>
        <v>0</v>
      </c>
      <c r="C669" s="35">
        <f>'Scan to Sheets'!C669</f>
        <v>0</v>
      </c>
      <c r="D669" s="35">
        <f>'Scan to Sheets'!D669</f>
        <v>0</v>
      </c>
      <c r="E669" s="36" t="str">
        <f>IFERROR(VLOOKUP(C669,#REF!, 2, FALSE), "NO ENCONTRADO")</f>
        <v>NO ENCONTRADO</v>
      </c>
      <c r="F669" s="36" t="str">
        <f>IFERROR(VLOOKUP(C669,#REF!, 3, FALSE), "NO ENCONTRADO")</f>
        <v>NO ENCONTRADO</v>
      </c>
      <c r="G669" s="36" t="str">
        <f>IFERROR(VLOOKUP(C669,#REF!, 4, FALSE), "NO ENCONTRADO")</f>
        <v>NO ENCONTRADO</v>
      </c>
      <c r="H669" s="36" t="str">
        <f>IFERROR(VLOOKUP(C669,#REF!, 5, FALSE), "NO ENCONTRADO")</f>
        <v>NO ENCONTRADO</v>
      </c>
      <c r="I669" s="15"/>
      <c r="J669" s="36"/>
      <c r="K669" s="42"/>
      <c r="L669" s="15"/>
      <c r="M669" s="39">
        <f t="shared" ca="1" si="0"/>
        <v>46026</v>
      </c>
      <c r="N669" s="40" t="str">
        <f t="shared" ca="1" si="1"/>
        <v>✅</v>
      </c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 spans="1:28" ht="13" x14ac:dyDescent="0.15">
      <c r="A670" s="24">
        <f>'Scan to Sheets'!A670</f>
        <v>0</v>
      </c>
      <c r="B670" s="26">
        <f>'Scan to Sheets'!B670</f>
        <v>0</v>
      </c>
      <c r="C670" s="26">
        <f>'Scan to Sheets'!C670</f>
        <v>0</v>
      </c>
      <c r="D670" s="26">
        <f>'Scan to Sheets'!D670</f>
        <v>0</v>
      </c>
      <c r="E670" s="27" t="str">
        <f>IFERROR(VLOOKUP(C670,#REF!, 2, FALSE), "NO ENCONTRADO")</f>
        <v>NO ENCONTRADO</v>
      </c>
      <c r="F670" s="27" t="str">
        <f>IFERROR(VLOOKUP(C670,#REF!, 3, FALSE), "NO ENCONTRADO")</f>
        <v>NO ENCONTRADO</v>
      </c>
      <c r="G670" s="27" t="str">
        <f>IFERROR(VLOOKUP(C670,#REF!, 4, FALSE), "NO ENCONTRADO")</f>
        <v>NO ENCONTRADO</v>
      </c>
      <c r="H670" s="27" t="str">
        <f>IFERROR(VLOOKUP(C670,#REF!, 5, FALSE), "NO ENCONTRADO")</f>
        <v>NO ENCONTRADO</v>
      </c>
      <c r="I670" s="14"/>
      <c r="J670" s="27"/>
      <c r="K670" s="41"/>
      <c r="L670" s="14"/>
      <c r="M670" s="30">
        <f t="shared" ca="1" si="0"/>
        <v>46026</v>
      </c>
      <c r="N670" s="31" t="str">
        <f t="shared" ca="1" si="1"/>
        <v>✅</v>
      </c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 spans="1:28" ht="13" x14ac:dyDescent="0.15">
      <c r="A671" s="33">
        <f>'Scan to Sheets'!A671</f>
        <v>0</v>
      </c>
      <c r="B671" s="35">
        <f>'Scan to Sheets'!B671</f>
        <v>0</v>
      </c>
      <c r="C671" s="35">
        <f>'Scan to Sheets'!C671</f>
        <v>0</v>
      </c>
      <c r="D671" s="35">
        <f>'Scan to Sheets'!D671</f>
        <v>0</v>
      </c>
      <c r="E671" s="36" t="str">
        <f>IFERROR(VLOOKUP(C671,#REF!, 2, FALSE), "NO ENCONTRADO")</f>
        <v>NO ENCONTRADO</v>
      </c>
      <c r="F671" s="36" t="str">
        <f>IFERROR(VLOOKUP(C671,#REF!, 3, FALSE), "NO ENCONTRADO")</f>
        <v>NO ENCONTRADO</v>
      </c>
      <c r="G671" s="36" t="str">
        <f>IFERROR(VLOOKUP(C671,#REF!, 4, FALSE), "NO ENCONTRADO")</f>
        <v>NO ENCONTRADO</v>
      </c>
      <c r="H671" s="36" t="str">
        <f>IFERROR(VLOOKUP(C671,#REF!, 5, FALSE), "NO ENCONTRADO")</f>
        <v>NO ENCONTRADO</v>
      </c>
      <c r="I671" s="15"/>
      <c r="J671" s="36"/>
      <c r="K671" s="42"/>
      <c r="L671" s="15"/>
      <c r="M671" s="39">
        <f t="shared" ca="1" si="0"/>
        <v>46026</v>
      </c>
      <c r="N671" s="40" t="str">
        <f t="shared" ca="1" si="1"/>
        <v>✅</v>
      </c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 spans="1:28" ht="13" x14ac:dyDescent="0.15">
      <c r="A672" s="24">
        <f>'Scan to Sheets'!A672</f>
        <v>0</v>
      </c>
      <c r="B672" s="26">
        <f>'Scan to Sheets'!B672</f>
        <v>0</v>
      </c>
      <c r="C672" s="26">
        <f>'Scan to Sheets'!C672</f>
        <v>0</v>
      </c>
      <c r="D672" s="26">
        <f>'Scan to Sheets'!D672</f>
        <v>0</v>
      </c>
      <c r="E672" s="27" t="str">
        <f>IFERROR(VLOOKUP(C672,#REF!, 2, FALSE), "NO ENCONTRADO")</f>
        <v>NO ENCONTRADO</v>
      </c>
      <c r="F672" s="27" t="str">
        <f>IFERROR(VLOOKUP(C672,#REF!, 3, FALSE), "NO ENCONTRADO")</f>
        <v>NO ENCONTRADO</v>
      </c>
      <c r="G672" s="27" t="str">
        <f>IFERROR(VLOOKUP(C672,#REF!, 4, FALSE), "NO ENCONTRADO")</f>
        <v>NO ENCONTRADO</v>
      </c>
      <c r="H672" s="27" t="str">
        <f>IFERROR(VLOOKUP(C672,#REF!, 5, FALSE), "NO ENCONTRADO")</f>
        <v>NO ENCONTRADO</v>
      </c>
      <c r="I672" s="14"/>
      <c r="J672" s="27"/>
      <c r="K672" s="41"/>
      <c r="L672" s="14"/>
      <c r="M672" s="30">
        <f t="shared" ca="1" si="0"/>
        <v>46026</v>
      </c>
      <c r="N672" s="31" t="str">
        <f t="shared" ca="1" si="1"/>
        <v>✅</v>
      </c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 spans="1:28" ht="13" x14ac:dyDescent="0.15">
      <c r="A673" s="33">
        <f>'Scan to Sheets'!A673</f>
        <v>0</v>
      </c>
      <c r="B673" s="35">
        <f>'Scan to Sheets'!B673</f>
        <v>0</v>
      </c>
      <c r="C673" s="35">
        <f>'Scan to Sheets'!C673</f>
        <v>0</v>
      </c>
      <c r="D673" s="35">
        <f>'Scan to Sheets'!D673</f>
        <v>0</v>
      </c>
      <c r="E673" s="36" t="str">
        <f>IFERROR(VLOOKUP(C673,#REF!, 2, FALSE), "NO ENCONTRADO")</f>
        <v>NO ENCONTRADO</v>
      </c>
      <c r="F673" s="36" t="str">
        <f>IFERROR(VLOOKUP(C673,#REF!, 3, FALSE), "NO ENCONTRADO")</f>
        <v>NO ENCONTRADO</v>
      </c>
      <c r="G673" s="36" t="str">
        <f>IFERROR(VLOOKUP(C673,#REF!, 4, FALSE), "NO ENCONTRADO")</f>
        <v>NO ENCONTRADO</v>
      </c>
      <c r="H673" s="36" t="str">
        <f>IFERROR(VLOOKUP(C673,#REF!, 5, FALSE), "NO ENCONTRADO")</f>
        <v>NO ENCONTRADO</v>
      </c>
      <c r="I673" s="15"/>
      <c r="J673" s="36"/>
      <c r="K673" s="42"/>
      <c r="L673" s="15"/>
      <c r="M673" s="39">
        <f t="shared" ca="1" si="0"/>
        <v>46026</v>
      </c>
      <c r="N673" s="40" t="str">
        <f t="shared" ca="1" si="1"/>
        <v>✅</v>
      </c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 spans="1:28" ht="13" x14ac:dyDescent="0.15">
      <c r="A674" s="24">
        <f>'Scan to Sheets'!A674</f>
        <v>0</v>
      </c>
      <c r="B674" s="26">
        <f>'Scan to Sheets'!B674</f>
        <v>0</v>
      </c>
      <c r="C674" s="26">
        <f>'Scan to Sheets'!C674</f>
        <v>0</v>
      </c>
      <c r="D674" s="26">
        <f>'Scan to Sheets'!D674</f>
        <v>0</v>
      </c>
      <c r="E674" s="27" t="str">
        <f>IFERROR(VLOOKUP(C674,#REF!, 2, FALSE), "NO ENCONTRADO")</f>
        <v>NO ENCONTRADO</v>
      </c>
      <c r="F674" s="27" t="str">
        <f>IFERROR(VLOOKUP(C674,#REF!, 3, FALSE), "NO ENCONTRADO")</f>
        <v>NO ENCONTRADO</v>
      </c>
      <c r="G674" s="27" t="str">
        <f>IFERROR(VLOOKUP(C674,#REF!, 4, FALSE), "NO ENCONTRADO")</f>
        <v>NO ENCONTRADO</v>
      </c>
      <c r="H674" s="27" t="str">
        <f>IFERROR(VLOOKUP(C674,#REF!, 5, FALSE), "NO ENCONTRADO")</f>
        <v>NO ENCONTRADO</v>
      </c>
      <c r="I674" s="14"/>
      <c r="J674" s="27"/>
      <c r="K674" s="41"/>
      <c r="L674" s="14"/>
      <c r="M674" s="30">
        <f t="shared" ca="1" si="0"/>
        <v>46026</v>
      </c>
      <c r="N674" s="31" t="str">
        <f t="shared" ca="1" si="1"/>
        <v>✅</v>
      </c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 spans="1:28" ht="13" x14ac:dyDescent="0.15">
      <c r="A675" s="33">
        <f>'Scan to Sheets'!A675</f>
        <v>0</v>
      </c>
      <c r="B675" s="35">
        <f>'Scan to Sheets'!B675</f>
        <v>0</v>
      </c>
      <c r="C675" s="35">
        <f>'Scan to Sheets'!C675</f>
        <v>0</v>
      </c>
      <c r="D675" s="35">
        <f>'Scan to Sheets'!D675</f>
        <v>0</v>
      </c>
      <c r="E675" s="36" t="str">
        <f>IFERROR(VLOOKUP(C675,#REF!, 2, FALSE), "NO ENCONTRADO")</f>
        <v>NO ENCONTRADO</v>
      </c>
      <c r="F675" s="36" t="str">
        <f>IFERROR(VLOOKUP(C675,#REF!, 3, FALSE), "NO ENCONTRADO")</f>
        <v>NO ENCONTRADO</v>
      </c>
      <c r="G675" s="36" t="str">
        <f>IFERROR(VLOOKUP(C675,#REF!, 4, FALSE), "NO ENCONTRADO")</f>
        <v>NO ENCONTRADO</v>
      </c>
      <c r="H675" s="36" t="str">
        <f>IFERROR(VLOOKUP(C675,#REF!, 5, FALSE), "NO ENCONTRADO")</f>
        <v>NO ENCONTRADO</v>
      </c>
      <c r="I675" s="15"/>
      <c r="J675" s="36"/>
      <c r="K675" s="42"/>
      <c r="L675" s="15"/>
      <c r="M675" s="39">
        <f t="shared" ca="1" si="0"/>
        <v>46026</v>
      </c>
      <c r="N675" s="40" t="str">
        <f t="shared" ca="1" si="1"/>
        <v>✅</v>
      </c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spans="1:28" ht="13" x14ac:dyDescent="0.15">
      <c r="A676" s="24">
        <f>'Scan to Sheets'!A676</f>
        <v>0</v>
      </c>
      <c r="B676" s="26">
        <f>'Scan to Sheets'!B676</f>
        <v>0</v>
      </c>
      <c r="C676" s="26">
        <f>'Scan to Sheets'!C676</f>
        <v>0</v>
      </c>
      <c r="D676" s="26">
        <f>'Scan to Sheets'!D676</f>
        <v>0</v>
      </c>
      <c r="E676" s="27" t="str">
        <f>IFERROR(VLOOKUP(C676,#REF!, 2, FALSE), "NO ENCONTRADO")</f>
        <v>NO ENCONTRADO</v>
      </c>
      <c r="F676" s="27" t="str">
        <f>IFERROR(VLOOKUP(C676,#REF!, 3, FALSE), "NO ENCONTRADO")</f>
        <v>NO ENCONTRADO</v>
      </c>
      <c r="G676" s="27" t="str">
        <f>IFERROR(VLOOKUP(C676,#REF!, 4, FALSE), "NO ENCONTRADO")</f>
        <v>NO ENCONTRADO</v>
      </c>
      <c r="H676" s="27" t="str">
        <f>IFERROR(VLOOKUP(C676,#REF!, 5, FALSE), "NO ENCONTRADO")</f>
        <v>NO ENCONTRADO</v>
      </c>
      <c r="I676" s="14"/>
      <c r="J676" s="27"/>
      <c r="K676" s="41"/>
      <c r="L676" s="14"/>
      <c r="M676" s="30">
        <f t="shared" ca="1" si="0"/>
        <v>46026</v>
      </c>
      <c r="N676" s="31" t="str">
        <f t="shared" ca="1" si="1"/>
        <v>✅</v>
      </c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spans="1:28" ht="13" x14ac:dyDescent="0.15">
      <c r="A677" s="33">
        <f>'Scan to Sheets'!A677</f>
        <v>0</v>
      </c>
      <c r="B677" s="35">
        <f>'Scan to Sheets'!B677</f>
        <v>0</v>
      </c>
      <c r="C677" s="35">
        <f>'Scan to Sheets'!C677</f>
        <v>0</v>
      </c>
      <c r="D677" s="35">
        <f>'Scan to Sheets'!D677</f>
        <v>0</v>
      </c>
      <c r="E677" s="36" t="str">
        <f>IFERROR(VLOOKUP(C677,#REF!, 2, FALSE), "NO ENCONTRADO")</f>
        <v>NO ENCONTRADO</v>
      </c>
      <c r="F677" s="36" t="str">
        <f>IFERROR(VLOOKUP(C677,#REF!, 3, FALSE), "NO ENCONTRADO")</f>
        <v>NO ENCONTRADO</v>
      </c>
      <c r="G677" s="36" t="str">
        <f>IFERROR(VLOOKUP(C677,#REF!, 4, FALSE), "NO ENCONTRADO")</f>
        <v>NO ENCONTRADO</v>
      </c>
      <c r="H677" s="36" t="str">
        <f>IFERROR(VLOOKUP(C677,#REF!, 5, FALSE), "NO ENCONTRADO")</f>
        <v>NO ENCONTRADO</v>
      </c>
      <c r="I677" s="15"/>
      <c r="J677" s="36"/>
      <c r="K677" s="42"/>
      <c r="L677" s="15"/>
      <c r="M677" s="39">
        <f t="shared" ca="1" si="0"/>
        <v>46026</v>
      </c>
      <c r="N677" s="40" t="str">
        <f t="shared" ca="1" si="1"/>
        <v>✅</v>
      </c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spans="1:28" ht="13" x14ac:dyDescent="0.15">
      <c r="A678" s="24">
        <f>'Scan to Sheets'!A678</f>
        <v>0</v>
      </c>
      <c r="B678" s="26">
        <f>'Scan to Sheets'!B678</f>
        <v>0</v>
      </c>
      <c r="C678" s="26">
        <f>'Scan to Sheets'!C678</f>
        <v>0</v>
      </c>
      <c r="D678" s="26">
        <f>'Scan to Sheets'!D678</f>
        <v>0</v>
      </c>
      <c r="E678" s="27" t="str">
        <f>IFERROR(VLOOKUP(C678,#REF!, 2, FALSE), "NO ENCONTRADO")</f>
        <v>NO ENCONTRADO</v>
      </c>
      <c r="F678" s="27" t="str">
        <f>IFERROR(VLOOKUP(C678,#REF!, 3, FALSE), "NO ENCONTRADO")</f>
        <v>NO ENCONTRADO</v>
      </c>
      <c r="G678" s="27" t="str">
        <f>IFERROR(VLOOKUP(C678,#REF!, 4, FALSE), "NO ENCONTRADO")</f>
        <v>NO ENCONTRADO</v>
      </c>
      <c r="H678" s="27" t="str">
        <f>IFERROR(VLOOKUP(C678,#REF!, 5, FALSE), "NO ENCONTRADO")</f>
        <v>NO ENCONTRADO</v>
      </c>
      <c r="I678" s="14"/>
      <c r="J678" s="27"/>
      <c r="K678" s="41"/>
      <c r="L678" s="14"/>
      <c r="M678" s="30">
        <f t="shared" ca="1" si="0"/>
        <v>46026</v>
      </c>
      <c r="N678" s="31" t="str">
        <f t="shared" ca="1" si="1"/>
        <v>✅</v>
      </c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spans="1:28" ht="13" x14ac:dyDescent="0.15">
      <c r="A679" s="33">
        <f>'Scan to Sheets'!A679</f>
        <v>0</v>
      </c>
      <c r="B679" s="35">
        <f>'Scan to Sheets'!B679</f>
        <v>0</v>
      </c>
      <c r="C679" s="35">
        <f>'Scan to Sheets'!C679</f>
        <v>0</v>
      </c>
      <c r="D679" s="35">
        <f>'Scan to Sheets'!D679</f>
        <v>0</v>
      </c>
      <c r="E679" s="36" t="str">
        <f>IFERROR(VLOOKUP(C679,#REF!, 2, FALSE), "NO ENCONTRADO")</f>
        <v>NO ENCONTRADO</v>
      </c>
      <c r="F679" s="36" t="str">
        <f>IFERROR(VLOOKUP(C679,#REF!, 3, FALSE), "NO ENCONTRADO")</f>
        <v>NO ENCONTRADO</v>
      </c>
      <c r="G679" s="36" t="str">
        <f>IFERROR(VLOOKUP(C679,#REF!, 4, FALSE), "NO ENCONTRADO")</f>
        <v>NO ENCONTRADO</v>
      </c>
      <c r="H679" s="36" t="str">
        <f>IFERROR(VLOOKUP(C679,#REF!, 5, FALSE), "NO ENCONTRADO")</f>
        <v>NO ENCONTRADO</v>
      </c>
      <c r="I679" s="15"/>
      <c r="J679" s="36"/>
      <c r="K679" s="42"/>
      <c r="L679" s="15"/>
      <c r="M679" s="39">
        <f t="shared" ca="1" si="0"/>
        <v>46026</v>
      </c>
      <c r="N679" s="40" t="str">
        <f t="shared" ca="1" si="1"/>
        <v>✅</v>
      </c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spans="1:28" ht="13" x14ac:dyDescent="0.15">
      <c r="A680" s="24">
        <f>'Scan to Sheets'!A680</f>
        <v>0</v>
      </c>
      <c r="B680" s="26">
        <f>'Scan to Sheets'!B680</f>
        <v>0</v>
      </c>
      <c r="C680" s="26">
        <f>'Scan to Sheets'!C680</f>
        <v>0</v>
      </c>
      <c r="D680" s="26">
        <f>'Scan to Sheets'!D680</f>
        <v>0</v>
      </c>
      <c r="E680" s="27" t="str">
        <f>IFERROR(VLOOKUP(C680,#REF!, 2, FALSE), "NO ENCONTRADO")</f>
        <v>NO ENCONTRADO</v>
      </c>
      <c r="F680" s="27" t="str">
        <f>IFERROR(VLOOKUP(C680,#REF!, 3, FALSE), "NO ENCONTRADO")</f>
        <v>NO ENCONTRADO</v>
      </c>
      <c r="G680" s="27" t="str">
        <f>IFERROR(VLOOKUP(C680,#REF!, 4, FALSE), "NO ENCONTRADO")</f>
        <v>NO ENCONTRADO</v>
      </c>
      <c r="H680" s="27" t="str">
        <f>IFERROR(VLOOKUP(C680,#REF!, 5, FALSE), "NO ENCONTRADO")</f>
        <v>NO ENCONTRADO</v>
      </c>
      <c r="I680" s="14"/>
      <c r="J680" s="27"/>
      <c r="K680" s="41"/>
      <c r="L680" s="14"/>
      <c r="M680" s="30">
        <f t="shared" ca="1" si="0"/>
        <v>46026</v>
      </c>
      <c r="N680" s="31" t="str">
        <f t="shared" ca="1" si="1"/>
        <v>✅</v>
      </c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spans="1:28" ht="13" x14ac:dyDescent="0.15">
      <c r="A681" s="33">
        <f>'Scan to Sheets'!A681</f>
        <v>0</v>
      </c>
      <c r="B681" s="35">
        <f>'Scan to Sheets'!B681</f>
        <v>0</v>
      </c>
      <c r="C681" s="35">
        <f>'Scan to Sheets'!C681</f>
        <v>0</v>
      </c>
      <c r="D681" s="35">
        <f>'Scan to Sheets'!D681</f>
        <v>0</v>
      </c>
      <c r="E681" s="36" t="str">
        <f>IFERROR(VLOOKUP(C681,#REF!, 2, FALSE), "NO ENCONTRADO")</f>
        <v>NO ENCONTRADO</v>
      </c>
      <c r="F681" s="36" t="str">
        <f>IFERROR(VLOOKUP(C681,#REF!, 3, FALSE), "NO ENCONTRADO")</f>
        <v>NO ENCONTRADO</v>
      </c>
      <c r="G681" s="36" t="str">
        <f>IFERROR(VLOOKUP(C681,#REF!, 4, FALSE), "NO ENCONTRADO")</f>
        <v>NO ENCONTRADO</v>
      </c>
      <c r="H681" s="36" t="str">
        <f>IFERROR(VLOOKUP(C681,#REF!, 5, FALSE), "NO ENCONTRADO")</f>
        <v>NO ENCONTRADO</v>
      </c>
      <c r="I681" s="15"/>
      <c r="J681" s="36"/>
      <c r="K681" s="42"/>
      <c r="L681" s="15"/>
      <c r="M681" s="39">
        <f t="shared" ca="1" si="0"/>
        <v>46026</v>
      </c>
      <c r="N681" s="40" t="str">
        <f t="shared" ca="1" si="1"/>
        <v>✅</v>
      </c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spans="1:28" ht="13" x14ac:dyDescent="0.15">
      <c r="A682" s="24">
        <f>'Scan to Sheets'!A682</f>
        <v>0</v>
      </c>
      <c r="B682" s="26">
        <f>'Scan to Sheets'!B682</f>
        <v>0</v>
      </c>
      <c r="C682" s="26">
        <f>'Scan to Sheets'!C682</f>
        <v>0</v>
      </c>
      <c r="D682" s="26">
        <f>'Scan to Sheets'!D682</f>
        <v>0</v>
      </c>
      <c r="E682" s="27" t="str">
        <f>IFERROR(VLOOKUP(C682,#REF!, 2, FALSE), "NO ENCONTRADO")</f>
        <v>NO ENCONTRADO</v>
      </c>
      <c r="F682" s="27" t="str">
        <f>IFERROR(VLOOKUP(C682,#REF!, 3, FALSE), "NO ENCONTRADO")</f>
        <v>NO ENCONTRADO</v>
      </c>
      <c r="G682" s="27" t="str">
        <f>IFERROR(VLOOKUP(C682,#REF!, 4, FALSE), "NO ENCONTRADO")</f>
        <v>NO ENCONTRADO</v>
      </c>
      <c r="H682" s="27" t="str">
        <f>IFERROR(VLOOKUP(C682,#REF!, 5, FALSE), "NO ENCONTRADO")</f>
        <v>NO ENCONTRADO</v>
      </c>
      <c r="I682" s="14"/>
      <c r="J682" s="27"/>
      <c r="K682" s="41"/>
      <c r="L682" s="14"/>
      <c r="M682" s="30">
        <f t="shared" ca="1" si="0"/>
        <v>46026</v>
      </c>
      <c r="N682" s="31" t="str">
        <f t="shared" ca="1" si="1"/>
        <v>✅</v>
      </c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spans="1:28" ht="13" x14ac:dyDescent="0.15">
      <c r="A683" s="33">
        <f>'Scan to Sheets'!A683</f>
        <v>0</v>
      </c>
      <c r="B683" s="35">
        <f>'Scan to Sheets'!B683</f>
        <v>0</v>
      </c>
      <c r="C683" s="35">
        <f>'Scan to Sheets'!C683</f>
        <v>0</v>
      </c>
      <c r="D683" s="35">
        <f>'Scan to Sheets'!D683</f>
        <v>0</v>
      </c>
      <c r="E683" s="36" t="str">
        <f>IFERROR(VLOOKUP(C683,#REF!, 2, FALSE), "NO ENCONTRADO")</f>
        <v>NO ENCONTRADO</v>
      </c>
      <c r="F683" s="36" t="str">
        <f>IFERROR(VLOOKUP(C683,#REF!, 3, FALSE), "NO ENCONTRADO")</f>
        <v>NO ENCONTRADO</v>
      </c>
      <c r="G683" s="36" t="str">
        <f>IFERROR(VLOOKUP(C683,#REF!, 4, FALSE), "NO ENCONTRADO")</f>
        <v>NO ENCONTRADO</v>
      </c>
      <c r="H683" s="36" t="str">
        <f>IFERROR(VLOOKUP(C683,#REF!, 5, FALSE), "NO ENCONTRADO")</f>
        <v>NO ENCONTRADO</v>
      </c>
      <c r="I683" s="15"/>
      <c r="J683" s="36"/>
      <c r="K683" s="42"/>
      <c r="L683" s="15"/>
      <c r="M683" s="39">
        <f t="shared" ca="1" si="0"/>
        <v>46026</v>
      </c>
      <c r="N683" s="40" t="str">
        <f t="shared" ca="1" si="1"/>
        <v>✅</v>
      </c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spans="1:28" ht="13" x14ac:dyDescent="0.15">
      <c r="A684" s="24">
        <f>'Scan to Sheets'!A684</f>
        <v>0</v>
      </c>
      <c r="B684" s="26">
        <f>'Scan to Sheets'!B684</f>
        <v>0</v>
      </c>
      <c r="C684" s="26">
        <f>'Scan to Sheets'!C684</f>
        <v>0</v>
      </c>
      <c r="D684" s="26">
        <f>'Scan to Sheets'!D684</f>
        <v>0</v>
      </c>
      <c r="E684" s="27" t="str">
        <f>IFERROR(VLOOKUP(C684,#REF!, 2, FALSE), "NO ENCONTRADO")</f>
        <v>NO ENCONTRADO</v>
      </c>
      <c r="F684" s="27" t="str">
        <f>IFERROR(VLOOKUP(C684,#REF!, 3, FALSE), "NO ENCONTRADO")</f>
        <v>NO ENCONTRADO</v>
      </c>
      <c r="G684" s="27" t="str">
        <f>IFERROR(VLOOKUP(C684,#REF!, 4, FALSE), "NO ENCONTRADO")</f>
        <v>NO ENCONTRADO</v>
      </c>
      <c r="H684" s="27" t="str">
        <f>IFERROR(VLOOKUP(C684,#REF!, 5, FALSE), "NO ENCONTRADO")</f>
        <v>NO ENCONTRADO</v>
      </c>
      <c r="I684" s="14"/>
      <c r="J684" s="27"/>
      <c r="K684" s="41"/>
      <c r="L684" s="14"/>
      <c r="M684" s="30">
        <f t="shared" ca="1" si="0"/>
        <v>46026</v>
      </c>
      <c r="N684" s="31" t="str">
        <f t="shared" ca="1" si="1"/>
        <v>✅</v>
      </c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spans="1:28" ht="13" x14ac:dyDescent="0.15">
      <c r="A685" s="33">
        <f>'Scan to Sheets'!A685</f>
        <v>0</v>
      </c>
      <c r="B685" s="35">
        <f>'Scan to Sheets'!B685</f>
        <v>0</v>
      </c>
      <c r="C685" s="35">
        <f>'Scan to Sheets'!C685</f>
        <v>0</v>
      </c>
      <c r="D685" s="35">
        <f>'Scan to Sheets'!D685</f>
        <v>0</v>
      </c>
      <c r="E685" s="36" t="str">
        <f>IFERROR(VLOOKUP(C685,#REF!, 2, FALSE), "NO ENCONTRADO")</f>
        <v>NO ENCONTRADO</v>
      </c>
      <c r="F685" s="36" t="str">
        <f>IFERROR(VLOOKUP(C685,#REF!, 3, FALSE), "NO ENCONTRADO")</f>
        <v>NO ENCONTRADO</v>
      </c>
      <c r="G685" s="36" t="str">
        <f>IFERROR(VLOOKUP(C685,#REF!, 4, FALSE), "NO ENCONTRADO")</f>
        <v>NO ENCONTRADO</v>
      </c>
      <c r="H685" s="36" t="str">
        <f>IFERROR(VLOOKUP(C685,#REF!, 5, FALSE), "NO ENCONTRADO")</f>
        <v>NO ENCONTRADO</v>
      </c>
      <c r="I685" s="15"/>
      <c r="J685" s="36"/>
      <c r="K685" s="42"/>
      <c r="L685" s="15"/>
      <c r="M685" s="39">
        <f t="shared" ca="1" si="0"/>
        <v>46026</v>
      </c>
      <c r="N685" s="40" t="str">
        <f t="shared" ca="1" si="1"/>
        <v>✅</v>
      </c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spans="1:28" ht="13" x14ac:dyDescent="0.15">
      <c r="A686" s="24">
        <f>'Scan to Sheets'!A686</f>
        <v>0</v>
      </c>
      <c r="B686" s="26">
        <f>'Scan to Sheets'!B686</f>
        <v>0</v>
      </c>
      <c r="C686" s="26">
        <f>'Scan to Sheets'!C686</f>
        <v>0</v>
      </c>
      <c r="D686" s="26">
        <f>'Scan to Sheets'!D686</f>
        <v>0</v>
      </c>
      <c r="E686" s="27" t="str">
        <f>IFERROR(VLOOKUP(C686,#REF!, 2, FALSE), "NO ENCONTRADO")</f>
        <v>NO ENCONTRADO</v>
      </c>
      <c r="F686" s="27" t="str">
        <f>IFERROR(VLOOKUP(C686,#REF!, 3, FALSE), "NO ENCONTRADO")</f>
        <v>NO ENCONTRADO</v>
      </c>
      <c r="G686" s="27" t="str">
        <f>IFERROR(VLOOKUP(C686,#REF!, 4, FALSE), "NO ENCONTRADO")</f>
        <v>NO ENCONTRADO</v>
      </c>
      <c r="H686" s="27" t="str">
        <f>IFERROR(VLOOKUP(C686,#REF!, 5, FALSE), "NO ENCONTRADO")</f>
        <v>NO ENCONTRADO</v>
      </c>
      <c r="I686" s="14"/>
      <c r="J686" s="27"/>
      <c r="K686" s="41"/>
      <c r="L686" s="14"/>
      <c r="M686" s="30">
        <f t="shared" ca="1" si="0"/>
        <v>46026</v>
      </c>
      <c r="N686" s="31" t="str">
        <f t="shared" ca="1" si="1"/>
        <v>✅</v>
      </c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spans="1:28" ht="13" x14ac:dyDescent="0.15">
      <c r="A687" s="33">
        <f>'Scan to Sheets'!A687</f>
        <v>0</v>
      </c>
      <c r="B687" s="35">
        <f>'Scan to Sheets'!B687</f>
        <v>0</v>
      </c>
      <c r="C687" s="35">
        <f>'Scan to Sheets'!C687</f>
        <v>0</v>
      </c>
      <c r="D687" s="35">
        <f>'Scan to Sheets'!D687</f>
        <v>0</v>
      </c>
      <c r="E687" s="36" t="str">
        <f>IFERROR(VLOOKUP(C687,#REF!, 2, FALSE), "NO ENCONTRADO")</f>
        <v>NO ENCONTRADO</v>
      </c>
      <c r="F687" s="36" t="str">
        <f>IFERROR(VLOOKUP(C687,#REF!, 3, FALSE), "NO ENCONTRADO")</f>
        <v>NO ENCONTRADO</v>
      </c>
      <c r="G687" s="36" t="str">
        <f>IFERROR(VLOOKUP(C687,#REF!, 4, FALSE), "NO ENCONTRADO")</f>
        <v>NO ENCONTRADO</v>
      </c>
      <c r="H687" s="36" t="str">
        <f>IFERROR(VLOOKUP(C687,#REF!, 5, FALSE), "NO ENCONTRADO")</f>
        <v>NO ENCONTRADO</v>
      </c>
      <c r="I687" s="15"/>
      <c r="J687" s="36"/>
      <c r="K687" s="42"/>
      <c r="L687" s="15"/>
      <c r="M687" s="39">
        <f t="shared" ca="1" si="0"/>
        <v>46026</v>
      </c>
      <c r="N687" s="40" t="str">
        <f t="shared" ca="1" si="1"/>
        <v>✅</v>
      </c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spans="1:28" ht="13" x14ac:dyDescent="0.15">
      <c r="A688" s="24">
        <f>'Scan to Sheets'!A688</f>
        <v>0</v>
      </c>
      <c r="B688" s="26">
        <f>'Scan to Sheets'!B688</f>
        <v>0</v>
      </c>
      <c r="C688" s="26">
        <f>'Scan to Sheets'!C688</f>
        <v>0</v>
      </c>
      <c r="D688" s="26">
        <f>'Scan to Sheets'!D688</f>
        <v>0</v>
      </c>
      <c r="E688" s="27" t="str">
        <f>IFERROR(VLOOKUP(C688,#REF!, 2, FALSE), "NO ENCONTRADO")</f>
        <v>NO ENCONTRADO</v>
      </c>
      <c r="F688" s="27" t="str">
        <f>IFERROR(VLOOKUP(C688,#REF!, 3, FALSE), "NO ENCONTRADO")</f>
        <v>NO ENCONTRADO</v>
      </c>
      <c r="G688" s="27" t="str">
        <f>IFERROR(VLOOKUP(C688,#REF!, 4, FALSE), "NO ENCONTRADO")</f>
        <v>NO ENCONTRADO</v>
      </c>
      <c r="H688" s="27" t="str">
        <f>IFERROR(VLOOKUP(C688,#REF!, 5, FALSE), "NO ENCONTRADO")</f>
        <v>NO ENCONTRADO</v>
      </c>
      <c r="I688" s="14"/>
      <c r="J688" s="27"/>
      <c r="K688" s="41"/>
      <c r="L688" s="14"/>
      <c r="M688" s="30">
        <f t="shared" ca="1" si="0"/>
        <v>46026</v>
      </c>
      <c r="N688" s="31" t="str">
        <f t="shared" ca="1" si="1"/>
        <v>✅</v>
      </c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 spans="1:28" ht="13" x14ac:dyDescent="0.15">
      <c r="A689" s="33">
        <f>'Scan to Sheets'!A689</f>
        <v>0</v>
      </c>
      <c r="B689" s="35">
        <f>'Scan to Sheets'!B689</f>
        <v>0</v>
      </c>
      <c r="C689" s="35">
        <f>'Scan to Sheets'!C689</f>
        <v>0</v>
      </c>
      <c r="D689" s="35">
        <f>'Scan to Sheets'!D689</f>
        <v>0</v>
      </c>
      <c r="E689" s="36" t="str">
        <f>IFERROR(VLOOKUP(C689,#REF!, 2, FALSE), "NO ENCONTRADO")</f>
        <v>NO ENCONTRADO</v>
      </c>
      <c r="F689" s="36" t="str">
        <f>IFERROR(VLOOKUP(C689,#REF!, 3, FALSE), "NO ENCONTRADO")</f>
        <v>NO ENCONTRADO</v>
      </c>
      <c r="G689" s="36" t="str">
        <f>IFERROR(VLOOKUP(C689,#REF!, 4, FALSE), "NO ENCONTRADO")</f>
        <v>NO ENCONTRADO</v>
      </c>
      <c r="H689" s="36" t="str">
        <f>IFERROR(VLOOKUP(C689,#REF!, 5, FALSE), "NO ENCONTRADO")</f>
        <v>NO ENCONTRADO</v>
      </c>
      <c r="I689" s="15"/>
      <c r="J689" s="36"/>
      <c r="K689" s="42"/>
      <c r="L689" s="15"/>
      <c r="M689" s="39">
        <f t="shared" ca="1" si="0"/>
        <v>46026</v>
      </c>
      <c r="N689" s="40" t="str">
        <f t="shared" ca="1" si="1"/>
        <v>✅</v>
      </c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 spans="1:28" ht="13" x14ac:dyDescent="0.15">
      <c r="A690" s="24">
        <f>'Scan to Sheets'!A690</f>
        <v>0</v>
      </c>
      <c r="B690" s="26">
        <f>'Scan to Sheets'!B690</f>
        <v>0</v>
      </c>
      <c r="C690" s="26">
        <f>'Scan to Sheets'!C690</f>
        <v>0</v>
      </c>
      <c r="D690" s="26">
        <f>'Scan to Sheets'!D690</f>
        <v>0</v>
      </c>
      <c r="E690" s="27" t="str">
        <f>IFERROR(VLOOKUP(C690,#REF!, 2, FALSE), "NO ENCONTRADO")</f>
        <v>NO ENCONTRADO</v>
      </c>
      <c r="F690" s="27" t="str">
        <f>IFERROR(VLOOKUP(C690,#REF!, 3, FALSE), "NO ENCONTRADO")</f>
        <v>NO ENCONTRADO</v>
      </c>
      <c r="G690" s="27" t="str">
        <f>IFERROR(VLOOKUP(C690,#REF!, 4, FALSE), "NO ENCONTRADO")</f>
        <v>NO ENCONTRADO</v>
      </c>
      <c r="H690" s="27" t="str">
        <f>IFERROR(VLOOKUP(C690,#REF!, 5, FALSE), "NO ENCONTRADO")</f>
        <v>NO ENCONTRADO</v>
      </c>
      <c r="I690" s="14"/>
      <c r="J690" s="27"/>
      <c r="K690" s="41"/>
      <c r="L690" s="14"/>
      <c r="M690" s="30">
        <f t="shared" ca="1" si="0"/>
        <v>46026</v>
      </c>
      <c r="N690" s="31" t="str">
        <f t="shared" ca="1" si="1"/>
        <v>✅</v>
      </c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 spans="1:28" ht="13" x14ac:dyDescent="0.15">
      <c r="A691" s="33">
        <f>'Scan to Sheets'!A691</f>
        <v>0</v>
      </c>
      <c r="B691" s="35">
        <f>'Scan to Sheets'!B691</f>
        <v>0</v>
      </c>
      <c r="C691" s="35">
        <f>'Scan to Sheets'!C691</f>
        <v>0</v>
      </c>
      <c r="D691" s="35">
        <f>'Scan to Sheets'!D691</f>
        <v>0</v>
      </c>
      <c r="E691" s="36" t="str">
        <f>IFERROR(VLOOKUP(C691,#REF!, 2, FALSE), "NO ENCONTRADO")</f>
        <v>NO ENCONTRADO</v>
      </c>
      <c r="F691" s="36" t="str">
        <f>IFERROR(VLOOKUP(C691,#REF!, 3, FALSE), "NO ENCONTRADO")</f>
        <v>NO ENCONTRADO</v>
      </c>
      <c r="G691" s="36" t="str">
        <f>IFERROR(VLOOKUP(C691,#REF!, 4, FALSE), "NO ENCONTRADO")</f>
        <v>NO ENCONTRADO</v>
      </c>
      <c r="H691" s="36" t="str">
        <f>IFERROR(VLOOKUP(C691,#REF!, 5, FALSE), "NO ENCONTRADO")</f>
        <v>NO ENCONTRADO</v>
      </c>
      <c r="I691" s="15"/>
      <c r="J691" s="36"/>
      <c r="K691" s="42"/>
      <c r="L691" s="15"/>
      <c r="M691" s="39">
        <f t="shared" ca="1" si="0"/>
        <v>46026</v>
      </c>
      <c r="N691" s="40" t="str">
        <f t="shared" ca="1" si="1"/>
        <v>✅</v>
      </c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 spans="1:28" ht="13" x14ac:dyDescent="0.15">
      <c r="A692" s="24">
        <f>'Scan to Sheets'!A692</f>
        <v>0</v>
      </c>
      <c r="B692" s="26">
        <f>'Scan to Sheets'!B692</f>
        <v>0</v>
      </c>
      <c r="C692" s="26">
        <f>'Scan to Sheets'!C692</f>
        <v>0</v>
      </c>
      <c r="D692" s="26">
        <f>'Scan to Sheets'!D692</f>
        <v>0</v>
      </c>
      <c r="E692" s="27" t="str">
        <f>IFERROR(VLOOKUP(C692,#REF!, 2, FALSE), "NO ENCONTRADO")</f>
        <v>NO ENCONTRADO</v>
      </c>
      <c r="F692" s="27" t="str">
        <f>IFERROR(VLOOKUP(C692,#REF!, 3, FALSE), "NO ENCONTRADO")</f>
        <v>NO ENCONTRADO</v>
      </c>
      <c r="G692" s="27" t="str">
        <f>IFERROR(VLOOKUP(C692,#REF!, 4, FALSE), "NO ENCONTRADO")</f>
        <v>NO ENCONTRADO</v>
      </c>
      <c r="H692" s="27" t="str">
        <f>IFERROR(VLOOKUP(C692,#REF!, 5, FALSE), "NO ENCONTRADO")</f>
        <v>NO ENCONTRADO</v>
      </c>
      <c r="I692" s="14"/>
      <c r="J692" s="27"/>
      <c r="K692" s="41"/>
      <c r="L692" s="14"/>
      <c r="M692" s="30">
        <f t="shared" ca="1" si="0"/>
        <v>46026</v>
      </c>
      <c r="N692" s="31" t="str">
        <f t="shared" ca="1" si="1"/>
        <v>✅</v>
      </c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 spans="1:28" ht="13" x14ac:dyDescent="0.15">
      <c r="A693" s="33">
        <f>'Scan to Sheets'!A693</f>
        <v>0</v>
      </c>
      <c r="B693" s="35">
        <f>'Scan to Sheets'!B693</f>
        <v>0</v>
      </c>
      <c r="C693" s="35">
        <f>'Scan to Sheets'!C693</f>
        <v>0</v>
      </c>
      <c r="D693" s="35">
        <f>'Scan to Sheets'!D693</f>
        <v>0</v>
      </c>
      <c r="E693" s="36" t="str">
        <f>IFERROR(VLOOKUP(C693,#REF!, 2, FALSE), "NO ENCONTRADO")</f>
        <v>NO ENCONTRADO</v>
      </c>
      <c r="F693" s="36" t="str">
        <f>IFERROR(VLOOKUP(C693,#REF!, 3, FALSE), "NO ENCONTRADO")</f>
        <v>NO ENCONTRADO</v>
      </c>
      <c r="G693" s="36" t="str">
        <f>IFERROR(VLOOKUP(C693,#REF!, 4, FALSE), "NO ENCONTRADO")</f>
        <v>NO ENCONTRADO</v>
      </c>
      <c r="H693" s="36" t="str">
        <f>IFERROR(VLOOKUP(C693,#REF!, 5, FALSE), "NO ENCONTRADO")</f>
        <v>NO ENCONTRADO</v>
      </c>
      <c r="I693" s="15"/>
      <c r="J693" s="36"/>
      <c r="K693" s="42"/>
      <c r="L693" s="15"/>
      <c r="M693" s="39">
        <f t="shared" ca="1" si="0"/>
        <v>46026</v>
      </c>
      <c r="N693" s="40" t="str">
        <f t="shared" ca="1" si="1"/>
        <v>✅</v>
      </c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 spans="1:28" ht="13" x14ac:dyDescent="0.15">
      <c r="A694" s="24">
        <f>'Scan to Sheets'!A694</f>
        <v>0</v>
      </c>
      <c r="B694" s="26">
        <f>'Scan to Sheets'!B694</f>
        <v>0</v>
      </c>
      <c r="C694" s="26">
        <f>'Scan to Sheets'!C694</f>
        <v>0</v>
      </c>
      <c r="D694" s="26">
        <f>'Scan to Sheets'!D694</f>
        <v>0</v>
      </c>
      <c r="E694" s="27" t="str">
        <f>IFERROR(VLOOKUP(C694,#REF!, 2, FALSE), "NO ENCONTRADO")</f>
        <v>NO ENCONTRADO</v>
      </c>
      <c r="F694" s="27" t="str">
        <f>IFERROR(VLOOKUP(C694,#REF!, 3, FALSE), "NO ENCONTRADO")</f>
        <v>NO ENCONTRADO</v>
      </c>
      <c r="G694" s="27" t="str">
        <f>IFERROR(VLOOKUP(C694,#REF!, 4, FALSE), "NO ENCONTRADO")</f>
        <v>NO ENCONTRADO</v>
      </c>
      <c r="H694" s="27" t="str">
        <f>IFERROR(VLOOKUP(C694,#REF!, 5, FALSE), "NO ENCONTRADO")</f>
        <v>NO ENCONTRADO</v>
      </c>
      <c r="I694" s="14"/>
      <c r="J694" s="27"/>
      <c r="K694" s="41"/>
      <c r="L694" s="14"/>
      <c r="M694" s="30">
        <f t="shared" ca="1" si="0"/>
        <v>46026</v>
      </c>
      <c r="N694" s="31" t="str">
        <f t="shared" ca="1" si="1"/>
        <v>✅</v>
      </c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 spans="1:28" ht="13" x14ac:dyDescent="0.15">
      <c r="A695" s="33">
        <f>'Scan to Sheets'!A695</f>
        <v>0</v>
      </c>
      <c r="B695" s="35">
        <f>'Scan to Sheets'!B695</f>
        <v>0</v>
      </c>
      <c r="C695" s="35">
        <f>'Scan to Sheets'!C695</f>
        <v>0</v>
      </c>
      <c r="D695" s="35">
        <f>'Scan to Sheets'!D695</f>
        <v>0</v>
      </c>
      <c r="E695" s="36" t="str">
        <f>IFERROR(VLOOKUP(C695,#REF!, 2, FALSE), "NO ENCONTRADO")</f>
        <v>NO ENCONTRADO</v>
      </c>
      <c r="F695" s="36" t="str">
        <f>IFERROR(VLOOKUP(C695,#REF!, 3, FALSE), "NO ENCONTRADO")</f>
        <v>NO ENCONTRADO</v>
      </c>
      <c r="G695" s="36" t="str">
        <f>IFERROR(VLOOKUP(C695,#REF!, 4, FALSE), "NO ENCONTRADO")</f>
        <v>NO ENCONTRADO</v>
      </c>
      <c r="H695" s="36" t="str">
        <f>IFERROR(VLOOKUP(C695,#REF!, 5, FALSE), "NO ENCONTRADO")</f>
        <v>NO ENCONTRADO</v>
      </c>
      <c r="I695" s="15"/>
      <c r="J695" s="36"/>
      <c r="K695" s="42"/>
      <c r="L695" s="15"/>
      <c r="M695" s="39">
        <f t="shared" ca="1" si="0"/>
        <v>46026</v>
      </c>
      <c r="N695" s="40" t="str">
        <f t="shared" ca="1" si="1"/>
        <v>✅</v>
      </c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 spans="1:28" ht="13" x14ac:dyDescent="0.15">
      <c r="A696" s="24">
        <f>'Scan to Sheets'!A696</f>
        <v>0</v>
      </c>
      <c r="B696" s="26">
        <f>'Scan to Sheets'!B696</f>
        <v>0</v>
      </c>
      <c r="C696" s="26">
        <f>'Scan to Sheets'!C696</f>
        <v>0</v>
      </c>
      <c r="D696" s="26">
        <f>'Scan to Sheets'!D696</f>
        <v>0</v>
      </c>
      <c r="E696" s="27" t="str">
        <f>IFERROR(VLOOKUP(C696,#REF!, 2, FALSE), "NO ENCONTRADO")</f>
        <v>NO ENCONTRADO</v>
      </c>
      <c r="F696" s="27" t="str">
        <f>IFERROR(VLOOKUP(C696,#REF!, 3, FALSE), "NO ENCONTRADO")</f>
        <v>NO ENCONTRADO</v>
      </c>
      <c r="G696" s="27" t="str">
        <f>IFERROR(VLOOKUP(C696,#REF!, 4, FALSE), "NO ENCONTRADO")</f>
        <v>NO ENCONTRADO</v>
      </c>
      <c r="H696" s="27" t="str">
        <f>IFERROR(VLOOKUP(C696,#REF!, 5, FALSE), "NO ENCONTRADO")</f>
        <v>NO ENCONTRADO</v>
      </c>
      <c r="I696" s="14"/>
      <c r="J696" s="27"/>
      <c r="K696" s="41"/>
      <c r="L696" s="14"/>
      <c r="M696" s="30">
        <f t="shared" ca="1" si="0"/>
        <v>46026</v>
      </c>
      <c r="N696" s="31" t="str">
        <f t="shared" ca="1" si="1"/>
        <v>✅</v>
      </c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 spans="1:28" ht="13" x14ac:dyDescent="0.15">
      <c r="A697" s="33">
        <f>'Scan to Sheets'!A697</f>
        <v>0</v>
      </c>
      <c r="B697" s="35">
        <f>'Scan to Sheets'!B697</f>
        <v>0</v>
      </c>
      <c r="C697" s="35">
        <f>'Scan to Sheets'!C697</f>
        <v>0</v>
      </c>
      <c r="D697" s="35">
        <f>'Scan to Sheets'!D697</f>
        <v>0</v>
      </c>
      <c r="E697" s="36" t="str">
        <f>IFERROR(VLOOKUP(C697,#REF!, 2, FALSE), "NO ENCONTRADO")</f>
        <v>NO ENCONTRADO</v>
      </c>
      <c r="F697" s="36" t="str">
        <f>IFERROR(VLOOKUP(C697,#REF!, 3, FALSE), "NO ENCONTRADO")</f>
        <v>NO ENCONTRADO</v>
      </c>
      <c r="G697" s="36" t="str">
        <f>IFERROR(VLOOKUP(C697,#REF!, 4, FALSE), "NO ENCONTRADO")</f>
        <v>NO ENCONTRADO</v>
      </c>
      <c r="H697" s="36" t="str">
        <f>IFERROR(VLOOKUP(C697,#REF!, 5, FALSE), "NO ENCONTRADO")</f>
        <v>NO ENCONTRADO</v>
      </c>
      <c r="I697" s="15"/>
      <c r="J697" s="36"/>
      <c r="K697" s="42"/>
      <c r="L697" s="15"/>
      <c r="M697" s="39">
        <f t="shared" ca="1" si="0"/>
        <v>46026</v>
      </c>
      <c r="N697" s="40" t="str">
        <f t="shared" ca="1" si="1"/>
        <v>✅</v>
      </c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 spans="1:28" ht="13" x14ac:dyDescent="0.15">
      <c r="A698" s="24">
        <f>'Scan to Sheets'!A698</f>
        <v>0</v>
      </c>
      <c r="B698" s="26">
        <f>'Scan to Sheets'!B698</f>
        <v>0</v>
      </c>
      <c r="C698" s="26">
        <f>'Scan to Sheets'!C698</f>
        <v>0</v>
      </c>
      <c r="D698" s="26">
        <f>'Scan to Sheets'!D698</f>
        <v>0</v>
      </c>
      <c r="E698" s="27" t="str">
        <f>IFERROR(VLOOKUP(C698,#REF!, 2, FALSE), "NO ENCONTRADO")</f>
        <v>NO ENCONTRADO</v>
      </c>
      <c r="F698" s="27" t="str">
        <f>IFERROR(VLOOKUP(C698,#REF!, 3, FALSE), "NO ENCONTRADO")</f>
        <v>NO ENCONTRADO</v>
      </c>
      <c r="G698" s="27" t="str">
        <f>IFERROR(VLOOKUP(C698,#REF!, 4, FALSE), "NO ENCONTRADO")</f>
        <v>NO ENCONTRADO</v>
      </c>
      <c r="H698" s="27" t="str">
        <f>IFERROR(VLOOKUP(C698,#REF!, 5, FALSE), "NO ENCONTRADO")</f>
        <v>NO ENCONTRADO</v>
      </c>
      <c r="I698" s="14"/>
      <c r="J698" s="27"/>
      <c r="K698" s="41"/>
      <c r="L698" s="14"/>
      <c r="M698" s="30">
        <f t="shared" ca="1" si="0"/>
        <v>46026</v>
      </c>
      <c r="N698" s="31" t="str">
        <f t="shared" ca="1" si="1"/>
        <v>✅</v>
      </c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 spans="1:28" ht="13" x14ac:dyDescent="0.15">
      <c r="A699" s="33">
        <f>'Scan to Sheets'!A699</f>
        <v>0</v>
      </c>
      <c r="B699" s="35">
        <f>'Scan to Sheets'!B699</f>
        <v>0</v>
      </c>
      <c r="C699" s="35">
        <f>'Scan to Sheets'!C699</f>
        <v>0</v>
      </c>
      <c r="D699" s="35">
        <f>'Scan to Sheets'!D699</f>
        <v>0</v>
      </c>
      <c r="E699" s="36" t="str">
        <f>IFERROR(VLOOKUP(C699,#REF!, 2, FALSE), "NO ENCONTRADO")</f>
        <v>NO ENCONTRADO</v>
      </c>
      <c r="F699" s="36" t="str">
        <f>IFERROR(VLOOKUP(C699,#REF!, 3, FALSE), "NO ENCONTRADO")</f>
        <v>NO ENCONTRADO</v>
      </c>
      <c r="G699" s="36" t="str">
        <f>IFERROR(VLOOKUP(C699,#REF!, 4, FALSE), "NO ENCONTRADO")</f>
        <v>NO ENCONTRADO</v>
      </c>
      <c r="H699" s="36" t="str">
        <f>IFERROR(VLOOKUP(C699,#REF!, 5, FALSE), "NO ENCONTRADO")</f>
        <v>NO ENCONTRADO</v>
      </c>
      <c r="I699" s="15"/>
      <c r="J699" s="36"/>
      <c r="K699" s="42"/>
      <c r="L699" s="15"/>
      <c r="M699" s="39">
        <f t="shared" ca="1" si="0"/>
        <v>46026</v>
      </c>
      <c r="N699" s="40" t="str">
        <f t="shared" ca="1" si="1"/>
        <v>✅</v>
      </c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spans="1:28" ht="13" x14ac:dyDescent="0.15">
      <c r="A700" s="24">
        <f>'Scan to Sheets'!A700</f>
        <v>0</v>
      </c>
      <c r="B700" s="26">
        <f>'Scan to Sheets'!B700</f>
        <v>0</v>
      </c>
      <c r="C700" s="26">
        <f>'Scan to Sheets'!C700</f>
        <v>0</v>
      </c>
      <c r="D700" s="26">
        <f>'Scan to Sheets'!D700</f>
        <v>0</v>
      </c>
      <c r="E700" s="27" t="str">
        <f>IFERROR(VLOOKUP(C700,#REF!, 2, FALSE), "NO ENCONTRADO")</f>
        <v>NO ENCONTRADO</v>
      </c>
      <c r="F700" s="27" t="str">
        <f>IFERROR(VLOOKUP(C700,#REF!, 3, FALSE), "NO ENCONTRADO")</f>
        <v>NO ENCONTRADO</v>
      </c>
      <c r="G700" s="27" t="str">
        <f>IFERROR(VLOOKUP(C700,#REF!, 4, FALSE), "NO ENCONTRADO")</f>
        <v>NO ENCONTRADO</v>
      </c>
      <c r="H700" s="27" t="str">
        <f>IFERROR(VLOOKUP(C700,#REF!, 5, FALSE), "NO ENCONTRADO")</f>
        <v>NO ENCONTRADO</v>
      </c>
      <c r="I700" s="14"/>
      <c r="J700" s="27"/>
      <c r="K700" s="41"/>
      <c r="L700" s="14"/>
      <c r="M700" s="30">
        <f t="shared" ca="1" si="0"/>
        <v>46026</v>
      </c>
      <c r="N700" s="31" t="str">
        <f t="shared" ca="1" si="1"/>
        <v>✅</v>
      </c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spans="1:28" ht="13" x14ac:dyDescent="0.15">
      <c r="A701" s="33">
        <f>'Scan to Sheets'!A701</f>
        <v>0</v>
      </c>
      <c r="B701" s="35">
        <f>'Scan to Sheets'!B701</f>
        <v>0</v>
      </c>
      <c r="C701" s="35">
        <f>'Scan to Sheets'!C701</f>
        <v>0</v>
      </c>
      <c r="D701" s="35">
        <f>'Scan to Sheets'!D701</f>
        <v>0</v>
      </c>
      <c r="E701" s="36" t="str">
        <f>IFERROR(VLOOKUP(C701,#REF!, 2, FALSE), "NO ENCONTRADO")</f>
        <v>NO ENCONTRADO</v>
      </c>
      <c r="F701" s="36" t="str">
        <f>IFERROR(VLOOKUP(C701,#REF!, 3, FALSE), "NO ENCONTRADO")</f>
        <v>NO ENCONTRADO</v>
      </c>
      <c r="G701" s="36" t="str">
        <f>IFERROR(VLOOKUP(C701,#REF!, 4, FALSE), "NO ENCONTRADO")</f>
        <v>NO ENCONTRADO</v>
      </c>
      <c r="H701" s="36" t="str">
        <f>IFERROR(VLOOKUP(C701,#REF!, 5, FALSE), "NO ENCONTRADO")</f>
        <v>NO ENCONTRADO</v>
      </c>
      <c r="I701" s="15"/>
      <c r="J701" s="36"/>
      <c r="K701" s="42"/>
      <c r="L701" s="15"/>
      <c r="M701" s="39">
        <f t="shared" ca="1" si="0"/>
        <v>46026</v>
      </c>
      <c r="N701" s="40" t="str">
        <f t="shared" ca="1" si="1"/>
        <v>✅</v>
      </c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spans="1:28" ht="13" x14ac:dyDescent="0.15">
      <c r="A702" s="24">
        <f>'Scan to Sheets'!A702</f>
        <v>0</v>
      </c>
      <c r="B702" s="26">
        <f>'Scan to Sheets'!B702</f>
        <v>0</v>
      </c>
      <c r="C702" s="26">
        <f>'Scan to Sheets'!C702</f>
        <v>0</v>
      </c>
      <c r="D702" s="26">
        <f>'Scan to Sheets'!D702</f>
        <v>0</v>
      </c>
      <c r="E702" s="27" t="str">
        <f>IFERROR(VLOOKUP(C702,#REF!, 2, FALSE), "NO ENCONTRADO")</f>
        <v>NO ENCONTRADO</v>
      </c>
      <c r="F702" s="27" t="str">
        <f>IFERROR(VLOOKUP(C702,#REF!, 3, FALSE), "NO ENCONTRADO")</f>
        <v>NO ENCONTRADO</v>
      </c>
      <c r="G702" s="27" t="str">
        <f>IFERROR(VLOOKUP(C702,#REF!, 4, FALSE), "NO ENCONTRADO")</f>
        <v>NO ENCONTRADO</v>
      </c>
      <c r="H702" s="27" t="str">
        <f>IFERROR(VLOOKUP(C702,#REF!, 5, FALSE), "NO ENCONTRADO")</f>
        <v>NO ENCONTRADO</v>
      </c>
      <c r="I702" s="14"/>
      <c r="J702" s="27"/>
      <c r="K702" s="41"/>
      <c r="L702" s="14"/>
      <c r="M702" s="30">
        <f t="shared" ca="1" si="0"/>
        <v>46026</v>
      </c>
      <c r="N702" s="31" t="str">
        <f t="shared" ca="1" si="1"/>
        <v>✅</v>
      </c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spans="1:28" ht="13" x14ac:dyDescent="0.15">
      <c r="A703" s="33">
        <f>'Scan to Sheets'!A703</f>
        <v>0</v>
      </c>
      <c r="B703" s="35">
        <f>'Scan to Sheets'!B703</f>
        <v>0</v>
      </c>
      <c r="C703" s="35">
        <f>'Scan to Sheets'!C703</f>
        <v>0</v>
      </c>
      <c r="D703" s="35">
        <f>'Scan to Sheets'!D703</f>
        <v>0</v>
      </c>
      <c r="E703" s="36" t="str">
        <f>IFERROR(VLOOKUP(C703,#REF!, 2, FALSE), "NO ENCONTRADO")</f>
        <v>NO ENCONTRADO</v>
      </c>
      <c r="F703" s="36" t="str">
        <f>IFERROR(VLOOKUP(C703,#REF!, 3, FALSE), "NO ENCONTRADO")</f>
        <v>NO ENCONTRADO</v>
      </c>
      <c r="G703" s="36" t="str">
        <f>IFERROR(VLOOKUP(C703,#REF!, 4, FALSE), "NO ENCONTRADO")</f>
        <v>NO ENCONTRADO</v>
      </c>
      <c r="H703" s="36" t="str">
        <f>IFERROR(VLOOKUP(C703,#REF!, 5, FALSE), "NO ENCONTRADO")</f>
        <v>NO ENCONTRADO</v>
      </c>
      <c r="I703" s="15"/>
      <c r="J703" s="36"/>
      <c r="K703" s="42"/>
      <c r="L703" s="15"/>
      <c r="M703" s="39">
        <f t="shared" ca="1" si="0"/>
        <v>46026</v>
      </c>
      <c r="N703" s="40" t="str">
        <f t="shared" ca="1" si="1"/>
        <v>✅</v>
      </c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spans="1:28" ht="13" x14ac:dyDescent="0.15">
      <c r="A704" s="24">
        <f>'Scan to Sheets'!A704</f>
        <v>0</v>
      </c>
      <c r="B704" s="26">
        <f>'Scan to Sheets'!B704</f>
        <v>0</v>
      </c>
      <c r="C704" s="26">
        <f>'Scan to Sheets'!C704</f>
        <v>0</v>
      </c>
      <c r="D704" s="26">
        <f>'Scan to Sheets'!D704</f>
        <v>0</v>
      </c>
      <c r="E704" s="27" t="str">
        <f>IFERROR(VLOOKUP(C704,#REF!, 2, FALSE), "NO ENCONTRADO")</f>
        <v>NO ENCONTRADO</v>
      </c>
      <c r="F704" s="27" t="str">
        <f>IFERROR(VLOOKUP(C704,#REF!, 3, FALSE), "NO ENCONTRADO")</f>
        <v>NO ENCONTRADO</v>
      </c>
      <c r="G704" s="27" t="str">
        <f>IFERROR(VLOOKUP(C704,#REF!, 4, FALSE), "NO ENCONTRADO")</f>
        <v>NO ENCONTRADO</v>
      </c>
      <c r="H704" s="27" t="str">
        <f>IFERROR(VLOOKUP(C704,#REF!, 5, FALSE), "NO ENCONTRADO")</f>
        <v>NO ENCONTRADO</v>
      </c>
      <c r="I704" s="14"/>
      <c r="J704" s="27"/>
      <c r="K704" s="41"/>
      <c r="L704" s="14"/>
      <c r="M704" s="30">
        <f t="shared" ca="1" si="0"/>
        <v>46026</v>
      </c>
      <c r="N704" s="31" t="str">
        <f t="shared" ca="1" si="1"/>
        <v>✅</v>
      </c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spans="1:28" ht="13" x14ac:dyDescent="0.15">
      <c r="A705" s="33">
        <f>'Scan to Sheets'!A705</f>
        <v>0</v>
      </c>
      <c r="B705" s="35">
        <f>'Scan to Sheets'!B705</f>
        <v>0</v>
      </c>
      <c r="C705" s="35">
        <f>'Scan to Sheets'!C705</f>
        <v>0</v>
      </c>
      <c r="D705" s="35">
        <f>'Scan to Sheets'!D705</f>
        <v>0</v>
      </c>
      <c r="E705" s="36" t="str">
        <f>IFERROR(VLOOKUP(C705,#REF!, 2, FALSE), "NO ENCONTRADO")</f>
        <v>NO ENCONTRADO</v>
      </c>
      <c r="F705" s="36" t="str">
        <f>IFERROR(VLOOKUP(C705,#REF!, 3, FALSE), "NO ENCONTRADO")</f>
        <v>NO ENCONTRADO</v>
      </c>
      <c r="G705" s="36" t="str">
        <f>IFERROR(VLOOKUP(C705,#REF!, 4, FALSE), "NO ENCONTRADO")</f>
        <v>NO ENCONTRADO</v>
      </c>
      <c r="H705" s="36" t="str">
        <f>IFERROR(VLOOKUP(C705,#REF!, 5, FALSE), "NO ENCONTRADO")</f>
        <v>NO ENCONTRADO</v>
      </c>
      <c r="I705" s="15"/>
      <c r="J705" s="36"/>
      <c r="K705" s="42"/>
      <c r="L705" s="15"/>
      <c r="M705" s="39">
        <f t="shared" ca="1" si="0"/>
        <v>46026</v>
      </c>
      <c r="N705" s="40" t="str">
        <f t="shared" ca="1" si="1"/>
        <v>✅</v>
      </c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spans="1:28" ht="13" x14ac:dyDescent="0.15">
      <c r="A706" s="24">
        <f>'Scan to Sheets'!A706</f>
        <v>0</v>
      </c>
      <c r="B706" s="26">
        <f>'Scan to Sheets'!B706</f>
        <v>0</v>
      </c>
      <c r="C706" s="26">
        <f>'Scan to Sheets'!C706</f>
        <v>0</v>
      </c>
      <c r="D706" s="26">
        <f>'Scan to Sheets'!D706</f>
        <v>0</v>
      </c>
      <c r="E706" s="27" t="str">
        <f>IFERROR(VLOOKUP(C706,#REF!, 2, FALSE), "NO ENCONTRADO")</f>
        <v>NO ENCONTRADO</v>
      </c>
      <c r="F706" s="27" t="str">
        <f>IFERROR(VLOOKUP(C706,#REF!, 3, FALSE), "NO ENCONTRADO")</f>
        <v>NO ENCONTRADO</v>
      </c>
      <c r="G706" s="27" t="str">
        <f>IFERROR(VLOOKUP(C706,#REF!, 4, FALSE), "NO ENCONTRADO")</f>
        <v>NO ENCONTRADO</v>
      </c>
      <c r="H706" s="27" t="str">
        <f>IFERROR(VLOOKUP(C706,#REF!, 5, FALSE), "NO ENCONTRADO")</f>
        <v>NO ENCONTRADO</v>
      </c>
      <c r="I706" s="14"/>
      <c r="J706" s="27"/>
      <c r="K706" s="41"/>
      <c r="L706" s="14"/>
      <c r="M706" s="30">
        <f t="shared" ca="1" si="0"/>
        <v>46026</v>
      </c>
      <c r="N706" s="31" t="str">
        <f t="shared" ca="1" si="1"/>
        <v>✅</v>
      </c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spans="1:28" ht="13" x14ac:dyDescent="0.15">
      <c r="A707" s="33">
        <f>'Scan to Sheets'!A707</f>
        <v>0</v>
      </c>
      <c r="B707" s="35">
        <f>'Scan to Sheets'!B707</f>
        <v>0</v>
      </c>
      <c r="C707" s="35">
        <f>'Scan to Sheets'!C707</f>
        <v>0</v>
      </c>
      <c r="D707" s="35">
        <f>'Scan to Sheets'!D707</f>
        <v>0</v>
      </c>
      <c r="E707" s="36" t="str">
        <f>IFERROR(VLOOKUP(C707,#REF!, 2, FALSE), "NO ENCONTRADO")</f>
        <v>NO ENCONTRADO</v>
      </c>
      <c r="F707" s="36" t="str">
        <f>IFERROR(VLOOKUP(C707,#REF!, 3, FALSE), "NO ENCONTRADO")</f>
        <v>NO ENCONTRADO</v>
      </c>
      <c r="G707" s="36" t="str">
        <f>IFERROR(VLOOKUP(C707,#REF!, 4, FALSE), "NO ENCONTRADO")</f>
        <v>NO ENCONTRADO</v>
      </c>
      <c r="H707" s="36" t="str">
        <f>IFERROR(VLOOKUP(C707,#REF!, 5, FALSE), "NO ENCONTRADO")</f>
        <v>NO ENCONTRADO</v>
      </c>
      <c r="I707" s="15"/>
      <c r="J707" s="36"/>
      <c r="K707" s="42"/>
      <c r="L707" s="15"/>
      <c r="M707" s="39">
        <f t="shared" ca="1" si="0"/>
        <v>46026</v>
      </c>
      <c r="N707" s="40" t="str">
        <f t="shared" ca="1" si="1"/>
        <v>✅</v>
      </c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spans="1:28" ht="13" x14ac:dyDescent="0.15">
      <c r="A708" s="24">
        <f>'Scan to Sheets'!A708</f>
        <v>0</v>
      </c>
      <c r="B708" s="26">
        <f>'Scan to Sheets'!B708</f>
        <v>0</v>
      </c>
      <c r="C708" s="26">
        <f>'Scan to Sheets'!C708</f>
        <v>0</v>
      </c>
      <c r="D708" s="26">
        <f>'Scan to Sheets'!D708</f>
        <v>0</v>
      </c>
      <c r="E708" s="27" t="str">
        <f>IFERROR(VLOOKUP(C708,#REF!, 2, FALSE), "NO ENCONTRADO")</f>
        <v>NO ENCONTRADO</v>
      </c>
      <c r="F708" s="27" t="str">
        <f>IFERROR(VLOOKUP(C708,#REF!, 3, FALSE), "NO ENCONTRADO")</f>
        <v>NO ENCONTRADO</v>
      </c>
      <c r="G708" s="27" t="str">
        <f>IFERROR(VLOOKUP(C708,#REF!, 4, FALSE), "NO ENCONTRADO")</f>
        <v>NO ENCONTRADO</v>
      </c>
      <c r="H708" s="27" t="str">
        <f>IFERROR(VLOOKUP(C708,#REF!, 5, FALSE), "NO ENCONTRADO")</f>
        <v>NO ENCONTRADO</v>
      </c>
      <c r="I708" s="14"/>
      <c r="J708" s="27"/>
      <c r="K708" s="41"/>
      <c r="L708" s="14"/>
      <c r="M708" s="30">
        <f t="shared" ca="1" si="0"/>
        <v>46026</v>
      </c>
      <c r="N708" s="31" t="str">
        <f t="shared" ca="1" si="1"/>
        <v>✅</v>
      </c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spans="1:28" ht="13" x14ac:dyDescent="0.15">
      <c r="A709" s="33">
        <f>'Scan to Sheets'!A709</f>
        <v>0</v>
      </c>
      <c r="B709" s="35">
        <f>'Scan to Sheets'!B709</f>
        <v>0</v>
      </c>
      <c r="C709" s="35">
        <f>'Scan to Sheets'!C709</f>
        <v>0</v>
      </c>
      <c r="D709" s="35">
        <f>'Scan to Sheets'!D709</f>
        <v>0</v>
      </c>
      <c r="E709" s="36" t="str">
        <f>IFERROR(VLOOKUP(C709,#REF!, 2, FALSE), "NO ENCONTRADO")</f>
        <v>NO ENCONTRADO</v>
      </c>
      <c r="F709" s="36" t="str">
        <f>IFERROR(VLOOKUP(C709,#REF!, 3, FALSE), "NO ENCONTRADO")</f>
        <v>NO ENCONTRADO</v>
      </c>
      <c r="G709" s="36" t="str">
        <f>IFERROR(VLOOKUP(C709,#REF!, 4, FALSE), "NO ENCONTRADO")</f>
        <v>NO ENCONTRADO</v>
      </c>
      <c r="H709" s="36" t="str">
        <f>IFERROR(VLOOKUP(C709,#REF!, 5, FALSE), "NO ENCONTRADO")</f>
        <v>NO ENCONTRADO</v>
      </c>
      <c r="I709" s="15"/>
      <c r="J709" s="36"/>
      <c r="K709" s="42"/>
      <c r="L709" s="15"/>
      <c r="M709" s="39">
        <f t="shared" ca="1" si="0"/>
        <v>46026</v>
      </c>
      <c r="N709" s="40" t="str">
        <f t="shared" ca="1" si="1"/>
        <v>✅</v>
      </c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spans="1:28" ht="13" x14ac:dyDescent="0.15">
      <c r="A710" s="24">
        <f>'Scan to Sheets'!A710</f>
        <v>0</v>
      </c>
      <c r="B710" s="26">
        <f>'Scan to Sheets'!B710</f>
        <v>0</v>
      </c>
      <c r="C710" s="26">
        <f>'Scan to Sheets'!C710</f>
        <v>0</v>
      </c>
      <c r="D710" s="26">
        <f>'Scan to Sheets'!D710</f>
        <v>0</v>
      </c>
      <c r="E710" s="27" t="str">
        <f>IFERROR(VLOOKUP(C710,#REF!, 2, FALSE), "NO ENCONTRADO")</f>
        <v>NO ENCONTRADO</v>
      </c>
      <c r="F710" s="27" t="str">
        <f>IFERROR(VLOOKUP(C710,#REF!, 3, FALSE), "NO ENCONTRADO")</f>
        <v>NO ENCONTRADO</v>
      </c>
      <c r="G710" s="27" t="str">
        <f>IFERROR(VLOOKUP(C710,#REF!, 4, FALSE), "NO ENCONTRADO")</f>
        <v>NO ENCONTRADO</v>
      </c>
      <c r="H710" s="27" t="str">
        <f>IFERROR(VLOOKUP(C710,#REF!, 5, FALSE), "NO ENCONTRADO")</f>
        <v>NO ENCONTRADO</v>
      </c>
      <c r="I710" s="14"/>
      <c r="J710" s="27"/>
      <c r="K710" s="41"/>
      <c r="L710" s="14"/>
      <c r="M710" s="30">
        <f t="shared" ca="1" si="0"/>
        <v>46026</v>
      </c>
      <c r="N710" s="31" t="str">
        <f t="shared" ca="1" si="1"/>
        <v>✅</v>
      </c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spans="1:28" ht="13" x14ac:dyDescent="0.15">
      <c r="A711" s="33">
        <f>'Scan to Sheets'!A711</f>
        <v>0</v>
      </c>
      <c r="B711" s="35">
        <f>'Scan to Sheets'!B711</f>
        <v>0</v>
      </c>
      <c r="C711" s="35">
        <f>'Scan to Sheets'!C711</f>
        <v>0</v>
      </c>
      <c r="D711" s="35">
        <f>'Scan to Sheets'!D711</f>
        <v>0</v>
      </c>
      <c r="E711" s="36" t="str">
        <f>IFERROR(VLOOKUP(C711,#REF!, 2, FALSE), "NO ENCONTRADO")</f>
        <v>NO ENCONTRADO</v>
      </c>
      <c r="F711" s="36" t="str">
        <f>IFERROR(VLOOKUP(C711,#REF!, 3, FALSE), "NO ENCONTRADO")</f>
        <v>NO ENCONTRADO</v>
      </c>
      <c r="G711" s="36" t="str">
        <f>IFERROR(VLOOKUP(C711,#REF!, 4, FALSE), "NO ENCONTRADO")</f>
        <v>NO ENCONTRADO</v>
      </c>
      <c r="H711" s="36" t="str">
        <f>IFERROR(VLOOKUP(C711,#REF!, 5, FALSE), "NO ENCONTRADO")</f>
        <v>NO ENCONTRADO</v>
      </c>
      <c r="I711" s="15"/>
      <c r="J711" s="36"/>
      <c r="K711" s="42"/>
      <c r="L711" s="15"/>
      <c r="M711" s="39">
        <f t="shared" ca="1" si="0"/>
        <v>46026</v>
      </c>
      <c r="N711" s="40" t="str">
        <f t="shared" ca="1" si="1"/>
        <v>✅</v>
      </c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spans="1:28" ht="13" x14ac:dyDescent="0.15">
      <c r="A712" s="24">
        <f>'Scan to Sheets'!A712</f>
        <v>0</v>
      </c>
      <c r="B712" s="26">
        <f>'Scan to Sheets'!B712</f>
        <v>0</v>
      </c>
      <c r="C712" s="26">
        <f>'Scan to Sheets'!C712</f>
        <v>0</v>
      </c>
      <c r="D712" s="26">
        <f>'Scan to Sheets'!D712</f>
        <v>0</v>
      </c>
      <c r="E712" s="27" t="str">
        <f>IFERROR(VLOOKUP(C712,#REF!, 2, FALSE), "NO ENCONTRADO")</f>
        <v>NO ENCONTRADO</v>
      </c>
      <c r="F712" s="27" t="str">
        <f>IFERROR(VLOOKUP(C712,#REF!, 3, FALSE), "NO ENCONTRADO")</f>
        <v>NO ENCONTRADO</v>
      </c>
      <c r="G712" s="27" t="str">
        <f>IFERROR(VLOOKUP(C712,#REF!, 4, FALSE), "NO ENCONTRADO")</f>
        <v>NO ENCONTRADO</v>
      </c>
      <c r="H712" s="27" t="str">
        <f>IFERROR(VLOOKUP(C712,#REF!, 5, FALSE), "NO ENCONTRADO")</f>
        <v>NO ENCONTRADO</v>
      </c>
      <c r="I712" s="14"/>
      <c r="J712" s="27"/>
      <c r="K712" s="41"/>
      <c r="L712" s="14"/>
      <c r="M712" s="30">
        <f t="shared" ca="1" si="0"/>
        <v>46026</v>
      </c>
      <c r="N712" s="31" t="str">
        <f t="shared" ca="1" si="1"/>
        <v>✅</v>
      </c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 spans="1:28" ht="13" x14ac:dyDescent="0.15">
      <c r="A713" s="33">
        <f>'Scan to Sheets'!A713</f>
        <v>0</v>
      </c>
      <c r="B713" s="35">
        <f>'Scan to Sheets'!B713</f>
        <v>0</v>
      </c>
      <c r="C713" s="35">
        <f>'Scan to Sheets'!C713</f>
        <v>0</v>
      </c>
      <c r="D713" s="35">
        <f>'Scan to Sheets'!D713</f>
        <v>0</v>
      </c>
      <c r="E713" s="36" t="str">
        <f>IFERROR(VLOOKUP(C713,#REF!, 2, FALSE), "NO ENCONTRADO")</f>
        <v>NO ENCONTRADO</v>
      </c>
      <c r="F713" s="36" t="str">
        <f>IFERROR(VLOOKUP(C713,#REF!, 3, FALSE), "NO ENCONTRADO")</f>
        <v>NO ENCONTRADO</v>
      </c>
      <c r="G713" s="36" t="str">
        <f>IFERROR(VLOOKUP(C713,#REF!, 4, FALSE), "NO ENCONTRADO")</f>
        <v>NO ENCONTRADO</v>
      </c>
      <c r="H713" s="36" t="str">
        <f>IFERROR(VLOOKUP(C713,#REF!, 5, FALSE), "NO ENCONTRADO")</f>
        <v>NO ENCONTRADO</v>
      </c>
      <c r="I713" s="15"/>
      <c r="J713" s="36"/>
      <c r="K713" s="42"/>
      <c r="L713" s="15"/>
      <c r="M713" s="39">
        <f t="shared" ca="1" si="0"/>
        <v>46026</v>
      </c>
      <c r="N713" s="40" t="str">
        <f t="shared" ca="1" si="1"/>
        <v>✅</v>
      </c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 spans="1:28" ht="13" x14ac:dyDescent="0.15">
      <c r="A714" s="24">
        <f>'Scan to Sheets'!A714</f>
        <v>0</v>
      </c>
      <c r="B714" s="26">
        <f>'Scan to Sheets'!B714</f>
        <v>0</v>
      </c>
      <c r="C714" s="26">
        <f>'Scan to Sheets'!C714</f>
        <v>0</v>
      </c>
      <c r="D714" s="26">
        <f>'Scan to Sheets'!D714</f>
        <v>0</v>
      </c>
      <c r="E714" s="27" t="str">
        <f>IFERROR(VLOOKUP(C714,#REF!, 2, FALSE), "NO ENCONTRADO")</f>
        <v>NO ENCONTRADO</v>
      </c>
      <c r="F714" s="27" t="str">
        <f>IFERROR(VLOOKUP(C714,#REF!, 3, FALSE), "NO ENCONTRADO")</f>
        <v>NO ENCONTRADO</v>
      </c>
      <c r="G714" s="27" t="str">
        <f>IFERROR(VLOOKUP(C714,#REF!, 4, FALSE), "NO ENCONTRADO")</f>
        <v>NO ENCONTRADO</v>
      </c>
      <c r="H714" s="27" t="str">
        <f>IFERROR(VLOOKUP(C714,#REF!, 5, FALSE), "NO ENCONTRADO")</f>
        <v>NO ENCONTRADO</v>
      </c>
      <c r="I714" s="14"/>
      <c r="J714" s="27"/>
      <c r="K714" s="41"/>
      <c r="L714" s="14"/>
      <c r="M714" s="30">
        <f t="shared" ca="1" si="0"/>
        <v>46026</v>
      </c>
      <c r="N714" s="31" t="str">
        <f t="shared" ca="1" si="1"/>
        <v>✅</v>
      </c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 spans="1:28" ht="13" x14ac:dyDescent="0.15">
      <c r="A715" s="33">
        <f>'Scan to Sheets'!A715</f>
        <v>0</v>
      </c>
      <c r="B715" s="35">
        <f>'Scan to Sheets'!B715</f>
        <v>0</v>
      </c>
      <c r="C715" s="35">
        <f>'Scan to Sheets'!C715</f>
        <v>0</v>
      </c>
      <c r="D715" s="35">
        <f>'Scan to Sheets'!D715</f>
        <v>0</v>
      </c>
      <c r="E715" s="36" t="str">
        <f>IFERROR(VLOOKUP(C715,#REF!, 2, FALSE), "NO ENCONTRADO")</f>
        <v>NO ENCONTRADO</v>
      </c>
      <c r="F715" s="36" t="str">
        <f>IFERROR(VLOOKUP(C715,#REF!, 3, FALSE), "NO ENCONTRADO")</f>
        <v>NO ENCONTRADO</v>
      </c>
      <c r="G715" s="36" t="str">
        <f>IFERROR(VLOOKUP(C715,#REF!, 4, FALSE), "NO ENCONTRADO")</f>
        <v>NO ENCONTRADO</v>
      </c>
      <c r="H715" s="36" t="str">
        <f>IFERROR(VLOOKUP(C715,#REF!, 5, FALSE), "NO ENCONTRADO")</f>
        <v>NO ENCONTRADO</v>
      </c>
      <c r="I715" s="15"/>
      <c r="J715" s="36"/>
      <c r="K715" s="42"/>
      <c r="L715" s="15"/>
      <c r="M715" s="39">
        <f t="shared" ca="1" si="0"/>
        <v>46026</v>
      </c>
      <c r="N715" s="40" t="str">
        <f t="shared" ca="1" si="1"/>
        <v>✅</v>
      </c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 spans="1:28" ht="13" x14ac:dyDescent="0.15">
      <c r="A716" s="24">
        <f>'Scan to Sheets'!A716</f>
        <v>0</v>
      </c>
      <c r="B716" s="26">
        <f>'Scan to Sheets'!B716</f>
        <v>0</v>
      </c>
      <c r="C716" s="26">
        <f>'Scan to Sheets'!C716</f>
        <v>0</v>
      </c>
      <c r="D716" s="26">
        <f>'Scan to Sheets'!D716</f>
        <v>0</v>
      </c>
      <c r="E716" s="27" t="str">
        <f>IFERROR(VLOOKUP(C716,#REF!, 2, FALSE), "NO ENCONTRADO")</f>
        <v>NO ENCONTRADO</v>
      </c>
      <c r="F716" s="27" t="str">
        <f>IFERROR(VLOOKUP(C716,#REF!, 3, FALSE), "NO ENCONTRADO")</f>
        <v>NO ENCONTRADO</v>
      </c>
      <c r="G716" s="27" t="str">
        <f>IFERROR(VLOOKUP(C716,#REF!, 4, FALSE), "NO ENCONTRADO")</f>
        <v>NO ENCONTRADO</v>
      </c>
      <c r="H716" s="27" t="str">
        <f>IFERROR(VLOOKUP(C716,#REF!, 5, FALSE), "NO ENCONTRADO")</f>
        <v>NO ENCONTRADO</v>
      </c>
      <c r="I716" s="14"/>
      <c r="J716" s="27"/>
      <c r="K716" s="41"/>
      <c r="L716" s="14"/>
      <c r="M716" s="30">
        <f t="shared" ca="1" si="0"/>
        <v>46026</v>
      </c>
      <c r="N716" s="31" t="str">
        <f t="shared" ca="1" si="1"/>
        <v>✅</v>
      </c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 spans="1:28" ht="13" x14ac:dyDescent="0.15">
      <c r="A717" s="33">
        <f>'Scan to Sheets'!A717</f>
        <v>0</v>
      </c>
      <c r="B717" s="35">
        <f>'Scan to Sheets'!B717</f>
        <v>0</v>
      </c>
      <c r="C717" s="35">
        <f>'Scan to Sheets'!C717</f>
        <v>0</v>
      </c>
      <c r="D717" s="35">
        <f>'Scan to Sheets'!D717</f>
        <v>0</v>
      </c>
      <c r="E717" s="36" t="str">
        <f>IFERROR(VLOOKUP(C717,#REF!, 2, FALSE), "NO ENCONTRADO")</f>
        <v>NO ENCONTRADO</v>
      </c>
      <c r="F717" s="36" t="str">
        <f>IFERROR(VLOOKUP(C717,#REF!, 3, FALSE), "NO ENCONTRADO")</f>
        <v>NO ENCONTRADO</v>
      </c>
      <c r="G717" s="36" t="str">
        <f>IFERROR(VLOOKUP(C717,#REF!, 4, FALSE), "NO ENCONTRADO")</f>
        <v>NO ENCONTRADO</v>
      </c>
      <c r="H717" s="36" t="str">
        <f>IFERROR(VLOOKUP(C717,#REF!, 5, FALSE), "NO ENCONTRADO")</f>
        <v>NO ENCONTRADO</v>
      </c>
      <c r="I717" s="15"/>
      <c r="J717" s="36"/>
      <c r="K717" s="42"/>
      <c r="L717" s="15"/>
      <c r="M717" s="39">
        <f t="shared" ca="1" si="0"/>
        <v>46026</v>
      </c>
      <c r="N717" s="40" t="str">
        <f t="shared" ca="1" si="1"/>
        <v>✅</v>
      </c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 spans="1:28" ht="13" x14ac:dyDescent="0.15">
      <c r="A718" s="24">
        <f>'Scan to Sheets'!A718</f>
        <v>0</v>
      </c>
      <c r="B718" s="26">
        <f>'Scan to Sheets'!B718</f>
        <v>0</v>
      </c>
      <c r="C718" s="26">
        <f>'Scan to Sheets'!C718</f>
        <v>0</v>
      </c>
      <c r="D718" s="26">
        <f>'Scan to Sheets'!D718</f>
        <v>0</v>
      </c>
      <c r="E718" s="27" t="str">
        <f>IFERROR(VLOOKUP(C718,#REF!, 2, FALSE), "NO ENCONTRADO")</f>
        <v>NO ENCONTRADO</v>
      </c>
      <c r="F718" s="27" t="str">
        <f>IFERROR(VLOOKUP(C718,#REF!, 3, FALSE), "NO ENCONTRADO")</f>
        <v>NO ENCONTRADO</v>
      </c>
      <c r="G718" s="27" t="str">
        <f>IFERROR(VLOOKUP(C718,#REF!, 4, FALSE), "NO ENCONTRADO")</f>
        <v>NO ENCONTRADO</v>
      </c>
      <c r="H718" s="27" t="str">
        <f>IFERROR(VLOOKUP(C718,#REF!, 5, FALSE), "NO ENCONTRADO")</f>
        <v>NO ENCONTRADO</v>
      </c>
      <c r="I718" s="14"/>
      <c r="J718" s="27"/>
      <c r="K718" s="41"/>
      <c r="L718" s="14"/>
      <c r="M718" s="30">
        <f t="shared" ca="1" si="0"/>
        <v>46026</v>
      </c>
      <c r="N718" s="31" t="str">
        <f t="shared" ca="1" si="1"/>
        <v>✅</v>
      </c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 spans="1:28" ht="13" x14ac:dyDescent="0.15">
      <c r="A719" s="33">
        <f>'Scan to Sheets'!A719</f>
        <v>0</v>
      </c>
      <c r="B719" s="35">
        <f>'Scan to Sheets'!B719</f>
        <v>0</v>
      </c>
      <c r="C719" s="35">
        <f>'Scan to Sheets'!C719</f>
        <v>0</v>
      </c>
      <c r="D719" s="35">
        <f>'Scan to Sheets'!D719</f>
        <v>0</v>
      </c>
      <c r="E719" s="36" t="str">
        <f>IFERROR(VLOOKUP(C719,#REF!, 2, FALSE), "NO ENCONTRADO")</f>
        <v>NO ENCONTRADO</v>
      </c>
      <c r="F719" s="36" t="str">
        <f>IFERROR(VLOOKUP(C719,#REF!, 3, FALSE), "NO ENCONTRADO")</f>
        <v>NO ENCONTRADO</v>
      </c>
      <c r="G719" s="36" t="str">
        <f>IFERROR(VLOOKUP(C719,#REF!, 4, FALSE), "NO ENCONTRADO")</f>
        <v>NO ENCONTRADO</v>
      </c>
      <c r="H719" s="36" t="str">
        <f>IFERROR(VLOOKUP(C719,#REF!, 5, FALSE), "NO ENCONTRADO")</f>
        <v>NO ENCONTRADO</v>
      </c>
      <c r="I719" s="15"/>
      <c r="J719" s="36"/>
      <c r="K719" s="42"/>
      <c r="L719" s="15"/>
      <c r="M719" s="39">
        <f t="shared" ca="1" si="0"/>
        <v>46026</v>
      </c>
      <c r="N719" s="40" t="str">
        <f t="shared" ca="1" si="1"/>
        <v>✅</v>
      </c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 spans="1:28" ht="13" x14ac:dyDescent="0.15">
      <c r="A720" s="24">
        <f>'Scan to Sheets'!A720</f>
        <v>0</v>
      </c>
      <c r="B720" s="26">
        <f>'Scan to Sheets'!B720</f>
        <v>0</v>
      </c>
      <c r="C720" s="26">
        <f>'Scan to Sheets'!C720</f>
        <v>0</v>
      </c>
      <c r="D720" s="26">
        <f>'Scan to Sheets'!D720</f>
        <v>0</v>
      </c>
      <c r="E720" s="27" t="str">
        <f>IFERROR(VLOOKUP(C720,#REF!, 2, FALSE), "NO ENCONTRADO")</f>
        <v>NO ENCONTRADO</v>
      </c>
      <c r="F720" s="27" t="str">
        <f>IFERROR(VLOOKUP(C720,#REF!, 3, FALSE), "NO ENCONTRADO")</f>
        <v>NO ENCONTRADO</v>
      </c>
      <c r="G720" s="27" t="str">
        <f>IFERROR(VLOOKUP(C720,#REF!, 4, FALSE), "NO ENCONTRADO")</f>
        <v>NO ENCONTRADO</v>
      </c>
      <c r="H720" s="27" t="str">
        <f>IFERROR(VLOOKUP(C720,#REF!, 5, FALSE), "NO ENCONTRADO")</f>
        <v>NO ENCONTRADO</v>
      </c>
      <c r="I720" s="14"/>
      <c r="J720" s="27"/>
      <c r="K720" s="41"/>
      <c r="L720" s="14"/>
      <c r="M720" s="30">
        <f t="shared" ca="1" si="0"/>
        <v>46026</v>
      </c>
      <c r="N720" s="31" t="str">
        <f t="shared" ca="1" si="1"/>
        <v>✅</v>
      </c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 spans="1:28" ht="13" x14ac:dyDescent="0.15">
      <c r="A721" s="33">
        <f>'Scan to Sheets'!A721</f>
        <v>0</v>
      </c>
      <c r="B721" s="35">
        <f>'Scan to Sheets'!B721</f>
        <v>0</v>
      </c>
      <c r="C721" s="35">
        <f>'Scan to Sheets'!C721</f>
        <v>0</v>
      </c>
      <c r="D721" s="35">
        <f>'Scan to Sheets'!D721</f>
        <v>0</v>
      </c>
      <c r="E721" s="36" t="str">
        <f>IFERROR(VLOOKUP(C721,#REF!, 2, FALSE), "NO ENCONTRADO")</f>
        <v>NO ENCONTRADO</v>
      </c>
      <c r="F721" s="36" t="str">
        <f>IFERROR(VLOOKUP(C721,#REF!, 3, FALSE), "NO ENCONTRADO")</f>
        <v>NO ENCONTRADO</v>
      </c>
      <c r="G721" s="36" t="str">
        <f>IFERROR(VLOOKUP(C721,#REF!, 4, FALSE), "NO ENCONTRADO")</f>
        <v>NO ENCONTRADO</v>
      </c>
      <c r="H721" s="36" t="str">
        <f>IFERROR(VLOOKUP(C721,#REF!, 5, FALSE), "NO ENCONTRADO")</f>
        <v>NO ENCONTRADO</v>
      </c>
      <c r="I721" s="15"/>
      <c r="J721" s="36"/>
      <c r="K721" s="42"/>
      <c r="L721" s="15"/>
      <c r="M721" s="39">
        <f t="shared" ca="1" si="0"/>
        <v>46026</v>
      </c>
      <c r="N721" s="40" t="str">
        <f t="shared" ca="1" si="1"/>
        <v>✅</v>
      </c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 spans="1:28" ht="13" x14ac:dyDescent="0.15">
      <c r="A722" s="24">
        <f>'Scan to Sheets'!A722</f>
        <v>0</v>
      </c>
      <c r="B722" s="26">
        <f>'Scan to Sheets'!B722</f>
        <v>0</v>
      </c>
      <c r="C722" s="26">
        <f>'Scan to Sheets'!C722</f>
        <v>0</v>
      </c>
      <c r="D722" s="26">
        <f>'Scan to Sheets'!D722</f>
        <v>0</v>
      </c>
      <c r="E722" s="27" t="str">
        <f>IFERROR(VLOOKUP(C722,#REF!, 2, FALSE), "NO ENCONTRADO")</f>
        <v>NO ENCONTRADO</v>
      </c>
      <c r="F722" s="27" t="str">
        <f>IFERROR(VLOOKUP(C722,#REF!, 3, FALSE), "NO ENCONTRADO")</f>
        <v>NO ENCONTRADO</v>
      </c>
      <c r="G722" s="27" t="str">
        <f>IFERROR(VLOOKUP(C722,#REF!, 4, FALSE), "NO ENCONTRADO")</f>
        <v>NO ENCONTRADO</v>
      </c>
      <c r="H722" s="27" t="str">
        <f>IFERROR(VLOOKUP(C722,#REF!, 5, FALSE), "NO ENCONTRADO")</f>
        <v>NO ENCONTRADO</v>
      </c>
      <c r="I722" s="14"/>
      <c r="J722" s="27"/>
      <c r="K722" s="41"/>
      <c r="L722" s="14"/>
      <c r="M722" s="30">
        <f t="shared" ca="1" si="0"/>
        <v>46026</v>
      </c>
      <c r="N722" s="31" t="str">
        <f t="shared" ca="1" si="1"/>
        <v>✅</v>
      </c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 spans="1:28" ht="13" x14ac:dyDescent="0.15">
      <c r="A723" s="33">
        <f>'Scan to Sheets'!A723</f>
        <v>0</v>
      </c>
      <c r="B723" s="35">
        <f>'Scan to Sheets'!B723</f>
        <v>0</v>
      </c>
      <c r="C723" s="35">
        <f>'Scan to Sheets'!C723</f>
        <v>0</v>
      </c>
      <c r="D723" s="35">
        <f>'Scan to Sheets'!D723</f>
        <v>0</v>
      </c>
      <c r="E723" s="36" t="str">
        <f>IFERROR(VLOOKUP(C723,#REF!, 2, FALSE), "NO ENCONTRADO")</f>
        <v>NO ENCONTRADO</v>
      </c>
      <c r="F723" s="36" t="str">
        <f>IFERROR(VLOOKUP(C723,#REF!, 3, FALSE), "NO ENCONTRADO")</f>
        <v>NO ENCONTRADO</v>
      </c>
      <c r="G723" s="36" t="str">
        <f>IFERROR(VLOOKUP(C723,#REF!, 4, FALSE), "NO ENCONTRADO")</f>
        <v>NO ENCONTRADO</v>
      </c>
      <c r="H723" s="36" t="str">
        <f>IFERROR(VLOOKUP(C723,#REF!, 5, FALSE), "NO ENCONTRADO")</f>
        <v>NO ENCONTRADO</v>
      </c>
      <c r="I723" s="15"/>
      <c r="J723" s="36"/>
      <c r="K723" s="42"/>
      <c r="L723" s="15"/>
      <c r="M723" s="39">
        <f t="shared" ca="1" si="0"/>
        <v>46026</v>
      </c>
      <c r="N723" s="40" t="str">
        <f t="shared" ca="1" si="1"/>
        <v>✅</v>
      </c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spans="1:28" ht="13" x14ac:dyDescent="0.15">
      <c r="A724" s="24">
        <f>'Scan to Sheets'!A724</f>
        <v>0</v>
      </c>
      <c r="B724" s="26">
        <f>'Scan to Sheets'!B724</f>
        <v>0</v>
      </c>
      <c r="C724" s="26">
        <f>'Scan to Sheets'!C724</f>
        <v>0</v>
      </c>
      <c r="D724" s="26">
        <f>'Scan to Sheets'!D724</f>
        <v>0</v>
      </c>
      <c r="E724" s="27" t="str">
        <f>IFERROR(VLOOKUP(C724,#REF!, 2, FALSE), "NO ENCONTRADO")</f>
        <v>NO ENCONTRADO</v>
      </c>
      <c r="F724" s="27" t="str">
        <f>IFERROR(VLOOKUP(C724,#REF!, 3, FALSE), "NO ENCONTRADO")</f>
        <v>NO ENCONTRADO</v>
      </c>
      <c r="G724" s="27" t="str">
        <f>IFERROR(VLOOKUP(C724,#REF!, 4, FALSE), "NO ENCONTRADO")</f>
        <v>NO ENCONTRADO</v>
      </c>
      <c r="H724" s="27" t="str">
        <f>IFERROR(VLOOKUP(C724,#REF!, 5, FALSE), "NO ENCONTRADO")</f>
        <v>NO ENCONTRADO</v>
      </c>
      <c r="I724" s="14"/>
      <c r="J724" s="27"/>
      <c r="K724" s="41"/>
      <c r="L724" s="14"/>
      <c r="M724" s="30">
        <f t="shared" ca="1" si="0"/>
        <v>46026</v>
      </c>
      <c r="N724" s="31" t="str">
        <f t="shared" ca="1" si="1"/>
        <v>✅</v>
      </c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spans="1:28" ht="13" x14ac:dyDescent="0.15">
      <c r="A725" s="33">
        <f>'Scan to Sheets'!A725</f>
        <v>0</v>
      </c>
      <c r="B725" s="35">
        <f>'Scan to Sheets'!B725</f>
        <v>0</v>
      </c>
      <c r="C725" s="35">
        <f>'Scan to Sheets'!C725</f>
        <v>0</v>
      </c>
      <c r="D725" s="35">
        <f>'Scan to Sheets'!D725</f>
        <v>0</v>
      </c>
      <c r="E725" s="36" t="str">
        <f>IFERROR(VLOOKUP(C725,#REF!, 2, FALSE), "NO ENCONTRADO")</f>
        <v>NO ENCONTRADO</v>
      </c>
      <c r="F725" s="36" t="str">
        <f>IFERROR(VLOOKUP(C725,#REF!, 3, FALSE), "NO ENCONTRADO")</f>
        <v>NO ENCONTRADO</v>
      </c>
      <c r="G725" s="36" t="str">
        <f>IFERROR(VLOOKUP(C725,#REF!, 4, FALSE), "NO ENCONTRADO")</f>
        <v>NO ENCONTRADO</v>
      </c>
      <c r="H725" s="36" t="str">
        <f>IFERROR(VLOOKUP(C725,#REF!, 5, FALSE), "NO ENCONTRADO")</f>
        <v>NO ENCONTRADO</v>
      </c>
      <c r="I725" s="15"/>
      <c r="J725" s="36"/>
      <c r="K725" s="42"/>
      <c r="L725" s="15"/>
      <c r="M725" s="39">
        <f t="shared" ca="1" si="0"/>
        <v>46026</v>
      </c>
      <c r="N725" s="40" t="str">
        <f t="shared" ca="1" si="1"/>
        <v>✅</v>
      </c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spans="1:28" ht="13" x14ac:dyDescent="0.15">
      <c r="A726" s="24">
        <f>'Scan to Sheets'!A726</f>
        <v>0</v>
      </c>
      <c r="B726" s="26">
        <f>'Scan to Sheets'!B726</f>
        <v>0</v>
      </c>
      <c r="C726" s="26">
        <f>'Scan to Sheets'!C726</f>
        <v>0</v>
      </c>
      <c r="D726" s="26">
        <f>'Scan to Sheets'!D726</f>
        <v>0</v>
      </c>
      <c r="E726" s="27" t="str">
        <f>IFERROR(VLOOKUP(C726,#REF!, 2, FALSE), "NO ENCONTRADO")</f>
        <v>NO ENCONTRADO</v>
      </c>
      <c r="F726" s="27" t="str">
        <f>IFERROR(VLOOKUP(C726,#REF!, 3, FALSE), "NO ENCONTRADO")</f>
        <v>NO ENCONTRADO</v>
      </c>
      <c r="G726" s="27" t="str">
        <f>IFERROR(VLOOKUP(C726,#REF!, 4, FALSE), "NO ENCONTRADO")</f>
        <v>NO ENCONTRADO</v>
      </c>
      <c r="H726" s="27" t="str">
        <f>IFERROR(VLOOKUP(C726,#REF!, 5, FALSE), "NO ENCONTRADO")</f>
        <v>NO ENCONTRADO</v>
      </c>
      <c r="I726" s="14"/>
      <c r="J726" s="27"/>
      <c r="K726" s="41"/>
      <c r="L726" s="14"/>
      <c r="M726" s="30">
        <f t="shared" ca="1" si="0"/>
        <v>46026</v>
      </c>
      <c r="N726" s="31" t="str">
        <f t="shared" ca="1" si="1"/>
        <v>✅</v>
      </c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spans="1:28" ht="13" x14ac:dyDescent="0.15">
      <c r="A727" s="33">
        <f>'Scan to Sheets'!A727</f>
        <v>0</v>
      </c>
      <c r="B727" s="35">
        <f>'Scan to Sheets'!B727</f>
        <v>0</v>
      </c>
      <c r="C727" s="35">
        <f>'Scan to Sheets'!C727</f>
        <v>0</v>
      </c>
      <c r="D727" s="35">
        <f>'Scan to Sheets'!D727</f>
        <v>0</v>
      </c>
      <c r="E727" s="36" t="str">
        <f>IFERROR(VLOOKUP(C727,#REF!, 2, FALSE), "NO ENCONTRADO")</f>
        <v>NO ENCONTRADO</v>
      </c>
      <c r="F727" s="36" t="str">
        <f>IFERROR(VLOOKUP(C727,#REF!, 3, FALSE), "NO ENCONTRADO")</f>
        <v>NO ENCONTRADO</v>
      </c>
      <c r="G727" s="36" t="str">
        <f>IFERROR(VLOOKUP(C727,#REF!, 4, FALSE), "NO ENCONTRADO")</f>
        <v>NO ENCONTRADO</v>
      </c>
      <c r="H727" s="36" t="str">
        <f>IFERROR(VLOOKUP(C727,#REF!, 5, FALSE), "NO ENCONTRADO")</f>
        <v>NO ENCONTRADO</v>
      </c>
      <c r="I727" s="15"/>
      <c r="J727" s="36"/>
      <c r="K727" s="42"/>
      <c r="L727" s="15"/>
      <c r="M727" s="39">
        <f t="shared" ca="1" si="0"/>
        <v>46026</v>
      </c>
      <c r="N727" s="40" t="str">
        <f t="shared" ca="1" si="1"/>
        <v>✅</v>
      </c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spans="1:28" ht="13" x14ac:dyDescent="0.15">
      <c r="A728" s="24">
        <f>'Scan to Sheets'!A728</f>
        <v>0</v>
      </c>
      <c r="B728" s="26">
        <f>'Scan to Sheets'!B728</f>
        <v>0</v>
      </c>
      <c r="C728" s="26">
        <f>'Scan to Sheets'!C728</f>
        <v>0</v>
      </c>
      <c r="D728" s="26">
        <f>'Scan to Sheets'!D728</f>
        <v>0</v>
      </c>
      <c r="E728" s="27" t="str">
        <f>IFERROR(VLOOKUP(C728,#REF!, 2, FALSE), "NO ENCONTRADO")</f>
        <v>NO ENCONTRADO</v>
      </c>
      <c r="F728" s="27" t="str">
        <f>IFERROR(VLOOKUP(C728,#REF!, 3, FALSE), "NO ENCONTRADO")</f>
        <v>NO ENCONTRADO</v>
      </c>
      <c r="G728" s="27" t="str">
        <f>IFERROR(VLOOKUP(C728,#REF!, 4, FALSE), "NO ENCONTRADO")</f>
        <v>NO ENCONTRADO</v>
      </c>
      <c r="H728" s="27" t="str">
        <f>IFERROR(VLOOKUP(C728,#REF!, 5, FALSE), "NO ENCONTRADO")</f>
        <v>NO ENCONTRADO</v>
      </c>
      <c r="I728" s="14"/>
      <c r="J728" s="27"/>
      <c r="K728" s="41"/>
      <c r="L728" s="14"/>
      <c r="M728" s="30">
        <f t="shared" ca="1" si="0"/>
        <v>46026</v>
      </c>
      <c r="N728" s="31" t="str">
        <f t="shared" ca="1" si="1"/>
        <v>✅</v>
      </c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spans="1:28" ht="13" x14ac:dyDescent="0.15">
      <c r="A729" s="33">
        <f>'Scan to Sheets'!A729</f>
        <v>0</v>
      </c>
      <c r="B729" s="35">
        <f>'Scan to Sheets'!B729</f>
        <v>0</v>
      </c>
      <c r="C729" s="35">
        <f>'Scan to Sheets'!C729</f>
        <v>0</v>
      </c>
      <c r="D729" s="35">
        <f>'Scan to Sheets'!D729</f>
        <v>0</v>
      </c>
      <c r="E729" s="36" t="str">
        <f>IFERROR(VLOOKUP(C729,#REF!, 2, FALSE), "NO ENCONTRADO")</f>
        <v>NO ENCONTRADO</v>
      </c>
      <c r="F729" s="36" t="str">
        <f>IFERROR(VLOOKUP(C729,#REF!, 3, FALSE), "NO ENCONTRADO")</f>
        <v>NO ENCONTRADO</v>
      </c>
      <c r="G729" s="36" t="str">
        <f>IFERROR(VLOOKUP(C729,#REF!, 4, FALSE), "NO ENCONTRADO")</f>
        <v>NO ENCONTRADO</v>
      </c>
      <c r="H729" s="36" t="str">
        <f>IFERROR(VLOOKUP(C729,#REF!, 5, FALSE), "NO ENCONTRADO")</f>
        <v>NO ENCONTRADO</v>
      </c>
      <c r="I729" s="15"/>
      <c r="J729" s="36"/>
      <c r="K729" s="42"/>
      <c r="L729" s="15"/>
      <c r="M729" s="39">
        <f t="shared" ca="1" si="0"/>
        <v>46026</v>
      </c>
      <c r="N729" s="40" t="str">
        <f t="shared" ca="1" si="1"/>
        <v>✅</v>
      </c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spans="1:28" ht="13" x14ac:dyDescent="0.15">
      <c r="A730" s="24">
        <f>'Scan to Sheets'!A730</f>
        <v>0</v>
      </c>
      <c r="B730" s="26">
        <f>'Scan to Sheets'!B730</f>
        <v>0</v>
      </c>
      <c r="C730" s="26">
        <f>'Scan to Sheets'!C730</f>
        <v>0</v>
      </c>
      <c r="D730" s="26">
        <f>'Scan to Sheets'!D730</f>
        <v>0</v>
      </c>
      <c r="E730" s="27" t="str">
        <f>IFERROR(VLOOKUP(C730,#REF!, 2, FALSE), "NO ENCONTRADO")</f>
        <v>NO ENCONTRADO</v>
      </c>
      <c r="F730" s="27" t="str">
        <f>IFERROR(VLOOKUP(C730,#REF!, 3, FALSE), "NO ENCONTRADO")</f>
        <v>NO ENCONTRADO</v>
      </c>
      <c r="G730" s="27" t="str">
        <f>IFERROR(VLOOKUP(C730,#REF!, 4, FALSE), "NO ENCONTRADO")</f>
        <v>NO ENCONTRADO</v>
      </c>
      <c r="H730" s="27" t="str">
        <f>IFERROR(VLOOKUP(C730,#REF!, 5, FALSE), "NO ENCONTRADO")</f>
        <v>NO ENCONTRADO</v>
      </c>
      <c r="I730" s="14"/>
      <c r="J730" s="27"/>
      <c r="K730" s="41"/>
      <c r="L730" s="14"/>
      <c r="M730" s="30">
        <f t="shared" ca="1" si="0"/>
        <v>46026</v>
      </c>
      <c r="N730" s="31" t="str">
        <f t="shared" ca="1" si="1"/>
        <v>✅</v>
      </c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spans="1:28" ht="13" x14ac:dyDescent="0.15">
      <c r="A731" s="33">
        <f>'Scan to Sheets'!A731</f>
        <v>0</v>
      </c>
      <c r="B731" s="35">
        <f>'Scan to Sheets'!B731</f>
        <v>0</v>
      </c>
      <c r="C731" s="35">
        <f>'Scan to Sheets'!C731</f>
        <v>0</v>
      </c>
      <c r="D731" s="35">
        <f>'Scan to Sheets'!D731</f>
        <v>0</v>
      </c>
      <c r="E731" s="36" t="str">
        <f>IFERROR(VLOOKUP(C731,#REF!, 2, FALSE), "NO ENCONTRADO")</f>
        <v>NO ENCONTRADO</v>
      </c>
      <c r="F731" s="36" t="str">
        <f>IFERROR(VLOOKUP(C731,#REF!, 3, FALSE), "NO ENCONTRADO")</f>
        <v>NO ENCONTRADO</v>
      </c>
      <c r="G731" s="36" t="str">
        <f>IFERROR(VLOOKUP(C731,#REF!, 4, FALSE), "NO ENCONTRADO")</f>
        <v>NO ENCONTRADO</v>
      </c>
      <c r="H731" s="36" t="str">
        <f>IFERROR(VLOOKUP(C731,#REF!, 5, FALSE), "NO ENCONTRADO")</f>
        <v>NO ENCONTRADO</v>
      </c>
      <c r="I731" s="15"/>
      <c r="J731" s="36"/>
      <c r="K731" s="42"/>
      <c r="L731" s="15"/>
      <c r="M731" s="39">
        <f t="shared" ca="1" si="0"/>
        <v>46026</v>
      </c>
      <c r="N731" s="40" t="str">
        <f t="shared" ca="1" si="1"/>
        <v>✅</v>
      </c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spans="1:28" ht="13" x14ac:dyDescent="0.15">
      <c r="A732" s="24">
        <f>'Scan to Sheets'!A732</f>
        <v>0</v>
      </c>
      <c r="B732" s="26">
        <f>'Scan to Sheets'!B732</f>
        <v>0</v>
      </c>
      <c r="C732" s="26">
        <f>'Scan to Sheets'!C732</f>
        <v>0</v>
      </c>
      <c r="D732" s="26">
        <f>'Scan to Sheets'!D732</f>
        <v>0</v>
      </c>
      <c r="E732" s="27" t="str">
        <f>IFERROR(VLOOKUP(C732,#REF!, 2, FALSE), "NO ENCONTRADO")</f>
        <v>NO ENCONTRADO</v>
      </c>
      <c r="F732" s="27" t="str">
        <f>IFERROR(VLOOKUP(C732,#REF!, 3, FALSE), "NO ENCONTRADO")</f>
        <v>NO ENCONTRADO</v>
      </c>
      <c r="G732" s="27" t="str">
        <f>IFERROR(VLOOKUP(C732,#REF!, 4, FALSE), "NO ENCONTRADO")</f>
        <v>NO ENCONTRADO</v>
      </c>
      <c r="H732" s="27" t="str">
        <f>IFERROR(VLOOKUP(C732,#REF!, 5, FALSE), "NO ENCONTRADO")</f>
        <v>NO ENCONTRADO</v>
      </c>
      <c r="I732" s="14"/>
      <c r="J732" s="27"/>
      <c r="K732" s="41"/>
      <c r="L732" s="14"/>
      <c r="M732" s="30">
        <f t="shared" ca="1" si="0"/>
        <v>46026</v>
      </c>
      <c r="N732" s="31" t="str">
        <f t="shared" ca="1" si="1"/>
        <v>✅</v>
      </c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spans="1:28" ht="13" x14ac:dyDescent="0.15">
      <c r="A733" s="33">
        <f>'Scan to Sheets'!A733</f>
        <v>0</v>
      </c>
      <c r="B733" s="35">
        <f>'Scan to Sheets'!B733</f>
        <v>0</v>
      </c>
      <c r="C733" s="35">
        <f>'Scan to Sheets'!C733</f>
        <v>0</v>
      </c>
      <c r="D733" s="35">
        <f>'Scan to Sheets'!D733</f>
        <v>0</v>
      </c>
      <c r="E733" s="36" t="str">
        <f>IFERROR(VLOOKUP(C733,#REF!, 2, FALSE), "NO ENCONTRADO")</f>
        <v>NO ENCONTRADO</v>
      </c>
      <c r="F733" s="36" t="str">
        <f>IFERROR(VLOOKUP(C733,#REF!, 3, FALSE), "NO ENCONTRADO")</f>
        <v>NO ENCONTRADO</v>
      </c>
      <c r="G733" s="36" t="str">
        <f>IFERROR(VLOOKUP(C733,#REF!, 4, FALSE), "NO ENCONTRADO")</f>
        <v>NO ENCONTRADO</v>
      </c>
      <c r="H733" s="36" t="str">
        <f>IFERROR(VLOOKUP(C733,#REF!, 5, FALSE), "NO ENCONTRADO")</f>
        <v>NO ENCONTRADO</v>
      </c>
      <c r="I733" s="15"/>
      <c r="J733" s="36"/>
      <c r="K733" s="42"/>
      <c r="L733" s="15"/>
      <c r="M733" s="39">
        <f t="shared" ca="1" si="0"/>
        <v>46026</v>
      </c>
      <c r="N733" s="40" t="str">
        <f t="shared" ca="1" si="1"/>
        <v>✅</v>
      </c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spans="1:28" ht="13" x14ac:dyDescent="0.15">
      <c r="A734" s="24">
        <f>'Scan to Sheets'!A734</f>
        <v>0</v>
      </c>
      <c r="B734" s="26">
        <f>'Scan to Sheets'!B734</f>
        <v>0</v>
      </c>
      <c r="C734" s="26">
        <f>'Scan to Sheets'!C734</f>
        <v>0</v>
      </c>
      <c r="D734" s="26">
        <f>'Scan to Sheets'!D734</f>
        <v>0</v>
      </c>
      <c r="E734" s="27" t="str">
        <f>IFERROR(VLOOKUP(C734,#REF!, 2, FALSE), "NO ENCONTRADO")</f>
        <v>NO ENCONTRADO</v>
      </c>
      <c r="F734" s="27" t="str">
        <f>IFERROR(VLOOKUP(C734,#REF!, 3, FALSE), "NO ENCONTRADO")</f>
        <v>NO ENCONTRADO</v>
      </c>
      <c r="G734" s="27" t="str">
        <f>IFERROR(VLOOKUP(C734,#REF!, 4, FALSE), "NO ENCONTRADO")</f>
        <v>NO ENCONTRADO</v>
      </c>
      <c r="H734" s="27" t="str">
        <f>IFERROR(VLOOKUP(C734,#REF!, 5, FALSE), "NO ENCONTRADO")</f>
        <v>NO ENCONTRADO</v>
      </c>
      <c r="I734" s="14"/>
      <c r="J734" s="27"/>
      <c r="K734" s="41"/>
      <c r="L734" s="14"/>
      <c r="M734" s="30">
        <f t="shared" ca="1" si="0"/>
        <v>46026</v>
      </c>
      <c r="N734" s="31" t="str">
        <f t="shared" ca="1" si="1"/>
        <v>✅</v>
      </c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spans="1:28" ht="13" x14ac:dyDescent="0.15">
      <c r="A735" s="33">
        <f>'Scan to Sheets'!A735</f>
        <v>0</v>
      </c>
      <c r="B735" s="35">
        <f>'Scan to Sheets'!B735</f>
        <v>0</v>
      </c>
      <c r="C735" s="35">
        <f>'Scan to Sheets'!C735</f>
        <v>0</v>
      </c>
      <c r="D735" s="35">
        <f>'Scan to Sheets'!D735</f>
        <v>0</v>
      </c>
      <c r="E735" s="36" t="str">
        <f>IFERROR(VLOOKUP(C735,#REF!, 2, FALSE), "NO ENCONTRADO")</f>
        <v>NO ENCONTRADO</v>
      </c>
      <c r="F735" s="36" t="str">
        <f>IFERROR(VLOOKUP(C735,#REF!, 3, FALSE), "NO ENCONTRADO")</f>
        <v>NO ENCONTRADO</v>
      </c>
      <c r="G735" s="36" t="str">
        <f>IFERROR(VLOOKUP(C735,#REF!, 4, FALSE), "NO ENCONTRADO")</f>
        <v>NO ENCONTRADO</v>
      </c>
      <c r="H735" s="36" t="str">
        <f>IFERROR(VLOOKUP(C735,#REF!, 5, FALSE), "NO ENCONTRADO")</f>
        <v>NO ENCONTRADO</v>
      </c>
      <c r="I735" s="15"/>
      <c r="J735" s="36"/>
      <c r="K735" s="42"/>
      <c r="L735" s="15"/>
      <c r="M735" s="39">
        <f t="shared" ca="1" si="0"/>
        <v>46026</v>
      </c>
      <c r="N735" s="40" t="str">
        <f t="shared" ca="1" si="1"/>
        <v>✅</v>
      </c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spans="1:28" ht="13" x14ac:dyDescent="0.15">
      <c r="A736" s="24">
        <f>'Scan to Sheets'!A736</f>
        <v>0</v>
      </c>
      <c r="B736" s="26">
        <f>'Scan to Sheets'!B736</f>
        <v>0</v>
      </c>
      <c r="C736" s="26">
        <f>'Scan to Sheets'!C736</f>
        <v>0</v>
      </c>
      <c r="D736" s="26">
        <f>'Scan to Sheets'!D736</f>
        <v>0</v>
      </c>
      <c r="E736" s="27" t="str">
        <f>IFERROR(VLOOKUP(C736,#REF!, 2, FALSE), "NO ENCONTRADO")</f>
        <v>NO ENCONTRADO</v>
      </c>
      <c r="F736" s="27" t="str">
        <f>IFERROR(VLOOKUP(C736,#REF!, 3, FALSE), "NO ENCONTRADO")</f>
        <v>NO ENCONTRADO</v>
      </c>
      <c r="G736" s="27" t="str">
        <f>IFERROR(VLOOKUP(C736,#REF!, 4, FALSE), "NO ENCONTRADO")</f>
        <v>NO ENCONTRADO</v>
      </c>
      <c r="H736" s="27" t="str">
        <f>IFERROR(VLOOKUP(C736,#REF!, 5, FALSE), "NO ENCONTRADO")</f>
        <v>NO ENCONTRADO</v>
      </c>
      <c r="I736" s="14"/>
      <c r="J736" s="27"/>
      <c r="K736" s="41"/>
      <c r="L736" s="14"/>
      <c r="M736" s="30">
        <f t="shared" ca="1" si="0"/>
        <v>46026</v>
      </c>
      <c r="N736" s="31" t="str">
        <f t="shared" ca="1" si="1"/>
        <v>✅</v>
      </c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 spans="1:28" ht="13" x14ac:dyDescent="0.15">
      <c r="A737" s="33">
        <f>'Scan to Sheets'!A737</f>
        <v>0</v>
      </c>
      <c r="B737" s="35">
        <f>'Scan to Sheets'!B737</f>
        <v>0</v>
      </c>
      <c r="C737" s="35">
        <f>'Scan to Sheets'!C737</f>
        <v>0</v>
      </c>
      <c r="D737" s="35">
        <f>'Scan to Sheets'!D737</f>
        <v>0</v>
      </c>
      <c r="E737" s="36" t="str">
        <f>IFERROR(VLOOKUP(C737,#REF!, 2, FALSE), "NO ENCONTRADO")</f>
        <v>NO ENCONTRADO</v>
      </c>
      <c r="F737" s="36" t="str">
        <f>IFERROR(VLOOKUP(C737,#REF!, 3, FALSE), "NO ENCONTRADO")</f>
        <v>NO ENCONTRADO</v>
      </c>
      <c r="G737" s="36" t="str">
        <f>IFERROR(VLOOKUP(C737,#REF!, 4, FALSE), "NO ENCONTRADO")</f>
        <v>NO ENCONTRADO</v>
      </c>
      <c r="H737" s="36" t="str">
        <f>IFERROR(VLOOKUP(C737,#REF!, 5, FALSE), "NO ENCONTRADO")</f>
        <v>NO ENCONTRADO</v>
      </c>
      <c r="I737" s="15"/>
      <c r="J737" s="36"/>
      <c r="K737" s="42"/>
      <c r="L737" s="15"/>
      <c r="M737" s="39">
        <f t="shared" ca="1" si="0"/>
        <v>46026</v>
      </c>
      <c r="N737" s="40" t="str">
        <f t="shared" ca="1" si="1"/>
        <v>✅</v>
      </c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 spans="1:28" ht="13" x14ac:dyDescent="0.15">
      <c r="A738" s="24">
        <f>'Scan to Sheets'!A738</f>
        <v>0</v>
      </c>
      <c r="B738" s="26">
        <f>'Scan to Sheets'!B738</f>
        <v>0</v>
      </c>
      <c r="C738" s="26">
        <f>'Scan to Sheets'!C738</f>
        <v>0</v>
      </c>
      <c r="D738" s="26">
        <f>'Scan to Sheets'!D738</f>
        <v>0</v>
      </c>
      <c r="E738" s="27" t="str">
        <f>IFERROR(VLOOKUP(C738,#REF!, 2, FALSE), "NO ENCONTRADO")</f>
        <v>NO ENCONTRADO</v>
      </c>
      <c r="F738" s="27" t="str">
        <f>IFERROR(VLOOKUP(C738,#REF!, 3, FALSE), "NO ENCONTRADO")</f>
        <v>NO ENCONTRADO</v>
      </c>
      <c r="G738" s="27" t="str">
        <f>IFERROR(VLOOKUP(C738,#REF!, 4, FALSE), "NO ENCONTRADO")</f>
        <v>NO ENCONTRADO</v>
      </c>
      <c r="H738" s="27" t="str">
        <f>IFERROR(VLOOKUP(C738,#REF!, 5, FALSE), "NO ENCONTRADO")</f>
        <v>NO ENCONTRADO</v>
      </c>
      <c r="I738" s="14"/>
      <c r="J738" s="27"/>
      <c r="K738" s="41"/>
      <c r="L738" s="14"/>
      <c r="M738" s="30">
        <f t="shared" ca="1" si="0"/>
        <v>46026</v>
      </c>
      <c r="N738" s="31" t="str">
        <f t="shared" ca="1" si="1"/>
        <v>✅</v>
      </c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 spans="1:28" ht="13" x14ac:dyDescent="0.15">
      <c r="A739" s="33">
        <f>'Scan to Sheets'!A739</f>
        <v>0</v>
      </c>
      <c r="B739" s="35">
        <f>'Scan to Sheets'!B739</f>
        <v>0</v>
      </c>
      <c r="C739" s="35">
        <f>'Scan to Sheets'!C739</f>
        <v>0</v>
      </c>
      <c r="D739" s="35">
        <f>'Scan to Sheets'!D739</f>
        <v>0</v>
      </c>
      <c r="E739" s="36" t="str">
        <f>IFERROR(VLOOKUP(C739,#REF!, 2, FALSE), "NO ENCONTRADO")</f>
        <v>NO ENCONTRADO</v>
      </c>
      <c r="F739" s="36" t="str">
        <f>IFERROR(VLOOKUP(C739,#REF!, 3, FALSE), "NO ENCONTRADO")</f>
        <v>NO ENCONTRADO</v>
      </c>
      <c r="G739" s="36" t="str">
        <f>IFERROR(VLOOKUP(C739,#REF!, 4, FALSE), "NO ENCONTRADO")</f>
        <v>NO ENCONTRADO</v>
      </c>
      <c r="H739" s="36" t="str">
        <f>IFERROR(VLOOKUP(C739,#REF!, 5, FALSE), "NO ENCONTRADO")</f>
        <v>NO ENCONTRADO</v>
      </c>
      <c r="I739" s="15"/>
      <c r="J739" s="36"/>
      <c r="K739" s="42"/>
      <c r="L739" s="15"/>
      <c r="M739" s="39">
        <f t="shared" ca="1" si="0"/>
        <v>46026</v>
      </c>
      <c r="N739" s="40" t="str">
        <f t="shared" ca="1" si="1"/>
        <v>✅</v>
      </c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 spans="1:28" ht="13" x14ac:dyDescent="0.15">
      <c r="A740" s="24">
        <f>'Scan to Sheets'!A740</f>
        <v>0</v>
      </c>
      <c r="B740" s="26">
        <f>'Scan to Sheets'!B740</f>
        <v>0</v>
      </c>
      <c r="C740" s="26">
        <f>'Scan to Sheets'!C740</f>
        <v>0</v>
      </c>
      <c r="D740" s="26">
        <f>'Scan to Sheets'!D740</f>
        <v>0</v>
      </c>
      <c r="E740" s="27" t="str">
        <f>IFERROR(VLOOKUP(C740,#REF!, 2, FALSE), "NO ENCONTRADO")</f>
        <v>NO ENCONTRADO</v>
      </c>
      <c r="F740" s="27" t="str">
        <f>IFERROR(VLOOKUP(C740,#REF!, 3, FALSE), "NO ENCONTRADO")</f>
        <v>NO ENCONTRADO</v>
      </c>
      <c r="G740" s="27" t="str">
        <f>IFERROR(VLOOKUP(C740,#REF!, 4, FALSE), "NO ENCONTRADO")</f>
        <v>NO ENCONTRADO</v>
      </c>
      <c r="H740" s="27" t="str">
        <f>IFERROR(VLOOKUP(C740,#REF!, 5, FALSE), "NO ENCONTRADO")</f>
        <v>NO ENCONTRADO</v>
      </c>
      <c r="I740" s="14"/>
      <c r="J740" s="27"/>
      <c r="K740" s="41"/>
      <c r="L740" s="14"/>
      <c r="M740" s="30">
        <f t="shared" ca="1" si="0"/>
        <v>46026</v>
      </c>
      <c r="N740" s="31" t="str">
        <f t="shared" ca="1" si="1"/>
        <v>✅</v>
      </c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 spans="1:28" ht="13" x14ac:dyDescent="0.15">
      <c r="A741" s="33">
        <f>'Scan to Sheets'!A741</f>
        <v>0</v>
      </c>
      <c r="B741" s="35">
        <f>'Scan to Sheets'!B741</f>
        <v>0</v>
      </c>
      <c r="C741" s="35">
        <f>'Scan to Sheets'!C741</f>
        <v>0</v>
      </c>
      <c r="D741" s="35">
        <f>'Scan to Sheets'!D741</f>
        <v>0</v>
      </c>
      <c r="E741" s="36" t="str">
        <f>IFERROR(VLOOKUP(C741,#REF!, 2, FALSE), "NO ENCONTRADO")</f>
        <v>NO ENCONTRADO</v>
      </c>
      <c r="F741" s="36" t="str">
        <f>IFERROR(VLOOKUP(C741,#REF!, 3, FALSE), "NO ENCONTRADO")</f>
        <v>NO ENCONTRADO</v>
      </c>
      <c r="G741" s="36" t="str">
        <f>IFERROR(VLOOKUP(C741,#REF!, 4, FALSE), "NO ENCONTRADO")</f>
        <v>NO ENCONTRADO</v>
      </c>
      <c r="H741" s="36" t="str">
        <f>IFERROR(VLOOKUP(C741,#REF!, 5, FALSE), "NO ENCONTRADO")</f>
        <v>NO ENCONTRADO</v>
      </c>
      <c r="I741" s="15"/>
      <c r="J741" s="36"/>
      <c r="K741" s="42"/>
      <c r="L741" s="15"/>
      <c r="M741" s="39">
        <f t="shared" ca="1" si="0"/>
        <v>46026</v>
      </c>
      <c r="N741" s="40" t="str">
        <f t="shared" ca="1" si="1"/>
        <v>✅</v>
      </c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 spans="1:28" ht="13" x14ac:dyDescent="0.15">
      <c r="A742" s="24">
        <f>'Scan to Sheets'!A742</f>
        <v>0</v>
      </c>
      <c r="B742" s="26">
        <f>'Scan to Sheets'!B742</f>
        <v>0</v>
      </c>
      <c r="C742" s="26">
        <f>'Scan to Sheets'!C742</f>
        <v>0</v>
      </c>
      <c r="D742" s="26">
        <f>'Scan to Sheets'!D742</f>
        <v>0</v>
      </c>
      <c r="E742" s="27" t="str">
        <f>IFERROR(VLOOKUP(C742,#REF!, 2, FALSE), "NO ENCONTRADO")</f>
        <v>NO ENCONTRADO</v>
      </c>
      <c r="F742" s="27" t="str">
        <f>IFERROR(VLOOKUP(C742,#REF!, 3, FALSE), "NO ENCONTRADO")</f>
        <v>NO ENCONTRADO</v>
      </c>
      <c r="G742" s="27" t="str">
        <f>IFERROR(VLOOKUP(C742,#REF!, 4, FALSE), "NO ENCONTRADO")</f>
        <v>NO ENCONTRADO</v>
      </c>
      <c r="H742" s="27" t="str">
        <f>IFERROR(VLOOKUP(C742,#REF!, 5, FALSE), "NO ENCONTRADO")</f>
        <v>NO ENCONTRADO</v>
      </c>
      <c r="I742" s="14"/>
      <c r="J742" s="27"/>
      <c r="K742" s="41"/>
      <c r="L742" s="14"/>
      <c r="M742" s="30">
        <f t="shared" ca="1" si="0"/>
        <v>46026</v>
      </c>
      <c r="N742" s="31" t="str">
        <f t="shared" ca="1" si="1"/>
        <v>✅</v>
      </c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 spans="1:28" ht="13" x14ac:dyDescent="0.15">
      <c r="A743" s="33">
        <f>'Scan to Sheets'!A743</f>
        <v>0</v>
      </c>
      <c r="B743" s="35">
        <f>'Scan to Sheets'!B743</f>
        <v>0</v>
      </c>
      <c r="C743" s="35">
        <f>'Scan to Sheets'!C743</f>
        <v>0</v>
      </c>
      <c r="D743" s="35">
        <f>'Scan to Sheets'!D743</f>
        <v>0</v>
      </c>
      <c r="E743" s="36" t="str">
        <f>IFERROR(VLOOKUP(C743,#REF!, 2, FALSE), "NO ENCONTRADO")</f>
        <v>NO ENCONTRADO</v>
      </c>
      <c r="F743" s="36" t="str">
        <f>IFERROR(VLOOKUP(C743,#REF!, 3, FALSE), "NO ENCONTRADO")</f>
        <v>NO ENCONTRADO</v>
      </c>
      <c r="G743" s="36" t="str">
        <f>IFERROR(VLOOKUP(C743,#REF!, 4, FALSE), "NO ENCONTRADO")</f>
        <v>NO ENCONTRADO</v>
      </c>
      <c r="H743" s="36" t="str">
        <f>IFERROR(VLOOKUP(C743,#REF!, 5, FALSE), "NO ENCONTRADO")</f>
        <v>NO ENCONTRADO</v>
      </c>
      <c r="I743" s="15"/>
      <c r="J743" s="36"/>
      <c r="K743" s="42"/>
      <c r="L743" s="15"/>
      <c r="M743" s="39">
        <f t="shared" ca="1" si="0"/>
        <v>46026</v>
      </c>
      <c r="N743" s="40" t="str">
        <f t="shared" ca="1" si="1"/>
        <v>✅</v>
      </c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 spans="1:28" ht="13" x14ac:dyDescent="0.15">
      <c r="A744" s="24">
        <f>'Scan to Sheets'!A744</f>
        <v>0</v>
      </c>
      <c r="B744" s="26">
        <f>'Scan to Sheets'!B744</f>
        <v>0</v>
      </c>
      <c r="C744" s="26">
        <f>'Scan to Sheets'!C744</f>
        <v>0</v>
      </c>
      <c r="D744" s="26">
        <f>'Scan to Sheets'!D744</f>
        <v>0</v>
      </c>
      <c r="E744" s="27" t="str">
        <f>IFERROR(VLOOKUP(C744,#REF!, 2, FALSE), "NO ENCONTRADO")</f>
        <v>NO ENCONTRADO</v>
      </c>
      <c r="F744" s="27" t="str">
        <f>IFERROR(VLOOKUP(C744,#REF!, 3, FALSE), "NO ENCONTRADO")</f>
        <v>NO ENCONTRADO</v>
      </c>
      <c r="G744" s="27" t="str">
        <f>IFERROR(VLOOKUP(C744,#REF!, 4, FALSE), "NO ENCONTRADO")</f>
        <v>NO ENCONTRADO</v>
      </c>
      <c r="H744" s="27" t="str">
        <f>IFERROR(VLOOKUP(C744,#REF!, 5, FALSE), "NO ENCONTRADO")</f>
        <v>NO ENCONTRADO</v>
      </c>
      <c r="I744" s="14"/>
      <c r="J744" s="27"/>
      <c r="K744" s="41"/>
      <c r="L744" s="14"/>
      <c r="M744" s="30">
        <f t="shared" ca="1" si="0"/>
        <v>46026</v>
      </c>
      <c r="N744" s="31" t="str">
        <f t="shared" ca="1" si="1"/>
        <v>✅</v>
      </c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 spans="1:28" ht="13" x14ac:dyDescent="0.15">
      <c r="A745" s="33">
        <f>'Scan to Sheets'!A745</f>
        <v>0</v>
      </c>
      <c r="B745" s="35">
        <f>'Scan to Sheets'!B745</f>
        <v>0</v>
      </c>
      <c r="C745" s="35">
        <f>'Scan to Sheets'!C745</f>
        <v>0</v>
      </c>
      <c r="D745" s="35">
        <f>'Scan to Sheets'!D745</f>
        <v>0</v>
      </c>
      <c r="E745" s="36" t="str">
        <f>IFERROR(VLOOKUP(C745,#REF!, 2, FALSE), "NO ENCONTRADO")</f>
        <v>NO ENCONTRADO</v>
      </c>
      <c r="F745" s="36" t="str">
        <f>IFERROR(VLOOKUP(C745,#REF!, 3, FALSE), "NO ENCONTRADO")</f>
        <v>NO ENCONTRADO</v>
      </c>
      <c r="G745" s="36" t="str">
        <f>IFERROR(VLOOKUP(C745,#REF!, 4, FALSE), "NO ENCONTRADO")</f>
        <v>NO ENCONTRADO</v>
      </c>
      <c r="H745" s="36" t="str">
        <f>IFERROR(VLOOKUP(C745,#REF!, 5, FALSE), "NO ENCONTRADO")</f>
        <v>NO ENCONTRADO</v>
      </c>
      <c r="I745" s="15"/>
      <c r="J745" s="36"/>
      <c r="K745" s="42"/>
      <c r="L745" s="15"/>
      <c r="M745" s="39">
        <f t="shared" ca="1" si="0"/>
        <v>46026</v>
      </c>
      <c r="N745" s="40" t="str">
        <f t="shared" ca="1" si="1"/>
        <v>✅</v>
      </c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 spans="1:28" ht="13" x14ac:dyDescent="0.15">
      <c r="A746" s="24">
        <f>'Scan to Sheets'!A746</f>
        <v>0</v>
      </c>
      <c r="B746" s="26">
        <f>'Scan to Sheets'!B746</f>
        <v>0</v>
      </c>
      <c r="C746" s="26">
        <f>'Scan to Sheets'!C746</f>
        <v>0</v>
      </c>
      <c r="D746" s="26">
        <f>'Scan to Sheets'!D746</f>
        <v>0</v>
      </c>
      <c r="E746" s="27" t="str">
        <f>IFERROR(VLOOKUP(C746,#REF!, 2, FALSE), "NO ENCONTRADO")</f>
        <v>NO ENCONTRADO</v>
      </c>
      <c r="F746" s="27" t="str">
        <f>IFERROR(VLOOKUP(C746,#REF!, 3, FALSE), "NO ENCONTRADO")</f>
        <v>NO ENCONTRADO</v>
      </c>
      <c r="G746" s="27" t="str">
        <f>IFERROR(VLOOKUP(C746,#REF!, 4, FALSE), "NO ENCONTRADO")</f>
        <v>NO ENCONTRADO</v>
      </c>
      <c r="H746" s="27" t="str">
        <f>IFERROR(VLOOKUP(C746,#REF!, 5, FALSE), "NO ENCONTRADO")</f>
        <v>NO ENCONTRADO</v>
      </c>
      <c r="I746" s="14"/>
      <c r="J746" s="27"/>
      <c r="K746" s="41"/>
      <c r="L746" s="14"/>
      <c r="M746" s="30">
        <f t="shared" ca="1" si="0"/>
        <v>46026</v>
      </c>
      <c r="N746" s="31" t="str">
        <f t="shared" ca="1" si="1"/>
        <v>✅</v>
      </c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 spans="1:28" ht="13" x14ac:dyDescent="0.15">
      <c r="A747" s="33">
        <f>'Scan to Sheets'!A747</f>
        <v>0</v>
      </c>
      <c r="B747" s="35">
        <f>'Scan to Sheets'!B747</f>
        <v>0</v>
      </c>
      <c r="C747" s="35">
        <f>'Scan to Sheets'!C747</f>
        <v>0</v>
      </c>
      <c r="D747" s="35">
        <f>'Scan to Sheets'!D747</f>
        <v>0</v>
      </c>
      <c r="E747" s="36" t="str">
        <f>IFERROR(VLOOKUP(C747,#REF!, 2, FALSE), "NO ENCONTRADO")</f>
        <v>NO ENCONTRADO</v>
      </c>
      <c r="F747" s="36" t="str">
        <f>IFERROR(VLOOKUP(C747,#REF!, 3, FALSE), "NO ENCONTRADO")</f>
        <v>NO ENCONTRADO</v>
      </c>
      <c r="G747" s="36" t="str">
        <f>IFERROR(VLOOKUP(C747,#REF!, 4, FALSE), "NO ENCONTRADO")</f>
        <v>NO ENCONTRADO</v>
      </c>
      <c r="H747" s="36" t="str">
        <f>IFERROR(VLOOKUP(C747,#REF!, 5, FALSE), "NO ENCONTRADO")</f>
        <v>NO ENCONTRADO</v>
      </c>
      <c r="I747" s="15"/>
      <c r="J747" s="36"/>
      <c r="K747" s="42"/>
      <c r="L747" s="15"/>
      <c r="M747" s="39">
        <f t="shared" ca="1" si="0"/>
        <v>46026</v>
      </c>
      <c r="N747" s="40" t="str">
        <f t="shared" ca="1" si="1"/>
        <v>✅</v>
      </c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spans="1:28" ht="13" x14ac:dyDescent="0.15">
      <c r="A748" s="24">
        <f>'Scan to Sheets'!A748</f>
        <v>0</v>
      </c>
      <c r="B748" s="26">
        <f>'Scan to Sheets'!B748</f>
        <v>0</v>
      </c>
      <c r="C748" s="26">
        <f>'Scan to Sheets'!C748</f>
        <v>0</v>
      </c>
      <c r="D748" s="26">
        <f>'Scan to Sheets'!D748</f>
        <v>0</v>
      </c>
      <c r="E748" s="27" t="str">
        <f>IFERROR(VLOOKUP(C748,#REF!, 2, FALSE), "NO ENCONTRADO")</f>
        <v>NO ENCONTRADO</v>
      </c>
      <c r="F748" s="27" t="str">
        <f>IFERROR(VLOOKUP(C748,#REF!, 3, FALSE), "NO ENCONTRADO")</f>
        <v>NO ENCONTRADO</v>
      </c>
      <c r="G748" s="27" t="str">
        <f>IFERROR(VLOOKUP(C748,#REF!, 4, FALSE), "NO ENCONTRADO")</f>
        <v>NO ENCONTRADO</v>
      </c>
      <c r="H748" s="27" t="str">
        <f>IFERROR(VLOOKUP(C748,#REF!, 5, FALSE), "NO ENCONTRADO")</f>
        <v>NO ENCONTRADO</v>
      </c>
      <c r="I748" s="14"/>
      <c r="J748" s="27"/>
      <c r="K748" s="41"/>
      <c r="L748" s="14"/>
      <c r="M748" s="30">
        <f t="shared" ca="1" si="0"/>
        <v>46026</v>
      </c>
      <c r="N748" s="31" t="str">
        <f t="shared" ca="1" si="1"/>
        <v>✅</v>
      </c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spans="1:28" ht="13" x14ac:dyDescent="0.15">
      <c r="A749" s="33">
        <f>'Scan to Sheets'!A749</f>
        <v>0</v>
      </c>
      <c r="B749" s="35">
        <f>'Scan to Sheets'!B749</f>
        <v>0</v>
      </c>
      <c r="C749" s="35">
        <f>'Scan to Sheets'!C749</f>
        <v>0</v>
      </c>
      <c r="D749" s="35">
        <f>'Scan to Sheets'!D749</f>
        <v>0</v>
      </c>
      <c r="E749" s="36" t="str">
        <f>IFERROR(VLOOKUP(C749,#REF!, 2, FALSE), "NO ENCONTRADO")</f>
        <v>NO ENCONTRADO</v>
      </c>
      <c r="F749" s="36" t="str">
        <f>IFERROR(VLOOKUP(C749,#REF!, 3, FALSE), "NO ENCONTRADO")</f>
        <v>NO ENCONTRADO</v>
      </c>
      <c r="G749" s="36" t="str">
        <f>IFERROR(VLOOKUP(C749,#REF!, 4, FALSE), "NO ENCONTRADO")</f>
        <v>NO ENCONTRADO</v>
      </c>
      <c r="H749" s="36" t="str">
        <f>IFERROR(VLOOKUP(C749,#REF!, 5, FALSE), "NO ENCONTRADO")</f>
        <v>NO ENCONTRADO</v>
      </c>
      <c r="I749" s="15"/>
      <c r="J749" s="36"/>
      <c r="K749" s="42"/>
      <c r="L749" s="15"/>
      <c r="M749" s="39">
        <f t="shared" ca="1" si="0"/>
        <v>46026</v>
      </c>
      <c r="N749" s="40" t="str">
        <f t="shared" ca="1" si="1"/>
        <v>✅</v>
      </c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spans="1:28" ht="13" x14ac:dyDescent="0.15">
      <c r="A750" s="24">
        <f>'Scan to Sheets'!A750</f>
        <v>0</v>
      </c>
      <c r="B750" s="26">
        <f>'Scan to Sheets'!B750</f>
        <v>0</v>
      </c>
      <c r="C750" s="26">
        <f>'Scan to Sheets'!C750</f>
        <v>0</v>
      </c>
      <c r="D750" s="26">
        <f>'Scan to Sheets'!D750</f>
        <v>0</v>
      </c>
      <c r="E750" s="27" t="str">
        <f>IFERROR(VLOOKUP(C750,#REF!, 2, FALSE), "NO ENCONTRADO")</f>
        <v>NO ENCONTRADO</v>
      </c>
      <c r="F750" s="27" t="str">
        <f>IFERROR(VLOOKUP(C750,#REF!, 3, FALSE), "NO ENCONTRADO")</f>
        <v>NO ENCONTRADO</v>
      </c>
      <c r="G750" s="27" t="str">
        <f>IFERROR(VLOOKUP(C750,#REF!, 4, FALSE), "NO ENCONTRADO")</f>
        <v>NO ENCONTRADO</v>
      </c>
      <c r="H750" s="27" t="str">
        <f>IFERROR(VLOOKUP(C750,#REF!, 5, FALSE), "NO ENCONTRADO")</f>
        <v>NO ENCONTRADO</v>
      </c>
      <c r="I750" s="14"/>
      <c r="J750" s="27"/>
      <c r="K750" s="41"/>
      <c r="L750" s="14"/>
      <c r="M750" s="30">
        <f t="shared" ca="1" si="0"/>
        <v>46026</v>
      </c>
      <c r="N750" s="31" t="str">
        <f t="shared" ca="1" si="1"/>
        <v>✅</v>
      </c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spans="1:28" ht="13" x14ac:dyDescent="0.15">
      <c r="A751" s="33">
        <f>'Scan to Sheets'!A751</f>
        <v>0</v>
      </c>
      <c r="B751" s="35">
        <f>'Scan to Sheets'!B751</f>
        <v>0</v>
      </c>
      <c r="C751" s="35">
        <f>'Scan to Sheets'!C751</f>
        <v>0</v>
      </c>
      <c r="D751" s="35">
        <f>'Scan to Sheets'!D751</f>
        <v>0</v>
      </c>
      <c r="E751" s="36" t="str">
        <f>IFERROR(VLOOKUP(C751,#REF!, 2, FALSE), "NO ENCONTRADO")</f>
        <v>NO ENCONTRADO</v>
      </c>
      <c r="F751" s="36" t="str">
        <f>IFERROR(VLOOKUP(C751,#REF!, 3, FALSE), "NO ENCONTRADO")</f>
        <v>NO ENCONTRADO</v>
      </c>
      <c r="G751" s="36" t="str">
        <f>IFERROR(VLOOKUP(C751,#REF!, 4, FALSE), "NO ENCONTRADO")</f>
        <v>NO ENCONTRADO</v>
      </c>
      <c r="H751" s="36" t="str">
        <f>IFERROR(VLOOKUP(C751,#REF!, 5, FALSE), "NO ENCONTRADO")</f>
        <v>NO ENCONTRADO</v>
      </c>
      <c r="I751" s="15"/>
      <c r="J751" s="36"/>
      <c r="K751" s="42"/>
      <c r="L751" s="15"/>
      <c r="M751" s="39">
        <f t="shared" ca="1" si="0"/>
        <v>46026</v>
      </c>
      <c r="N751" s="40" t="str">
        <f t="shared" ca="1" si="1"/>
        <v>✅</v>
      </c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spans="1:28" ht="13" x14ac:dyDescent="0.15">
      <c r="A752" s="24">
        <f>'Scan to Sheets'!A752</f>
        <v>0</v>
      </c>
      <c r="B752" s="26">
        <f>'Scan to Sheets'!B752</f>
        <v>0</v>
      </c>
      <c r="C752" s="26">
        <f>'Scan to Sheets'!C752</f>
        <v>0</v>
      </c>
      <c r="D752" s="26">
        <f>'Scan to Sheets'!D752</f>
        <v>0</v>
      </c>
      <c r="E752" s="27" t="str">
        <f>IFERROR(VLOOKUP(C752,#REF!, 2, FALSE), "NO ENCONTRADO")</f>
        <v>NO ENCONTRADO</v>
      </c>
      <c r="F752" s="27" t="str">
        <f>IFERROR(VLOOKUP(C752,#REF!, 3, FALSE), "NO ENCONTRADO")</f>
        <v>NO ENCONTRADO</v>
      </c>
      <c r="G752" s="27" t="str">
        <f>IFERROR(VLOOKUP(C752,#REF!, 4, FALSE), "NO ENCONTRADO")</f>
        <v>NO ENCONTRADO</v>
      </c>
      <c r="H752" s="27" t="str">
        <f>IFERROR(VLOOKUP(C752,#REF!, 5, FALSE), "NO ENCONTRADO")</f>
        <v>NO ENCONTRADO</v>
      </c>
      <c r="I752" s="14"/>
      <c r="J752" s="27"/>
      <c r="K752" s="41"/>
      <c r="L752" s="14"/>
      <c r="M752" s="30">
        <f t="shared" ca="1" si="0"/>
        <v>46026</v>
      </c>
      <c r="N752" s="31" t="str">
        <f t="shared" ca="1" si="1"/>
        <v>✅</v>
      </c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 spans="1:28" ht="13" x14ac:dyDescent="0.15">
      <c r="A753" s="33">
        <f>'Scan to Sheets'!A753</f>
        <v>0</v>
      </c>
      <c r="B753" s="35">
        <f>'Scan to Sheets'!B753</f>
        <v>0</v>
      </c>
      <c r="C753" s="35">
        <f>'Scan to Sheets'!C753</f>
        <v>0</v>
      </c>
      <c r="D753" s="35">
        <f>'Scan to Sheets'!D753</f>
        <v>0</v>
      </c>
      <c r="E753" s="36" t="str">
        <f>IFERROR(VLOOKUP(C753,#REF!, 2, FALSE), "NO ENCONTRADO")</f>
        <v>NO ENCONTRADO</v>
      </c>
      <c r="F753" s="36" t="str">
        <f>IFERROR(VLOOKUP(C753,#REF!, 3, FALSE), "NO ENCONTRADO")</f>
        <v>NO ENCONTRADO</v>
      </c>
      <c r="G753" s="36" t="str">
        <f>IFERROR(VLOOKUP(C753,#REF!, 4, FALSE), "NO ENCONTRADO")</f>
        <v>NO ENCONTRADO</v>
      </c>
      <c r="H753" s="36" t="str">
        <f>IFERROR(VLOOKUP(C753,#REF!, 5, FALSE), "NO ENCONTRADO")</f>
        <v>NO ENCONTRADO</v>
      </c>
      <c r="I753" s="15"/>
      <c r="J753" s="36"/>
      <c r="K753" s="42"/>
      <c r="L753" s="15"/>
      <c r="M753" s="39">
        <f t="shared" ca="1" si="0"/>
        <v>46026</v>
      </c>
      <c r="N753" s="40" t="str">
        <f t="shared" ca="1" si="1"/>
        <v>✅</v>
      </c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 spans="1:28" ht="13" x14ac:dyDescent="0.15">
      <c r="A754" s="24">
        <f>'Scan to Sheets'!A754</f>
        <v>0</v>
      </c>
      <c r="B754" s="26">
        <f>'Scan to Sheets'!B754</f>
        <v>0</v>
      </c>
      <c r="C754" s="26">
        <f>'Scan to Sheets'!C754</f>
        <v>0</v>
      </c>
      <c r="D754" s="26">
        <f>'Scan to Sheets'!D754</f>
        <v>0</v>
      </c>
      <c r="E754" s="27" t="str">
        <f>IFERROR(VLOOKUP(C754,#REF!, 2, FALSE), "NO ENCONTRADO")</f>
        <v>NO ENCONTRADO</v>
      </c>
      <c r="F754" s="27" t="str">
        <f>IFERROR(VLOOKUP(C754,#REF!, 3, FALSE), "NO ENCONTRADO")</f>
        <v>NO ENCONTRADO</v>
      </c>
      <c r="G754" s="27" t="str">
        <f>IFERROR(VLOOKUP(C754,#REF!, 4, FALSE), "NO ENCONTRADO")</f>
        <v>NO ENCONTRADO</v>
      </c>
      <c r="H754" s="27" t="str">
        <f>IFERROR(VLOOKUP(C754,#REF!, 5, FALSE), "NO ENCONTRADO")</f>
        <v>NO ENCONTRADO</v>
      </c>
      <c r="I754" s="14"/>
      <c r="J754" s="27"/>
      <c r="K754" s="41"/>
      <c r="L754" s="14"/>
      <c r="M754" s="30">
        <f t="shared" ca="1" si="0"/>
        <v>46026</v>
      </c>
      <c r="N754" s="31" t="str">
        <f t="shared" ca="1" si="1"/>
        <v>✅</v>
      </c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 spans="1:28" ht="13" x14ac:dyDescent="0.15">
      <c r="A755" s="33">
        <f>'Scan to Sheets'!A755</f>
        <v>0</v>
      </c>
      <c r="B755" s="35">
        <f>'Scan to Sheets'!B755</f>
        <v>0</v>
      </c>
      <c r="C755" s="35">
        <f>'Scan to Sheets'!C755</f>
        <v>0</v>
      </c>
      <c r="D755" s="35">
        <f>'Scan to Sheets'!D755</f>
        <v>0</v>
      </c>
      <c r="E755" s="36" t="str">
        <f>IFERROR(VLOOKUP(C755,#REF!, 2, FALSE), "NO ENCONTRADO")</f>
        <v>NO ENCONTRADO</v>
      </c>
      <c r="F755" s="36" t="str">
        <f>IFERROR(VLOOKUP(C755,#REF!, 3, FALSE), "NO ENCONTRADO")</f>
        <v>NO ENCONTRADO</v>
      </c>
      <c r="G755" s="36" t="str">
        <f>IFERROR(VLOOKUP(C755,#REF!, 4, FALSE), "NO ENCONTRADO")</f>
        <v>NO ENCONTRADO</v>
      </c>
      <c r="H755" s="36" t="str">
        <f>IFERROR(VLOOKUP(C755,#REF!, 5, FALSE), "NO ENCONTRADO")</f>
        <v>NO ENCONTRADO</v>
      </c>
      <c r="I755" s="15"/>
      <c r="J755" s="36"/>
      <c r="K755" s="42"/>
      <c r="L755" s="15"/>
      <c r="M755" s="39">
        <f t="shared" ca="1" si="0"/>
        <v>46026</v>
      </c>
      <c r="N755" s="40" t="str">
        <f t="shared" ca="1" si="1"/>
        <v>✅</v>
      </c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 spans="1:28" ht="13" x14ac:dyDescent="0.15">
      <c r="A756" s="24">
        <f>'Scan to Sheets'!A756</f>
        <v>0</v>
      </c>
      <c r="B756" s="26">
        <f>'Scan to Sheets'!B756</f>
        <v>0</v>
      </c>
      <c r="C756" s="26">
        <f>'Scan to Sheets'!C756</f>
        <v>0</v>
      </c>
      <c r="D756" s="26">
        <f>'Scan to Sheets'!D756</f>
        <v>0</v>
      </c>
      <c r="E756" s="27" t="str">
        <f>IFERROR(VLOOKUP(C756,#REF!, 2, FALSE), "NO ENCONTRADO")</f>
        <v>NO ENCONTRADO</v>
      </c>
      <c r="F756" s="27" t="str">
        <f>IFERROR(VLOOKUP(C756,#REF!, 3, FALSE), "NO ENCONTRADO")</f>
        <v>NO ENCONTRADO</v>
      </c>
      <c r="G756" s="27" t="str">
        <f>IFERROR(VLOOKUP(C756,#REF!, 4, FALSE), "NO ENCONTRADO")</f>
        <v>NO ENCONTRADO</v>
      </c>
      <c r="H756" s="27" t="str">
        <f>IFERROR(VLOOKUP(C756,#REF!, 5, FALSE), "NO ENCONTRADO")</f>
        <v>NO ENCONTRADO</v>
      </c>
      <c r="I756" s="14"/>
      <c r="J756" s="27"/>
      <c r="K756" s="41"/>
      <c r="L756" s="14"/>
      <c r="M756" s="30">
        <f t="shared" ca="1" si="0"/>
        <v>46026</v>
      </c>
      <c r="N756" s="31" t="str">
        <f t="shared" ca="1" si="1"/>
        <v>✅</v>
      </c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 spans="1:28" ht="13" x14ac:dyDescent="0.15">
      <c r="A757" s="33">
        <f>'Scan to Sheets'!A757</f>
        <v>0</v>
      </c>
      <c r="B757" s="35">
        <f>'Scan to Sheets'!B757</f>
        <v>0</v>
      </c>
      <c r="C757" s="35">
        <f>'Scan to Sheets'!C757</f>
        <v>0</v>
      </c>
      <c r="D757" s="35">
        <f>'Scan to Sheets'!D757</f>
        <v>0</v>
      </c>
      <c r="E757" s="36" t="str">
        <f>IFERROR(VLOOKUP(C757,#REF!, 2, FALSE), "NO ENCONTRADO")</f>
        <v>NO ENCONTRADO</v>
      </c>
      <c r="F757" s="36" t="str">
        <f>IFERROR(VLOOKUP(C757,#REF!, 3, FALSE), "NO ENCONTRADO")</f>
        <v>NO ENCONTRADO</v>
      </c>
      <c r="G757" s="36" t="str">
        <f>IFERROR(VLOOKUP(C757,#REF!, 4, FALSE), "NO ENCONTRADO")</f>
        <v>NO ENCONTRADO</v>
      </c>
      <c r="H757" s="36" t="str">
        <f>IFERROR(VLOOKUP(C757,#REF!, 5, FALSE), "NO ENCONTRADO")</f>
        <v>NO ENCONTRADO</v>
      </c>
      <c r="I757" s="15"/>
      <c r="J757" s="36"/>
      <c r="K757" s="42"/>
      <c r="L757" s="15"/>
      <c r="M757" s="39">
        <f t="shared" ca="1" si="0"/>
        <v>46026</v>
      </c>
      <c r="N757" s="40" t="str">
        <f t="shared" ca="1" si="1"/>
        <v>✅</v>
      </c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 spans="1:28" ht="13" x14ac:dyDescent="0.15">
      <c r="A758" s="24">
        <f>'Scan to Sheets'!A758</f>
        <v>0</v>
      </c>
      <c r="B758" s="26">
        <f>'Scan to Sheets'!B758</f>
        <v>0</v>
      </c>
      <c r="C758" s="26">
        <f>'Scan to Sheets'!C758</f>
        <v>0</v>
      </c>
      <c r="D758" s="26">
        <f>'Scan to Sheets'!D758</f>
        <v>0</v>
      </c>
      <c r="E758" s="27" t="str">
        <f>IFERROR(VLOOKUP(C758,#REF!, 2, FALSE), "NO ENCONTRADO")</f>
        <v>NO ENCONTRADO</v>
      </c>
      <c r="F758" s="27" t="str">
        <f>IFERROR(VLOOKUP(C758,#REF!, 3, FALSE), "NO ENCONTRADO")</f>
        <v>NO ENCONTRADO</v>
      </c>
      <c r="G758" s="27" t="str">
        <f>IFERROR(VLOOKUP(C758,#REF!, 4, FALSE), "NO ENCONTRADO")</f>
        <v>NO ENCONTRADO</v>
      </c>
      <c r="H758" s="27" t="str">
        <f>IFERROR(VLOOKUP(C758,#REF!, 5, FALSE), "NO ENCONTRADO")</f>
        <v>NO ENCONTRADO</v>
      </c>
      <c r="I758" s="14"/>
      <c r="J758" s="27"/>
      <c r="K758" s="41"/>
      <c r="L758" s="14"/>
      <c r="M758" s="30">
        <f t="shared" ca="1" si="0"/>
        <v>46026</v>
      </c>
      <c r="N758" s="31" t="str">
        <f t="shared" ca="1" si="1"/>
        <v>✅</v>
      </c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 spans="1:28" ht="13" x14ac:dyDescent="0.15">
      <c r="A759" s="33">
        <f>'Scan to Sheets'!A759</f>
        <v>0</v>
      </c>
      <c r="B759" s="35">
        <f>'Scan to Sheets'!B759</f>
        <v>0</v>
      </c>
      <c r="C759" s="35">
        <f>'Scan to Sheets'!C759</f>
        <v>0</v>
      </c>
      <c r="D759" s="35">
        <f>'Scan to Sheets'!D759</f>
        <v>0</v>
      </c>
      <c r="E759" s="36" t="str">
        <f>IFERROR(VLOOKUP(C759,#REF!, 2, FALSE), "NO ENCONTRADO")</f>
        <v>NO ENCONTRADO</v>
      </c>
      <c r="F759" s="36" t="str">
        <f>IFERROR(VLOOKUP(C759,#REF!, 3, FALSE), "NO ENCONTRADO")</f>
        <v>NO ENCONTRADO</v>
      </c>
      <c r="G759" s="36" t="str">
        <f>IFERROR(VLOOKUP(C759,#REF!, 4, FALSE), "NO ENCONTRADO")</f>
        <v>NO ENCONTRADO</v>
      </c>
      <c r="H759" s="36" t="str">
        <f>IFERROR(VLOOKUP(C759,#REF!, 5, FALSE), "NO ENCONTRADO")</f>
        <v>NO ENCONTRADO</v>
      </c>
      <c r="I759" s="15"/>
      <c r="J759" s="36"/>
      <c r="K759" s="42"/>
      <c r="L759" s="15"/>
      <c r="M759" s="39">
        <f t="shared" ca="1" si="0"/>
        <v>46026</v>
      </c>
      <c r="N759" s="40" t="str">
        <f t="shared" ca="1" si="1"/>
        <v>✅</v>
      </c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 spans="1:28" ht="13" x14ac:dyDescent="0.15">
      <c r="A760" s="24">
        <f>'Scan to Sheets'!A760</f>
        <v>0</v>
      </c>
      <c r="B760" s="26">
        <f>'Scan to Sheets'!B760</f>
        <v>0</v>
      </c>
      <c r="C760" s="26">
        <f>'Scan to Sheets'!C760</f>
        <v>0</v>
      </c>
      <c r="D760" s="26">
        <f>'Scan to Sheets'!D760</f>
        <v>0</v>
      </c>
      <c r="E760" s="27" t="str">
        <f>IFERROR(VLOOKUP(C760,#REF!, 2, FALSE), "NO ENCONTRADO")</f>
        <v>NO ENCONTRADO</v>
      </c>
      <c r="F760" s="27" t="str">
        <f>IFERROR(VLOOKUP(C760,#REF!, 3, FALSE), "NO ENCONTRADO")</f>
        <v>NO ENCONTRADO</v>
      </c>
      <c r="G760" s="27" t="str">
        <f>IFERROR(VLOOKUP(C760,#REF!, 4, FALSE), "NO ENCONTRADO")</f>
        <v>NO ENCONTRADO</v>
      </c>
      <c r="H760" s="27" t="str">
        <f>IFERROR(VLOOKUP(C760,#REF!, 5, FALSE), "NO ENCONTRADO")</f>
        <v>NO ENCONTRADO</v>
      </c>
      <c r="I760" s="14"/>
      <c r="J760" s="27"/>
      <c r="K760" s="41"/>
      <c r="L760" s="14"/>
      <c r="M760" s="30">
        <f t="shared" ca="1" si="0"/>
        <v>46026</v>
      </c>
      <c r="N760" s="31" t="str">
        <f t="shared" ca="1" si="1"/>
        <v>✅</v>
      </c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 spans="1:28" ht="13" x14ac:dyDescent="0.15">
      <c r="A761" s="33">
        <f>'Scan to Sheets'!A761</f>
        <v>0</v>
      </c>
      <c r="B761" s="35">
        <f>'Scan to Sheets'!B761</f>
        <v>0</v>
      </c>
      <c r="C761" s="35">
        <f>'Scan to Sheets'!C761</f>
        <v>0</v>
      </c>
      <c r="D761" s="35">
        <f>'Scan to Sheets'!D761</f>
        <v>0</v>
      </c>
      <c r="E761" s="36" t="str">
        <f>IFERROR(VLOOKUP(C761,#REF!, 2, FALSE), "NO ENCONTRADO")</f>
        <v>NO ENCONTRADO</v>
      </c>
      <c r="F761" s="36" t="str">
        <f>IFERROR(VLOOKUP(C761,#REF!, 3, FALSE), "NO ENCONTRADO")</f>
        <v>NO ENCONTRADO</v>
      </c>
      <c r="G761" s="36" t="str">
        <f>IFERROR(VLOOKUP(C761,#REF!, 4, FALSE), "NO ENCONTRADO")</f>
        <v>NO ENCONTRADO</v>
      </c>
      <c r="H761" s="36" t="str">
        <f>IFERROR(VLOOKUP(C761,#REF!, 5, FALSE), "NO ENCONTRADO")</f>
        <v>NO ENCONTRADO</v>
      </c>
      <c r="I761" s="15"/>
      <c r="J761" s="36"/>
      <c r="K761" s="42"/>
      <c r="L761" s="15"/>
      <c r="M761" s="39">
        <f t="shared" ca="1" si="0"/>
        <v>46026</v>
      </c>
      <c r="N761" s="40" t="str">
        <f t="shared" ca="1" si="1"/>
        <v>✅</v>
      </c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 spans="1:28" ht="13" x14ac:dyDescent="0.15">
      <c r="A762" s="24">
        <f>'Scan to Sheets'!A762</f>
        <v>0</v>
      </c>
      <c r="B762" s="26">
        <f>'Scan to Sheets'!B762</f>
        <v>0</v>
      </c>
      <c r="C762" s="26">
        <f>'Scan to Sheets'!C762</f>
        <v>0</v>
      </c>
      <c r="D762" s="26">
        <f>'Scan to Sheets'!D762</f>
        <v>0</v>
      </c>
      <c r="E762" s="27" t="str">
        <f>IFERROR(VLOOKUP(C762,#REF!, 2, FALSE), "NO ENCONTRADO")</f>
        <v>NO ENCONTRADO</v>
      </c>
      <c r="F762" s="27" t="str">
        <f>IFERROR(VLOOKUP(C762,#REF!, 3, FALSE), "NO ENCONTRADO")</f>
        <v>NO ENCONTRADO</v>
      </c>
      <c r="G762" s="27" t="str">
        <f>IFERROR(VLOOKUP(C762,#REF!, 4, FALSE), "NO ENCONTRADO")</f>
        <v>NO ENCONTRADO</v>
      </c>
      <c r="H762" s="27" t="str">
        <f>IFERROR(VLOOKUP(C762,#REF!, 5, FALSE), "NO ENCONTRADO")</f>
        <v>NO ENCONTRADO</v>
      </c>
      <c r="I762" s="14"/>
      <c r="J762" s="27"/>
      <c r="K762" s="41"/>
      <c r="L762" s="14"/>
      <c r="M762" s="30">
        <f t="shared" ca="1" si="0"/>
        <v>46026</v>
      </c>
      <c r="N762" s="31" t="str">
        <f t="shared" ca="1" si="1"/>
        <v>✅</v>
      </c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 spans="1:28" ht="13" x14ac:dyDescent="0.15">
      <c r="A763" s="33">
        <f>'Scan to Sheets'!A763</f>
        <v>0</v>
      </c>
      <c r="B763" s="35">
        <f>'Scan to Sheets'!B763</f>
        <v>0</v>
      </c>
      <c r="C763" s="35">
        <f>'Scan to Sheets'!C763</f>
        <v>0</v>
      </c>
      <c r="D763" s="35">
        <f>'Scan to Sheets'!D763</f>
        <v>0</v>
      </c>
      <c r="E763" s="36" t="str">
        <f>IFERROR(VLOOKUP(C763,#REF!, 2, FALSE), "NO ENCONTRADO")</f>
        <v>NO ENCONTRADO</v>
      </c>
      <c r="F763" s="36" t="str">
        <f>IFERROR(VLOOKUP(C763,#REF!, 3, FALSE), "NO ENCONTRADO")</f>
        <v>NO ENCONTRADO</v>
      </c>
      <c r="G763" s="36" t="str">
        <f>IFERROR(VLOOKUP(C763,#REF!, 4, FALSE), "NO ENCONTRADO")</f>
        <v>NO ENCONTRADO</v>
      </c>
      <c r="H763" s="36" t="str">
        <f>IFERROR(VLOOKUP(C763,#REF!, 5, FALSE), "NO ENCONTRADO")</f>
        <v>NO ENCONTRADO</v>
      </c>
      <c r="I763" s="15"/>
      <c r="J763" s="36"/>
      <c r="K763" s="42"/>
      <c r="L763" s="15"/>
      <c r="M763" s="39">
        <f t="shared" ca="1" si="0"/>
        <v>46026</v>
      </c>
      <c r="N763" s="40" t="str">
        <f t="shared" ca="1" si="1"/>
        <v>✅</v>
      </c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 spans="1:28" ht="13" x14ac:dyDescent="0.15">
      <c r="A764" s="24">
        <f>'Scan to Sheets'!A764</f>
        <v>0</v>
      </c>
      <c r="B764" s="26">
        <f>'Scan to Sheets'!B764</f>
        <v>0</v>
      </c>
      <c r="C764" s="26">
        <f>'Scan to Sheets'!C764</f>
        <v>0</v>
      </c>
      <c r="D764" s="26">
        <f>'Scan to Sheets'!D764</f>
        <v>0</v>
      </c>
      <c r="E764" s="27" t="str">
        <f>IFERROR(VLOOKUP(C764,#REF!, 2, FALSE), "NO ENCONTRADO")</f>
        <v>NO ENCONTRADO</v>
      </c>
      <c r="F764" s="27" t="str">
        <f>IFERROR(VLOOKUP(C764,#REF!, 3, FALSE), "NO ENCONTRADO")</f>
        <v>NO ENCONTRADO</v>
      </c>
      <c r="G764" s="27" t="str">
        <f>IFERROR(VLOOKUP(C764,#REF!, 4, FALSE), "NO ENCONTRADO")</f>
        <v>NO ENCONTRADO</v>
      </c>
      <c r="H764" s="27" t="str">
        <f>IFERROR(VLOOKUP(C764,#REF!, 5, FALSE), "NO ENCONTRADO")</f>
        <v>NO ENCONTRADO</v>
      </c>
      <c r="I764" s="14"/>
      <c r="J764" s="27"/>
      <c r="K764" s="41"/>
      <c r="L764" s="14"/>
      <c r="M764" s="30">
        <f t="shared" ca="1" si="0"/>
        <v>46026</v>
      </c>
      <c r="N764" s="31" t="str">
        <f t="shared" ca="1" si="1"/>
        <v>✅</v>
      </c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 spans="1:28" ht="13" x14ac:dyDescent="0.15">
      <c r="A765" s="33">
        <f>'Scan to Sheets'!A765</f>
        <v>0</v>
      </c>
      <c r="B765" s="35">
        <f>'Scan to Sheets'!B765</f>
        <v>0</v>
      </c>
      <c r="C765" s="35">
        <f>'Scan to Sheets'!C765</f>
        <v>0</v>
      </c>
      <c r="D765" s="35">
        <f>'Scan to Sheets'!D765</f>
        <v>0</v>
      </c>
      <c r="E765" s="36" t="str">
        <f>IFERROR(VLOOKUP(C765,#REF!, 2, FALSE), "NO ENCONTRADO")</f>
        <v>NO ENCONTRADO</v>
      </c>
      <c r="F765" s="36" t="str">
        <f>IFERROR(VLOOKUP(C765,#REF!, 3, FALSE), "NO ENCONTRADO")</f>
        <v>NO ENCONTRADO</v>
      </c>
      <c r="G765" s="36" t="str">
        <f>IFERROR(VLOOKUP(C765,#REF!, 4, FALSE), "NO ENCONTRADO")</f>
        <v>NO ENCONTRADO</v>
      </c>
      <c r="H765" s="36" t="str">
        <f>IFERROR(VLOOKUP(C765,#REF!, 5, FALSE), "NO ENCONTRADO")</f>
        <v>NO ENCONTRADO</v>
      </c>
      <c r="I765" s="15"/>
      <c r="J765" s="36"/>
      <c r="K765" s="42"/>
      <c r="L765" s="15"/>
      <c r="M765" s="39">
        <f t="shared" ca="1" si="0"/>
        <v>46026</v>
      </c>
      <c r="N765" s="40" t="str">
        <f t="shared" ca="1" si="1"/>
        <v>✅</v>
      </c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 spans="1:28" ht="13" x14ac:dyDescent="0.15">
      <c r="A766" s="24">
        <f>'Scan to Sheets'!A766</f>
        <v>0</v>
      </c>
      <c r="B766" s="26">
        <f>'Scan to Sheets'!B766</f>
        <v>0</v>
      </c>
      <c r="C766" s="26">
        <f>'Scan to Sheets'!C766</f>
        <v>0</v>
      </c>
      <c r="D766" s="26">
        <f>'Scan to Sheets'!D766</f>
        <v>0</v>
      </c>
      <c r="E766" s="27" t="str">
        <f>IFERROR(VLOOKUP(C766,#REF!, 2, FALSE), "NO ENCONTRADO")</f>
        <v>NO ENCONTRADO</v>
      </c>
      <c r="F766" s="27" t="str">
        <f>IFERROR(VLOOKUP(C766,#REF!, 3, FALSE), "NO ENCONTRADO")</f>
        <v>NO ENCONTRADO</v>
      </c>
      <c r="G766" s="27" t="str">
        <f>IFERROR(VLOOKUP(C766,#REF!, 4, FALSE), "NO ENCONTRADO")</f>
        <v>NO ENCONTRADO</v>
      </c>
      <c r="H766" s="27" t="str">
        <f>IFERROR(VLOOKUP(C766,#REF!, 5, FALSE), "NO ENCONTRADO")</f>
        <v>NO ENCONTRADO</v>
      </c>
      <c r="I766" s="14"/>
      <c r="J766" s="27"/>
      <c r="K766" s="41"/>
      <c r="L766" s="14"/>
      <c r="M766" s="30">
        <f t="shared" ca="1" si="0"/>
        <v>46026</v>
      </c>
      <c r="N766" s="31" t="str">
        <f t="shared" ca="1" si="1"/>
        <v>✅</v>
      </c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 spans="1:28" ht="13" x14ac:dyDescent="0.15">
      <c r="A767" s="33">
        <f>'Scan to Sheets'!A767</f>
        <v>0</v>
      </c>
      <c r="B767" s="35">
        <f>'Scan to Sheets'!B767</f>
        <v>0</v>
      </c>
      <c r="C767" s="35">
        <f>'Scan to Sheets'!C767</f>
        <v>0</v>
      </c>
      <c r="D767" s="35">
        <f>'Scan to Sheets'!D767</f>
        <v>0</v>
      </c>
      <c r="E767" s="36" t="str">
        <f>IFERROR(VLOOKUP(C767,#REF!, 2, FALSE), "NO ENCONTRADO")</f>
        <v>NO ENCONTRADO</v>
      </c>
      <c r="F767" s="36" t="str">
        <f>IFERROR(VLOOKUP(C767,#REF!, 3, FALSE), "NO ENCONTRADO")</f>
        <v>NO ENCONTRADO</v>
      </c>
      <c r="G767" s="36" t="str">
        <f>IFERROR(VLOOKUP(C767,#REF!, 4, FALSE), "NO ENCONTRADO")</f>
        <v>NO ENCONTRADO</v>
      </c>
      <c r="H767" s="36" t="str">
        <f>IFERROR(VLOOKUP(C767,#REF!, 5, FALSE), "NO ENCONTRADO")</f>
        <v>NO ENCONTRADO</v>
      </c>
      <c r="I767" s="15"/>
      <c r="J767" s="36"/>
      <c r="K767" s="42"/>
      <c r="L767" s="15"/>
      <c r="M767" s="39">
        <f t="shared" ca="1" si="0"/>
        <v>46026</v>
      </c>
      <c r="N767" s="40" t="str">
        <f t="shared" ca="1" si="1"/>
        <v>✅</v>
      </c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 spans="1:28" ht="13" x14ac:dyDescent="0.15">
      <c r="A768" s="24">
        <f>'Scan to Sheets'!A768</f>
        <v>0</v>
      </c>
      <c r="B768" s="26">
        <f>'Scan to Sheets'!B768</f>
        <v>0</v>
      </c>
      <c r="C768" s="26">
        <f>'Scan to Sheets'!C768</f>
        <v>0</v>
      </c>
      <c r="D768" s="26">
        <f>'Scan to Sheets'!D768</f>
        <v>0</v>
      </c>
      <c r="E768" s="27" t="str">
        <f>IFERROR(VLOOKUP(C768,#REF!, 2, FALSE), "NO ENCONTRADO")</f>
        <v>NO ENCONTRADO</v>
      </c>
      <c r="F768" s="27" t="str">
        <f>IFERROR(VLOOKUP(C768,#REF!, 3, FALSE), "NO ENCONTRADO")</f>
        <v>NO ENCONTRADO</v>
      </c>
      <c r="G768" s="27" t="str">
        <f>IFERROR(VLOOKUP(C768,#REF!, 4, FALSE), "NO ENCONTRADO")</f>
        <v>NO ENCONTRADO</v>
      </c>
      <c r="H768" s="27" t="str">
        <f>IFERROR(VLOOKUP(C768,#REF!, 5, FALSE), "NO ENCONTRADO")</f>
        <v>NO ENCONTRADO</v>
      </c>
      <c r="I768" s="14"/>
      <c r="J768" s="27"/>
      <c r="K768" s="41"/>
      <c r="L768" s="14"/>
      <c r="M768" s="30">
        <f t="shared" ca="1" si="0"/>
        <v>46026</v>
      </c>
      <c r="N768" s="31" t="str">
        <f t="shared" ca="1" si="1"/>
        <v>✅</v>
      </c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 spans="1:28" ht="13" x14ac:dyDescent="0.15">
      <c r="A769" s="33">
        <f>'Scan to Sheets'!A769</f>
        <v>0</v>
      </c>
      <c r="B769" s="35">
        <f>'Scan to Sheets'!B769</f>
        <v>0</v>
      </c>
      <c r="C769" s="35">
        <f>'Scan to Sheets'!C769</f>
        <v>0</v>
      </c>
      <c r="D769" s="35">
        <f>'Scan to Sheets'!D769</f>
        <v>0</v>
      </c>
      <c r="E769" s="36" t="str">
        <f>IFERROR(VLOOKUP(C769,#REF!, 2, FALSE), "NO ENCONTRADO")</f>
        <v>NO ENCONTRADO</v>
      </c>
      <c r="F769" s="36" t="str">
        <f>IFERROR(VLOOKUP(C769,#REF!, 3, FALSE), "NO ENCONTRADO")</f>
        <v>NO ENCONTRADO</v>
      </c>
      <c r="G769" s="36" t="str">
        <f>IFERROR(VLOOKUP(C769,#REF!, 4, FALSE), "NO ENCONTRADO")</f>
        <v>NO ENCONTRADO</v>
      </c>
      <c r="H769" s="36" t="str">
        <f>IFERROR(VLOOKUP(C769,#REF!, 5, FALSE), "NO ENCONTRADO")</f>
        <v>NO ENCONTRADO</v>
      </c>
      <c r="I769" s="15"/>
      <c r="J769" s="36"/>
      <c r="K769" s="42"/>
      <c r="L769" s="15"/>
      <c r="M769" s="39">
        <f t="shared" ca="1" si="0"/>
        <v>46026</v>
      </c>
      <c r="N769" s="40" t="str">
        <f t="shared" ca="1" si="1"/>
        <v>✅</v>
      </c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 spans="1:28" ht="13" x14ac:dyDescent="0.15">
      <c r="A770" s="24">
        <f>'Scan to Sheets'!A770</f>
        <v>0</v>
      </c>
      <c r="B770" s="26">
        <f>'Scan to Sheets'!B770</f>
        <v>0</v>
      </c>
      <c r="C770" s="26">
        <f>'Scan to Sheets'!C770</f>
        <v>0</v>
      </c>
      <c r="D770" s="26">
        <f>'Scan to Sheets'!D770</f>
        <v>0</v>
      </c>
      <c r="E770" s="27" t="str">
        <f>IFERROR(VLOOKUP(C770,#REF!, 2, FALSE), "NO ENCONTRADO")</f>
        <v>NO ENCONTRADO</v>
      </c>
      <c r="F770" s="27" t="str">
        <f>IFERROR(VLOOKUP(C770,#REF!, 3, FALSE), "NO ENCONTRADO")</f>
        <v>NO ENCONTRADO</v>
      </c>
      <c r="G770" s="27" t="str">
        <f>IFERROR(VLOOKUP(C770,#REF!, 4, FALSE), "NO ENCONTRADO")</f>
        <v>NO ENCONTRADO</v>
      </c>
      <c r="H770" s="27" t="str">
        <f>IFERROR(VLOOKUP(C770,#REF!, 5, FALSE), "NO ENCONTRADO")</f>
        <v>NO ENCONTRADO</v>
      </c>
      <c r="I770" s="14"/>
      <c r="J770" s="27"/>
      <c r="K770" s="41"/>
      <c r="L770" s="14"/>
      <c r="M770" s="30">
        <f t="shared" ca="1" si="0"/>
        <v>46026</v>
      </c>
      <c r="N770" s="31" t="str">
        <f t="shared" ca="1" si="1"/>
        <v>✅</v>
      </c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 spans="1:28" ht="13" x14ac:dyDescent="0.15">
      <c r="A771" s="33">
        <f>'Scan to Sheets'!A771</f>
        <v>0</v>
      </c>
      <c r="B771" s="35">
        <f>'Scan to Sheets'!B771</f>
        <v>0</v>
      </c>
      <c r="C771" s="35">
        <f>'Scan to Sheets'!C771</f>
        <v>0</v>
      </c>
      <c r="D771" s="35">
        <f>'Scan to Sheets'!D771</f>
        <v>0</v>
      </c>
      <c r="E771" s="36" t="str">
        <f>IFERROR(VLOOKUP(C771,#REF!, 2, FALSE), "NO ENCONTRADO")</f>
        <v>NO ENCONTRADO</v>
      </c>
      <c r="F771" s="36" t="str">
        <f>IFERROR(VLOOKUP(C771,#REF!, 3, FALSE), "NO ENCONTRADO")</f>
        <v>NO ENCONTRADO</v>
      </c>
      <c r="G771" s="36" t="str">
        <f>IFERROR(VLOOKUP(C771,#REF!, 4, FALSE), "NO ENCONTRADO")</f>
        <v>NO ENCONTRADO</v>
      </c>
      <c r="H771" s="36" t="str">
        <f>IFERROR(VLOOKUP(C771,#REF!, 5, FALSE), "NO ENCONTRADO")</f>
        <v>NO ENCONTRADO</v>
      </c>
      <c r="I771" s="15"/>
      <c r="J771" s="36"/>
      <c r="K771" s="42"/>
      <c r="L771" s="15"/>
      <c r="M771" s="39">
        <f t="shared" ca="1" si="0"/>
        <v>46026</v>
      </c>
      <c r="N771" s="40" t="str">
        <f t="shared" ca="1" si="1"/>
        <v>✅</v>
      </c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 spans="1:28" ht="13" x14ac:dyDescent="0.15">
      <c r="A772" s="24">
        <f>'Scan to Sheets'!A772</f>
        <v>0</v>
      </c>
      <c r="B772" s="26">
        <f>'Scan to Sheets'!B772</f>
        <v>0</v>
      </c>
      <c r="C772" s="26">
        <f>'Scan to Sheets'!C772</f>
        <v>0</v>
      </c>
      <c r="D772" s="26">
        <f>'Scan to Sheets'!D772</f>
        <v>0</v>
      </c>
      <c r="E772" s="27" t="str">
        <f>IFERROR(VLOOKUP(C772,#REF!, 2, FALSE), "NO ENCONTRADO")</f>
        <v>NO ENCONTRADO</v>
      </c>
      <c r="F772" s="27" t="str">
        <f>IFERROR(VLOOKUP(C772,#REF!, 3, FALSE), "NO ENCONTRADO")</f>
        <v>NO ENCONTRADO</v>
      </c>
      <c r="G772" s="27" t="str">
        <f>IFERROR(VLOOKUP(C772,#REF!, 4, FALSE), "NO ENCONTRADO")</f>
        <v>NO ENCONTRADO</v>
      </c>
      <c r="H772" s="27" t="str">
        <f>IFERROR(VLOOKUP(C772,#REF!, 5, FALSE), "NO ENCONTRADO")</f>
        <v>NO ENCONTRADO</v>
      </c>
      <c r="I772" s="14"/>
      <c r="J772" s="27"/>
      <c r="K772" s="41"/>
      <c r="L772" s="14"/>
      <c r="M772" s="30">
        <f t="shared" ca="1" si="0"/>
        <v>46026</v>
      </c>
      <c r="N772" s="31" t="str">
        <f t="shared" ca="1" si="1"/>
        <v>✅</v>
      </c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 spans="1:28" ht="13" x14ac:dyDescent="0.15">
      <c r="A773" s="33">
        <f>'Scan to Sheets'!A773</f>
        <v>0</v>
      </c>
      <c r="B773" s="35">
        <f>'Scan to Sheets'!B773</f>
        <v>0</v>
      </c>
      <c r="C773" s="35">
        <f>'Scan to Sheets'!C773</f>
        <v>0</v>
      </c>
      <c r="D773" s="35">
        <f>'Scan to Sheets'!D773</f>
        <v>0</v>
      </c>
      <c r="E773" s="36" t="str">
        <f>IFERROR(VLOOKUP(C773,#REF!, 2, FALSE), "NO ENCONTRADO")</f>
        <v>NO ENCONTRADO</v>
      </c>
      <c r="F773" s="36" t="str">
        <f>IFERROR(VLOOKUP(C773,#REF!, 3, FALSE), "NO ENCONTRADO")</f>
        <v>NO ENCONTRADO</v>
      </c>
      <c r="G773" s="36" t="str">
        <f>IFERROR(VLOOKUP(C773,#REF!, 4, FALSE), "NO ENCONTRADO")</f>
        <v>NO ENCONTRADO</v>
      </c>
      <c r="H773" s="36" t="str">
        <f>IFERROR(VLOOKUP(C773,#REF!, 5, FALSE), "NO ENCONTRADO")</f>
        <v>NO ENCONTRADO</v>
      </c>
      <c r="I773" s="15"/>
      <c r="J773" s="36"/>
      <c r="K773" s="42"/>
      <c r="L773" s="15"/>
      <c r="M773" s="39">
        <f t="shared" ca="1" si="0"/>
        <v>46026</v>
      </c>
      <c r="N773" s="40" t="str">
        <f t="shared" ca="1" si="1"/>
        <v>✅</v>
      </c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 spans="1:28" ht="13" x14ac:dyDescent="0.15">
      <c r="A774" s="24">
        <f>'Scan to Sheets'!A774</f>
        <v>0</v>
      </c>
      <c r="B774" s="26">
        <f>'Scan to Sheets'!B774</f>
        <v>0</v>
      </c>
      <c r="C774" s="26">
        <f>'Scan to Sheets'!C774</f>
        <v>0</v>
      </c>
      <c r="D774" s="26">
        <f>'Scan to Sheets'!D774</f>
        <v>0</v>
      </c>
      <c r="E774" s="27" t="str">
        <f>IFERROR(VLOOKUP(C774,#REF!, 2, FALSE), "NO ENCONTRADO")</f>
        <v>NO ENCONTRADO</v>
      </c>
      <c r="F774" s="27" t="str">
        <f>IFERROR(VLOOKUP(C774,#REF!, 3, FALSE), "NO ENCONTRADO")</f>
        <v>NO ENCONTRADO</v>
      </c>
      <c r="G774" s="27" t="str">
        <f>IFERROR(VLOOKUP(C774,#REF!, 4, FALSE), "NO ENCONTRADO")</f>
        <v>NO ENCONTRADO</v>
      </c>
      <c r="H774" s="27" t="str">
        <f>IFERROR(VLOOKUP(C774,#REF!, 5, FALSE), "NO ENCONTRADO")</f>
        <v>NO ENCONTRADO</v>
      </c>
      <c r="I774" s="14"/>
      <c r="J774" s="27"/>
      <c r="K774" s="41"/>
      <c r="L774" s="14"/>
      <c r="M774" s="30">
        <f t="shared" ca="1" si="0"/>
        <v>46026</v>
      </c>
      <c r="N774" s="31" t="str">
        <f t="shared" ca="1" si="1"/>
        <v>✅</v>
      </c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 spans="1:28" ht="13" x14ac:dyDescent="0.15">
      <c r="A775" s="33">
        <f>'Scan to Sheets'!A775</f>
        <v>0</v>
      </c>
      <c r="B775" s="35">
        <f>'Scan to Sheets'!B775</f>
        <v>0</v>
      </c>
      <c r="C775" s="35">
        <f>'Scan to Sheets'!C775</f>
        <v>0</v>
      </c>
      <c r="D775" s="35">
        <f>'Scan to Sheets'!D775</f>
        <v>0</v>
      </c>
      <c r="E775" s="36" t="str">
        <f>IFERROR(VLOOKUP(C775,#REF!, 2, FALSE), "NO ENCONTRADO")</f>
        <v>NO ENCONTRADO</v>
      </c>
      <c r="F775" s="36" t="str">
        <f>IFERROR(VLOOKUP(C775,#REF!, 3, FALSE), "NO ENCONTRADO")</f>
        <v>NO ENCONTRADO</v>
      </c>
      <c r="G775" s="36" t="str">
        <f>IFERROR(VLOOKUP(C775,#REF!, 4, FALSE), "NO ENCONTRADO")</f>
        <v>NO ENCONTRADO</v>
      </c>
      <c r="H775" s="36" t="str">
        <f>IFERROR(VLOOKUP(C775,#REF!, 5, FALSE), "NO ENCONTRADO")</f>
        <v>NO ENCONTRADO</v>
      </c>
      <c r="I775" s="15"/>
      <c r="J775" s="36"/>
      <c r="K775" s="42"/>
      <c r="L775" s="15"/>
      <c r="M775" s="39">
        <f t="shared" ca="1" si="0"/>
        <v>46026</v>
      </c>
      <c r="N775" s="40" t="str">
        <f t="shared" ca="1" si="1"/>
        <v>✅</v>
      </c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 spans="1:28" ht="13" x14ac:dyDescent="0.15">
      <c r="A776" s="24">
        <f>'Scan to Sheets'!A776</f>
        <v>0</v>
      </c>
      <c r="B776" s="26">
        <f>'Scan to Sheets'!B776</f>
        <v>0</v>
      </c>
      <c r="C776" s="26">
        <f>'Scan to Sheets'!C776</f>
        <v>0</v>
      </c>
      <c r="D776" s="26">
        <f>'Scan to Sheets'!D776</f>
        <v>0</v>
      </c>
      <c r="E776" s="27" t="str">
        <f>IFERROR(VLOOKUP(C776,#REF!, 2, FALSE), "NO ENCONTRADO")</f>
        <v>NO ENCONTRADO</v>
      </c>
      <c r="F776" s="27" t="str">
        <f>IFERROR(VLOOKUP(C776,#REF!, 3, FALSE), "NO ENCONTRADO")</f>
        <v>NO ENCONTRADO</v>
      </c>
      <c r="G776" s="27" t="str">
        <f>IFERROR(VLOOKUP(C776,#REF!, 4, FALSE), "NO ENCONTRADO")</f>
        <v>NO ENCONTRADO</v>
      </c>
      <c r="H776" s="27" t="str">
        <f>IFERROR(VLOOKUP(C776,#REF!, 5, FALSE), "NO ENCONTRADO")</f>
        <v>NO ENCONTRADO</v>
      </c>
      <c r="I776" s="14"/>
      <c r="J776" s="27"/>
      <c r="K776" s="41"/>
      <c r="L776" s="14"/>
      <c r="M776" s="30">
        <f t="shared" ca="1" si="0"/>
        <v>46026</v>
      </c>
      <c r="N776" s="31" t="str">
        <f t="shared" ca="1" si="1"/>
        <v>✅</v>
      </c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 spans="1:28" ht="13" x14ac:dyDescent="0.15">
      <c r="A777" s="33">
        <f>'Scan to Sheets'!A777</f>
        <v>0</v>
      </c>
      <c r="B777" s="35">
        <f>'Scan to Sheets'!B777</f>
        <v>0</v>
      </c>
      <c r="C777" s="35">
        <f>'Scan to Sheets'!C777</f>
        <v>0</v>
      </c>
      <c r="D777" s="35">
        <f>'Scan to Sheets'!D777</f>
        <v>0</v>
      </c>
      <c r="E777" s="36" t="str">
        <f>IFERROR(VLOOKUP(C777,#REF!, 2, FALSE), "NO ENCONTRADO")</f>
        <v>NO ENCONTRADO</v>
      </c>
      <c r="F777" s="36" t="str">
        <f>IFERROR(VLOOKUP(C777,#REF!, 3, FALSE), "NO ENCONTRADO")</f>
        <v>NO ENCONTRADO</v>
      </c>
      <c r="G777" s="36" t="str">
        <f>IFERROR(VLOOKUP(C777,#REF!, 4, FALSE), "NO ENCONTRADO")</f>
        <v>NO ENCONTRADO</v>
      </c>
      <c r="H777" s="36" t="str">
        <f>IFERROR(VLOOKUP(C777,#REF!, 5, FALSE), "NO ENCONTRADO")</f>
        <v>NO ENCONTRADO</v>
      </c>
      <c r="I777" s="15"/>
      <c r="J777" s="36"/>
      <c r="K777" s="42"/>
      <c r="L777" s="15"/>
      <c r="M777" s="39">
        <f t="shared" ca="1" si="0"/>
        <v>46026</v>
      </c>
      <c r="N777" s="40" t="str">
        <f t="shared" ca="1" si="1"/>
        <v>✅</v>
      </c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 spans="1:28" ht="13" x14ac:dyDescent="0.15">
      <c r="A778" s="24">
        <f>'Scan to Sheets'!A778</f>
        <v>0</v>
      </c>
      <c r="B778" s="26">
        <f>'Scan to Sheets'!B778</f>
        <v>0</v>
      </c>
      <c r="C778" s="26">
        <f>'Scan to Sheets'!C778</f>
        <v>0</v>
      </c>
      <c r="D778" s="26">
        <f>'Scan to Sheets'!D778</f>
        <v>0</v>
      </c>
      <c r="E778" s="27" t="str">
        <f>IFERROR(VLOOKUP(C778,#REF!, 2, FALSE), "NO ENCONTRADO")</f>
        <v>NO ENCONTRADO</v>
      </c>
      <c r="F778" s="27" t="str">
        <f>IFERROR(VLOOKUP(C778,#REF!, 3, FALSE), "NO ENCONTRADO")</f>
        <v>NO ENCONTRADO</v>
      </c>
      <c r="G778" s="27" t="str">
        <f>IFERROR(VLOOKUP(C778,#REF!, 4, FALSE), "NO ENCONTRADO")</f>
        <v>NO ENCONTRADO</v>
      </c>
      <c r="H778" s="27" t="str">
        <f>IFERROR(VLOOKUP(C778,#REF!, 5, FALSE), "NO ENCONTRADO")</f>
        <v>NO ENCONTRADO</v>
      </c>
      <c r="I778" s="14"/>
      <c r="J778" s="27"/>
      <c r="K778" s="41"/>
      <c r="L778" s="14"/>
      <c r="M778" s="30">
        <f t="shared" ca="1" si="0"/>
        <v>46026</v>
      </c>
      <c r="N778" s="31" t="str">
        <f t="shared" ca="1" si="1"/>
        <v>✅</v>
      </c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 spans="1:28" ht="13" x14ac:dyDescent="0.15">
      <c r="A779" s="33">
        <f>'Scan to Sheets'!A779</f>
        <v>0</v>
      </c>
      <c r="B779" s="35">
        <f>'Scan to Sheets'!B779</f>
        <v>0</v>
      </c>
      <c r="C779" s="35">
        <f>'Scan to Sheets'!C779</f>
        <v>0</v>
      </c>
      <c r="D779" s="35">
        <f>'Scan to Sheets'!D779</f>
        <v>0</v>
      </c>
      <c r="E779" s="36" t="str">
        <f>IFERROR(VLOOKUP(C779,#REF!, 2, FALSE), "NO ENCONTRADO")</f>
        <v>NO ENCONTRADO</v>
      </c>
      <c r="F779" s="36" t="str">
        <f>IFERROR(VLOOKUP(C779,#REF!, 3, FALSE), "NO ENCONTRADO")</f>
        <v>NO ENCONTRADO</v>
      </c>
      <c r="G779" s="36" t="str">
        <f>IFERROR(VLOOKUP(C779,#REF!, 4, FALSE), "NO ENCONTRADO")</f>
        <v>NO ENCONTRADO</v>
      </c>
      <c r="H779" s="36" t="str">
        <f>IFERROR(VLOOKUP(C779,#REF!, 5, FALSE), "NO ENCONTRADO")</f>
        <v>NO ENCONTRADO</v>
      </c>
      <c r="I779" s="15"/>
      <c r="J779" s="36"/>
      <c r="K779" s="42"/>
      <c r="L779" s="15"/>
      <c r="M779" s="39">
        <f t="shared" ca="1" si="0"/>
        <v>46026</v>
      </c>
      <c r="N779" s="40" t="str">
        <f t="shared" ca="1" si="1"/>
        <v>✅</v>
      </c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 spans="1:28" ht="13" x14ac:dyDescent="0.15">
      <c r="A780" s="24">
        <f>'Scan to Sheets'!A780</f>
        <v>0</v>
      </c>
      <c r="B780" s="26">
        <f>'Scan to Sheets'!B780</f>
        <v>0</v>
      </c>
      <c r="C780" s="26">
        <f>'Scan to Sheets'!C780</f>
        <v>0</v>
      </c>
      <c r="D780" s="26">
        <f>'Scan to Sheets'!D780</f>
        <v>0</v>
      </c>
      <c r="E780" s="27" t="str">
        <f>IFERROR(VLOOKUP(C780,#REF!, 2, FALSE), "NO ENCONTRADO")</f>
        <v>NO ENCONTRADO</v>
      </c>
      <c r="F780" s="27" t="str">
        <f>IFERROR(VLOOKUP(C780,#REF!, 3, FALSE), "NO ENCONTRADO")</f>
        <v>NO ENCONTRADO</v>
      </c>
      <c r="G780" s="27" t="str">
        <f>IFERROR(VLOOKUP(C780,#REF!, 4, FALSE), "NO ENCONTRADO")</f>
        <v>NO ENCONTRADO</v>
      </c>
      <c r="H780" s="27" t="str">
        <f>IFERROR(VLOOKUP(C780,#REF!, 5, FALSE), "NO ENCONTRADO")</f>
        <v>NO ENCONTRADO</v>
      </c>
      <c r="I780" s="14"/>
      <c r="J780" s="27"/>
      <c r="K780" s="41"/>
      <c r="L780" s="14"/>
      <c r="M780" s="30">
        <f t="shared" ca="1" si="0"/>
        <v>46026</v>
      </c>
      <c r="N780" s="31" t="str">
        <f t="shared" ca="1" si="1"/>
        <v>✅</v>
      </c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 spans="1:28" ht="13" x14ac:dyDescent="0.15">
      <c r="A781" s="33">
        <f>'Scan to Sheets'!A781</f>
        <v>0</v>
      </c>
      <c r="B781" s="35">
        <f>'Scan to Sheets'!B781</f>
        <v>0</v>
      </c>
      <c r="C781" s="35">
        <f>'Scan to Sheets'!C781</f>
        <v>0</v>
      </c>
      <c r="D781" s="35">
        <f>'Scan to Sheets'!D781</f>
        <v>0</v>
      </c>
      <c r="E781" s="36" t="str">
        <f>IFERROR(VLOOKUP(C781,#REF!, 2, FALSE), "NO ENCONTRADO")</f>
        <v>NO ENCONTRADO</v>
      </c>
      <c r="F781" s="36" t="str">
        <f>IFERROR(VLOOKUP(C781,#REF!, 3, FALSE), "NO ENCONTRADO")</f>
        <v>NO ENCONTRADO</v>
      </c>
      <c r="G781" s="36" t="str">
        <f>IFERROR(VLOOKUP(C781,#REF!, 4, FALSE), "NO ENCONTRADO")</f>
        <v>NO ENCONTRADO</v>
      </c>
      <c r="H781" s="36" t="str">
        <f>IFERROR(VLOOKUP(C781,#REF!, 5, FALSE), "NO ENCONTRADO")</f>
        <v>NO ENCONTRADO</v>
      </c>
      <c r="I781" s="15"/>
      <c r="J781" s="36"/>
      <c r="K781" s="42"/>
      <c r="L781" s="15"/>
      <c r="M781" s="39">
        <f t="shared" ca="1" si="0"/>
        <v>46026</v>
      </c>
      <c r="N781" s="40" t="str">
        <f t="shared" ca="1" si="1"/>
        <v>✅</v>
      </c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 spans="1:28" ht="13" x14ac:dyDescent="0.15">
      <c r="A782" s="24">
        <f>'Scan to Sheets'!A782</f>
        <v>0</v>
      </c>
      <c r="B782" s="26">
        <f>'Scan to Sheets'!B782</f>
        <v>0</v>
      </c>
      <c r="C782" s="26">
        <f>'Scan to Sheets'!C782</f>
        <v>0</v>
      </c>
      <c r="D782" s="26">
        <f>'Scan to Sheets'!D782</f>
        <v>0</v>
      </c>
      <c r="E782" s="27" t="str">
        <f>IFERROR(VLOOKUP(C782,#REF!, 2, FALSE), "NO ENCONTRADO")</f>
        <v>NO ENCONTRADO</v>
      </c>
      <c r="F782" s="27" t="str">
        <f>IFERROR(VLOOKUP(C782,#REF!, 3, FALSE), "NO ENCONTRADO")</f>
        <v>NO ENCONTRADO</v>
      </c>
      <c r="G782" s="27" t="str">
        <f>IFERROR(VLOOKUP(C782,#REF!, 4, FALSE), "NO ENCONTRADO")</f>
        <v>NO ENCONTRADO</v>
      </c>
      <c r="H782" s="27" t="str">
        <f>IFERROR(VLOOKUP(C782,#REF!, 5, FALSE), "NO ENCONTRADO")</f>
        <v>NO ENCONTRADO</v>
      </c>
      <c r="I782" s="14"/>
      <c r="J782" s="27"/>
      <c r="K782" s="41"/>
      <c r="L782" s="14"/>
      <c r="M782" s="30">
        <f t="shared" ca="1" si="0"/>
        <v>46026</v>
      </c>
      <c r="N782" s="31" t="str">
        <f t="shared" ca="1" si="1"/>
        <v>✅</v>
      </c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 spans="1:28" ht="13" x14ac:dyDescent="0.15">
      <c r="A783" s="33">
        <f>'Scan to Sheets'!A783</f>
        <v>0</v>
      </c>
      <c r="B783" s="35">
        <f>'Scan to Sheets'!B783</f>
        <v>0</v>
      </c>
      <c r="C783" s="35">
        <f>'Scan to Sheets'!C783</f>
        <v>0</v>
      </c>
      <c r="D783" s="35">
        <f>'Scan to Sheets'!D783</f>
        <v>0</v>
      </c>
      <c r="E783" s="36" t="str">
        <f>IFERROR(VLOOKUP(C783,#REF!, 2, FALSE), "NO ENCONTRADO")</f>
        <v>NO ENCONTRADO</v>
      </c>
      <c r="F783" s="36" t="str">
        <f>IFERROR(VLOOKUP(C783,#REF!, 3, FALSE), "NO ENCONTRADO")</f>
        <v>NO ENCONTRADO</v>
      </c>
      <c r="G783" s="36" t="str">
        <f>IFERROR(VLOOKUP(C783,#REF!, 4, FALSE), "NO ENCONTRADO")</f>
        <v>NO ENCONTRADO</v>
      </c>
      <c r="H783" s="36" t="str">
        <f>IFERROR(VLOOKUP(C783,#REF!, 5, FALSE), "NO ENCONTRADO")</f>
        <v>NO ENCONTRADO</v>
      </c>
      <c r="I783" s="15"/>
      <c r="J783" s="36"/>
      <c r="K783" s="42"/>
      <c r="L783" s="15"/>
      <c r="M783" s="39">
        <f t="shared" ca="1" si="0"/>
        <v>46026</v>
      </c>
      <c r="N783" s="40" t="str">
        <f t="shared" ca="1" si="1"/>
        <v>✅</v>
      </c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 spans="1:28" ht="13" x14ac:dyDescent="0.15">
      <c r="A784" s="24">
        <f>'Scan to Sheets'!A784</f>
        <v>0</v>
      </c>
      <c r="B784" s="26">
        <f>'Scan to Sheets'!B784</f>
        <v>0</v>
      </c>
      <c r="C784" s="26">
        <f>'Scan to Sheets'!C784</f>
        <v>0</v>
      </c>
      <c r="D784" s="26">
        <f>'Scan to Sheets'!D784</f>
        <v>0</v>
      </c>
      <c r="E784" s="27" t="str">
        <f>IFERROR(VLOOKUP(C784,#REF!, 2, FALSE), "NO ENCONTRADO")</f>
        <v>NO ENCONTRADO</v>
      </c>
      <c r="F784" s="27" t="str">
        <f>IFERROR(VLOOKUP(C784,#REF!, 3, FALSE), "NO ENCONTRADO")</f>
        <v>NO ENCONTRADO</v>
      </c>
      <c r="G784" s="27" t="str">
        <f>IFERROR(VLOOKUP(C784,#REF!, 4, FALSE), "NO ENCONTRADO")</f>
        <v>NO ENCONTRADO</v>
      </c>
      <c r="H784" s="27" t="str">
        <f>IFERROR(VLOOKUP(C784,#REF!, 5, FALSE), "NO ENCONTRADO")</f>
        <v>NO ENCONTRADO</v>
      </c>
      <c r="I784" s="14"/>
      <c r="J784" s="27"/>
      <c r="K784" s="41"/>
      <c r="L784" s="14"/>
      <c r="M784" s="30">
        <f t="shared" ca="1" si="0"/>
        <v>46026</v>
      </c>
      <c r="N784" s="31" t="str">
        <f t="shared" ca="1" si="1"/>
        <v>✅</v>
      </c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 spans="1:28" ht="13" x14ac:dyDescent="0.15">
      <c r="A785" s="33">
        <f>'Scan to Sheets'!A785</f>
        <v>0</v>
      </c>
      <c r="B785" s="35">
        <f>'Scan to Sheets'!B785</f>
        <v>0</v>
      </c>
      <c r="C785" s="35">
        <f>'Scan to Sheets'!C785</f>
        <v>0</v>
      </c>
      <c r="D785" s="35">
        <f>'Scan to Sheets'!D785</f>
        <v>0</v>
      </c>
      <c r="E785" s="36" t="str">
        <f>IFERROR(VLOOKUP(C785,#REF!, 2, FALSE), "NO ENCONTRADO")</f>
        <v>NO ENCONTRADO</v>
      </c>
      <c r="F785" s="36" t="str">
        <f>IFERROR(VLOOKUP(C785,#REF!, 3, FALSE), "NO ENCONTRADO")</f>
        <v>NO ENCONTRADO</v>
      </c>
      <c r="G785" s="36" t="str">
        <f>IFERROR(VLOOKUP(C785,#REF!, 4, FALSE), "NO ENCONTRADO")</f>
        <v>NO ENCONTRADO</v>
      </c>
      <c r="H785" s="36" t="str">
        <f>IFERROR(VLOOKUP(C785,#REF!, 5, FALSE), "NO ENCONTRADO")</f>
        <v>NO ENCONTRADO</v>
      </c>
      <c r="I785" s="15"/>
      <c r="J785" s="36"/>
      <c r="K785" s="42"/>
      <c r="L785" s="15"/>
      <c r="M785" s="39">
        <f t="shared" ca="1" si="0"/>
        <v>46026</v>
      </c>
      <c r="N785" s="40" t="str">
        <f t="shared" ca="1" si="1"/>
        <v>✅</v>
      </c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 spans="1:28" ht="13" x14ac:dyDescent="0.15">
      <c r="A786" s="24">
        <f>'Scan to Sheets'!A786</f>
        <v>0</v>
      </c>
      <c r="B786" s="26">
        <f>'Scan to Sheets'!B786</f>
        <v>0</v>
      </c>
      <c r="C786" s="26">
        <f>'Scan to Sheets'!C786</f>
        <v>0</v>
      </c>
      <c r="D786" s="26">
        <f>'Scan to Sheets'!D786</f>
        <v>0</v>
      </c>
      <c r="E786" s="27" t="str">
        <f>IFERROR(VLOOKUP(C786,#REF!, 2, FALSE), "NO ENCONTRADO")</f>
        <v>NO ENCONTRADO</v>
      </c>
      <c r="F786" s="27" t="str">
        <f>IFERROR(VLOOKUP(C786,#REF!, 3, FALSE), "NO ENCONTRADO")</f>
        <v>NO ENCONTRADO</v>
      </c>
      <c r="G786" s="27" t="str">
        <f>IFERROR(VLOOKUP(C786,#REF!, 4, FALSE), "NO ENCONTRADO")</f>
        <v>NO ENCONTRADO</v>
      </c>
      <c r="H786" s="27" t="str">
        <f>IFERROR(VLOOKUP(C786,#REF!, 5, FALSE), "NO ENCONTRADO")</f>
        <v>NO ENCONTRADO</v>
      </c>
      <c r="I786" s="14"/>
      <c r="J786" s="27"/>
      <c r="K786" s="41"/>
      <c r="L786" s="14"/>
      <c r="M786" s="30">
        <f t="shared" ca="1" si="0"/>
        <v>46026</v>
      </c>
      <c r="N786" s="31" t="str">
        <f t="shared" ca="1" si="1"/>
        <v>✅</v>
      </c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 spans="1:28" ht="13" x14ac:dyDescent="0.15">
      <c r="A787" s="33">
        <f>'Scan to Sheets'!A787</f>
        <v>0</v>
      </c>
      <c r="B787" s="35">
        <f>'Scan to Sheets'!B787</f>
        <v>0</v>
      </c>
      <c r="C787" s="35">
        <f>'Scan to Sheets'!C787</f>
        <v>0</v>
      </c>
      <c r="D787" s="35">
        <f>'Scan to Sheets'!D787</f>
        <v>0</v>
      </c>
      <c r="E787" s="36" t="str">
        <f>IFERROR(VLOOKUP(C787,#REF!, 2, FALSE), "NO ENCONTRADO")</f>
        <v>NO ENCONTRADO</v>
      </c>
      <c r="F787" s="36" t="str">
        <f>IFERROR(VLOOKUP(C787,#REF!, 3, FALSE), "NO ENCONTRADO")</f>
        <v>NO ENCONTRADO</v>
      </c>
      <c r="G787" s="36" t="str">
        <f>IFERROR(VLOOKUP(C787,#REF!, 4, FALSE), "NO ENCONTRADO")</f>
        <v>NO ENCONTRADO</v>
      </c>
      <c r="H787" s="36" t="str">
        <f>IFERROR(VLOOKUP(C787,#REF!, 5, FALSE), "NO ENCONTRADO")</f>
        <v>NO ENCONTRADO</v>
      </c>
      <c r="I787" s="15"/>
      <c r="J787" s="36"/>
      <c r="K787" s="42"/>
      <c r="L787" s="15"/>
      <c r="M787" s="39">
        <f t="shared" ca="1" si="0"/>
        <v>46026</v>
      </c>
      <c r="N787" s="40" t="str">
        <f t="shared" ca="1" si="1"/>
        <v>✅</v>
      </c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 spans="1:28" ht="13" x14ac:dyDescent="0.15">
      <c r="A788" s="24">
        <f>'Scan to Sheets'!A788</f>
        <v>0</v>
      </c>
      <c r="B788" s="26">
        <f>'Scan to Sheets'!B788</f>
        <v>0</v>
      </c>
      <c r="C788" s="26">
        <f>'Scan to Sheets'!C788</f>
        <v>0</v>
      </c>
      <c r="D788" s="26">
        <f>'Scan to Sheets'!D788</f>
        <v>0</v>
      </c>
      <c r="E788" s="27" t="str">
        <f>IFERROR(VLOOKUP(C788,#REF!, 2, FALSE), "NO ENCONTRADO")</f>
        <v>NO ENCONTRADO</v>
      </c>
      <c r="F788" s="27" t="str">
        <f>IFERROR(VLOOKUP(C788,#REF!, 3, FALSE), "NO ENCONTRADO")</f>
        <v>NO ENCONTRADO</v>
      </c>
      <c r="G788" s="27" t="str">
        <f>IFERROR(VLOOKUP(C788,#REF!, 4, FALSE), "NO ENCONTRADO")</f>
        <v>NO ENCONTRADO</v>
      </c>
      <c r="H788" s="27" t="str">
        <f>IFERROR(VLOOKUP(C788,#REF!, 5, FALSE), "NO ENCONTRADO")</f>
        <v>NO ENCONTRADO</v>
      </c>
      <c r="I788" s="14"/>
      <c r="J788" s="27"/>
      <c r="K788" s="41"/>
      <c r="L788" s="14"/>
      <c r="M788" s="30">
        <f t="shared" ca="1" si="0"/>
        <v>46026</v>
      </c>
      <c r="N788" s="31" t="str">
        <f t="shared" ca="1" si="1"/>
        <v>✅</v>
      </c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 spans="1:28" ht="13" x14ac:dyDescent="0.15">
      <c r="A789" s="33">
        <f>'Scan to Sheets'!A789</f>
        <v>0</v>
      </c>
      <c r="B789" s="35">
        <f>'Scan to Sheets'!B789</f>
        <v>0</v>
      </c>
      <c r="C789" s="35">
        <f>'Scan to Sheets'!C789</f>
        <v>0</v>
      </c>
      <c r="D789" s="35">
        <f>'Scan to Sheets'!D789</f>
        <v>0</v>
      </c>
      <c r="E789" s="36" t="str">
        <f>IFERROR(VLOOKUP(C789,#REF!, 2, FALSE), "NO ENCONTRADO")</f>
        <v>NO ENCONTRADO</v>
      </c>
      <c r="F789" s="36" t="str">
        <f>IFERROR(VLOOKUP(C789,#REF!, 3, FALSE), "NO ENCONTRADO")</f>
        <v>NO ENCONTRADO</v>
      </c>
      <c r="G789" s="36" t="str">
        <f>IFERROR(VLOOKUP(C789,#REF!, 4, FALSE), "NO ENCONTRADO")</f>
        <v>NO ENCONTRADO</v>
      </c>
      <c r="H789" s="36" t="str">
        <f>IFERROR(VLOOKUP(C789,#REF!, 5, FALSE), "NO ENCONTRADO")</f>
        <v>NO ENCONTRADO</v>
      </c>
      <c r="I789" s="15"/>
      <c r="J789" s="36"/>
      <c r="K789" s="42"/>
      <c r="L789" s="15"/>
      <c r="M789" s="39">
        <f t="shared" ca="1" si="0"/>
        <v>46026</v>
      </c>
      <c r="N789" s="40" t="str">
        <f t="shared" ca="1" si="1"/>
        <v>✅</v>
      </c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 spans="1:28" ht="13" x14ac:dyDescent="0.15">
      <c r="A790" s="24">
        <f>'Scan to Sheets'!A790</f>
        <v>0</v>
      </c>
      <c r="B790" s="26">
        <f>'Scan to Sheets'!B790</f>
        <v>0</v>
      </c>
      <c r="C790" s="26">
        <f>'Scan to Sheets'!C790</f>
        <v>0</v>
      </c>
      <c r="D790" s="26">
        <f>'Scan to Sheets'!D790</f>
        <v>0</v>
      </c>
      <c r="E790" s="27" t="str">
        <f>IFERROR(VLOOKUP(C790,#REF!, 2, FALSE), "NO ENCONTRADO")</f>
        <v>NO ENCONTRADO</v>
      </c>
      <c r="F790" s="27" t="str">
        <f>IFERROR(VLOOKUP(C790,#REF!, 3, FALSE), "NO ENCONTRADO")</f>
        <v>NO ENCONTRADO</v>
      </c>
      <c r="G790" s="27" t="str">
        <f>IFERROR(VLOOKUP(C790,#REF!, 4, FALSE), "NO ENCONTRADO")</f>
        <v>NO ENCONTRADO</v>
      </c>
      <c r="H790" s="27" t="str">
        <f>IFERROR(VLOOKUP(C790,#REF!, 5, FALSE), "NO ENCONTRADO")</f>
        <v>NO ENCONTRADO</v>
      </c>
      <c r="I790" s="14"/>
      <c r="J790" s="27"/>
      <c r="K790" s="41"/>
      <c r="L790" s="14"/>
      <c r="M790" s="30">
        <f t="shared" ca="1" si="0"/>
        <v>46026</v>
      </c>
      <c r="N790" s="31" t="str">
        <f t="shared" ca="1" si="1"/>
        <v>✅</v>
      </c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 spans="1:28" ht="13" x14ac:dyDescent="0.15">
      <c r="A791" s="33">
        <f>'Scan to Sheets'!A791</f>
        <v>0</v>
      </c>
      <c r="B791" s="35">
        <f>'Scan to Sheets'!B791</f>
        <v>0</v>
      </c>
      <c r="C791" s="35">
        <f>'Scan to Sheets'!C791</f>
        <v>0</v>
      </c>
      <c r="D791" s="35">
        <f>'Scan to Sheets'!D791</f>
        <v>0</v>
      </c>
      <c r="E791" s="36" t="str">
        <f>IFERROR(VLOOKUP(C791,#REF!, 2, FALSE), "NO ENCONTRADO")</f>
        <v>NO ENCONTRADO</v>
      </c>
      <c r="F791" s="36" t="str">
        <f>IFERROR(VLOOKUP(C791,#REF!, 3, FALSE), "NO ENCONTRADO")</f>
        <v>NO ENCONTRADO</v>
      </c>
      <c r="G791" s="36" t="str">
        <f>IFERROR(VLOOKUP(C791,#REF!, 4, FALSE), "NO ENCONTRADO")</f>
        <v>NO ENCONTRADO</v>
      </c>
      <c r="H791" s="36" t="str">
        <f>IFERROR(VLOOKUP(C791,#REF!, 5, FALSE), "NO ENCONTRADO")</f>
        <v>NO ENCONTRADO</v>
      </c>
      <c r="I791" s="15"/>
      <c r="J791" s="36"/>
      <c r="K791" s="42"/>
      <c r="L791" s="15"/>
      <c r="M791" s="39">
        <f t="shared" ca="1" si="0"/>
        <v>46026</v>
      </c>
      <c r="N791" s="40" t="str">
        <f t="shared" ca="1" si="1"/>
        <v>✅</v>
      </c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 spans="1:28" ht="13" x14ac:dyDescent="0.15">
      <c r="A792" s="24">
        <f>'Scan to Sheets'!A792</f>
        <v>0</v>
      </c>
      <c r="B792" s="26">
        <f>'Scan to Sheets'!B792</f>
        <v>0</v>
      </c>
      <c r="C792" s="26">
        <f>'Scan to Sheets'!C792</f>
        <v>0</v>
      </c>
      <c r="D792" s="26">
        <f>'Scan to Sheets'!D792</f>
        <v>0</v>
      </c>
      <c r="E792" s="27" t="str">
        <f>IFERROR(VLOOKUP(C792,#REF!, 2, FALSE), "NO ENCONTRADO")</f>
        <v>NO ENCONTRADO</v>
      </c>
      <c r="F792" s="27" t="str">
        <f>IFERROR(VLOOKUP(C792,#REF!, 3, FALSE), "NO ENCONTRADO")</f>
        <v>NO ENCONTRADO</v>
      </c>
      <c r="G792" s="27" t="str">
        <f>IFERROR(VLOOKUP(C792,#REF!, 4, FALSE), "NO ENCONTRADO")</f>
        <v>NO ENCONTRADO</v>
      </c>
      <c r="H792" s="27" t="str">
        <f>IFERROR(VLOOKUP(C792,#REF!, 5, FALSE), "NO ENCONTRADO")</f>
        <v>NO ENCONTRADO</v>
      </c>
      <c r="I792" s="14"/>
      <c r="J792" s="27"/>
      <c r="K792" s="41"/>
      <c r="L792" s="14"/>
      <c r="M792" s="30">
        <f t="shared" ca="1" si="0"/>
        <v>46026</v>
      </c>
      <c r="N792" s="31" t="str">
        <f t="shared" ca="1" si="1"/>
        <v>✅</v>
      </c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 spans="1:28" ht="13" x14ac:dyDescent="0.15">
      <c r="A793" s="33">
        <f>'Scan to Sheets'!A793</f>
        <v>0</v>
      </c>
      <c r="B793" s="35">
        <f>'Scan to Sheets'!B793</f>
        <v>0</v>
      </c>
      <c r="C793" s="35">
        <f>'Scan to Sheets'!C793</f>
        <v>0</v>
      </c>
      <c r="D793" s="35">
        <f>'Scan to Sheets'!D793</f>
        <v>0</v>
      </c>
      <c r="E793" s="36" t="str">
        <f>IFERROR(VLOOKUP(C793,#REF!, 2, FALSE), "NO ENCONTRADO")</f>
        <v>NO ENCONTRADO</v>
      </c>
      <c r="F793" s="36" t="str">
        <f>IFERROR(VLOOKUP(C793,#REF!, 3, FALSE), "NO ENCONTRADO")</f>
        <v>NO ENCONTRADO</v>
      </c>
      <c r="G793" s="36" t="str">
        <f>IFERROR(VLOOKUP(C793,#REF!, 4, FALSE), "NO ENCONTRADO")</f>
        <v>NO ENCONTRADO</v>
      </c>
      <c r="H793" s="36" t="str">
        <f>IFERROR(VLOOKUP(C793,#REF!, 5, FALSE), "NO ENCONTRADO")</f>
        <v>NO ENCONTRADO</v>
      </c>
      <c r="I793" s="15"/>
      <c r="J793" s="36"/>
      <c r="K793" s="42"/>
      <c r="L793" s="15"/>
      <c r="M793" s="39">
        <f t="shared" ca="1" si="0"/>
        <v>46026</v>
      </c>
      <c r="N793" s="40" t="str">
        <f t="shared" ca="1" si="1"/>
        <v>✅</v>
      </c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 spans="1:28" ht="13" x14ac:dyDescent="0.15">
      <c r="A794" s="24">
        <f>'Scan to Sheets'!A794</f>
        <v>0</v>
      </c>
      <c r="B794" s="26">
        <f>'Scan to Sheets'!B794</f>
        <v>0</v>
      </c>
      <c r="C794" s="26">
        <f>'Scan to Sheets'!C794</f>
        <v>0</v>
      </c>
      <c r="D794" s="26">
        <f>'Scan to Sheets'!D794</f>
        <v>0</v>
      </c>
      <c r="E794" s="27" t="str">
        <f>IFERROR(VLOOKUP(C794,#REF!, 2, FALSE), "NO ENCONTRADO")</f>
        <v>NO ENCONTRADO</v>
      </c>
      <c r="F794" s="27" t="str">
        <f>IFERROR(VLOOKUP(C794,#REF!, 3, FALSE), "NO ENCONTRADO")</f>
        <v>NO ENCONTRADO</v>
      </c>
      <c r="G794" s="27" t="str">
        <f>IFERROR(VLOOKUP(C794,#REF!, 4, FALSE), "NO ENCONTRADO")</f>
        <v>NO ENCONTRADO</v>
      </c>
      <c r="H794" s="27" t="str">
        <f>IFERROR(VLOOKUP(C794,#REF!, 5, FALSE), "NO ENCONTRADO")</f>
        <v>NO ENCONTRADO</v>
      </c>
      <c r="I794" s="14"/>
      <c r="J794" s="27"/>
      <c r="K794" s="41"/>
      <c r="L794" s="14"/>
      <c r="M794" s="30">
        <f t="shared" ca="1" si="0"/>
        <v>46026</v>
      </c>
      <c r="N794" s="31" t="str">
        <f t="shared" ca="1" si="1"/>
        <v>✅</v>
      </c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 spans="1:28" ht="13" x14ac:dyDescent="0.15">
      <c r="A795" s="33">
        <f>'Scan to Sheets'!A795</f>
        <v>0</v>
      </c>
      <c r="B795" s="35">
        <f>'Scan to Sheets'!B795</f>
        <v>0</v>
      </c>
      <c r="C795" s="35">
        <f>'Scan to Sheets'!C795</f>
        <v>0</v>
      </c>
      <c r="D795" s="35">
        <f>'Scan to Sheets'!D795</f>
        <v>0</v>
      </c>
      <c r="E795" s="36" t="str">
        <f>IFERROR(VLOOKUP(C795,#REF!, 2, FALSE), "NO ENCONTRADO")</f>
        <v>NO ENCONTRADO</v>
      </c>
      <c r="F795" s="36" t="str">
        <f>IFERROR(VLOOKUP(C795,#REF!, 3, FALSE), "NO ENCONTRADO")</f>
        <v>NO ENCONTRADO</v>
      </c>
      <c r="G795" s="36" t="str">
        <f>IFERROR(VLOOKUP(C795,#REF!, 4, FALSE), "NO ENCONTRADO")</f>
        <v>NO ENCONTRADO</v>
      </c>
      <c r="H795" s="36" t="str">
        <f>IFERROR(VLOOKUP(C795,#REF!, 5, FALSE), "NO ENCONTRADO")</f>
        <v>NO ENCONTRADO</v>
      </c>
      <c r="I795" s="15"/>
      <c r="J795" s="36"/>
      <c r="K795" s="42"/>
      <c r="L795" s="15"/>
      <c r="M795" s="39">
        <f t="shared" ca="1" si="0"/>
        <v>46026</v>
      </c>
      <c r="N795" s="40" t="str">
        <f t="shared" ca="1" si="1"/>
        <v>✅</v>
      </c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 spans="1:28" ht="13" x14ac:dyDescent="0.15">
      <c r="A796" s="24">
        <f>'Scan to Sheets'!A796</f>
        <v>0</v>
      </c>
      <c r="B796" s="26">
        <f>'Scan to Sheets'!B796</f>
        <v>0</v>
      </c>
      <c r="C796" s="26">
        <f>'Scan to Sheets'!C796</f>
        <v>0</v>
      </c>
      <c r="D796" s="26">
        <f>'Scan to Sheets'!D796</f>
        <v>0</v>
      </c>
      <c r="E796" s="27" t="str">
        <f>IFERROR(VLOOKUP(C796,#REF!, 2, FALSE), "NO ENCONTRADO")</f>
        <v>NO ENCONTRADO</v>
      </c>
      <c r="F796" s="27" t="str">
        <f>IFERROR(VLOOKUP(C796,#REF!, 3, FALSE), "NO ENCONTRADO")</f>
        <v>NO ENCONTRADO</v>
      </c>
      <c r="G796" s="27" t="str">
        <f>IFERROR(VLOOKUP(C796,#REF!, 4, FALSE), "NO ENCONTRADO")</f>
        <v>NO ENCONTRADO</v>
      </c>
      <c r="H796" s="27" t="str">
        <f>IFERROR(VLOOKUP(C796,#REF!, 5, FALSE), "NO ENCONTRADO")</f>
        <v>NO ENCONTRADO</v>
      </c>
      <c r="I796" s="14"/>
      <c r="J796" s="27"/>
      <c r="K796" s="41"/>
      <c r="L796" s="14"/>
      <c r="M796" s="30">
        <f t="shared" ca="1" si="0"/>
        <v>46026</v>
      </c>
      <c r="N796" s="31" t="str">
        <f t="shared" ca="1" si="1"/>
        <v>✅</v>
      </c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 spans="1:28" ht="13" x14ac:dyDescent="0.15">
      <c r="A797" s="33">
        <f>'Scan to Sheets'!A797</f>
        <v>0</v>
      </c>
      <c r="B797" s="35">
        <f>'Scan to Sheets'!B797</f>
        <v>0</v>
      </c>
      <c r="C797" s="35">
        <f>'Scan to Sheets'!C797</f>
        <v>0</v>
      </c>
      <c r="D797" s="35">
        <f>'Scan to Sheets'!D797</f>
        <v>0</v>
      </c>
      <c r="E797" s="36" t="str">
        <f>IFERROR(VLOOKUP(C797,#REF!, 2, FALSE), "NO ENCONTRADO")</f>
        <v>NO ENCONTRADO</v>
      </c>
      <c r="F797" s="36" t="str">
        <f>IFERROR(VLOOKUP(C797,#REF!, 3, FALSE), "NO ENCONTRADO")</f>
        <v>NO ENCONTRADO</v>
      </c>
      <c r="G797" s="36" t="str">
        <f>IFERROR(VLOOKUP(C797,#REF!, 4, FALSE), "NO ENCONTRADO")</f>
        <v>NO ENCONTRADO</v>
      </c>
      <c r="H797" s="36" t="str">
        <f>IFERROR(VLOOKUP(C797,#REF!, 5, FALSE), "NO ENCONTRADO")</f>
        <v>NO ENCONTRADO</v>
      </c>
      <c r="I797" s="15"/>
      <c r="J797" s="36"/>
      <c r="K797" s="42"/>
      <c r="L797" s="15"/>
      <c r="M797" s="39">
        <f t="shared" ca="1" si="0"/>
        <v>46026</v>
      </c>
      <c r="N797" s="40" t="str">
        <f t="shared" ca="1" si="1"/>
        <v>✅</v>
      </c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 spans="1:28" ht="13" x14ac:dyDescent="0.15">
      <c r="A798" s="24">
        <f>'Scan to Sheets'!A798</f>
        <v>0</v>
      </c>
      <c r="B798" s="26">
        <f>'Scan to Sheets'!B798</f>
        <v>0</v>
      </c>
      <c r="C798" s="26">
        <f>'Scan to Sheets'!C798</f>
        <v>0</v>
      </c>
      <c r="D798" s="26">
        <f>'Scan to Sheets'!D798</f>
        <v>0</v>
      </c>
      <c r="E798" s="27" t="str">
        <f>IFERROR(VLOOKUP(C798,#REF!, 2, FALSE), "NO ENCONTRADO")</f>
        <v>NO ENCONTRADO</v>
      </c>
      <c r="F798" s="27" t="str">
        <f>IFERROR(VLOOKUP(C798,#REF!, 3, FALSE), "NO ENCONTRADO")</f>
        <v>NO ENCONTRADO</v>
      </c>
      <c r="G798" s="27" t="str">
        <f>IFERROR(VLOOKUP(C798,#REF!, 4, FALSE), "NO ENCONTRADO")</f>
        <v>NO ENCONTRADO</v>
      </c>
      <c r="H798" s="27" t="str">
        <f>IFERROR(VLOOKUP(C798,#REF!, 5, FALSE), "NO ENCONTRADO")</f>
        <v>NO ENCONTRADO</v>
      </c>
      <c r="I798" s="14"/>
      <c r="J798" s="27"/>
      <c r="K798" s="41"/>
      <c r="L798" s="14"/>
      <c r="M798" s="30">
        <f t="shared" ca="1" si="0"/>
        <v>46026</v>
      </c>
      <c r="N798" s="31" t="str">
        <f t="shared" ca="1" si="1"/>
        <v>✅</v>
      </c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 spans="1:28" ht="13" x14ac:dyDescent="0.15">
      <c r="A799" s="33">
        <f>'Scan to Sheets'!A799</f>
        <v>0</v>
      </c>
      <c r="B799" s="35">
        <f>'Scan to Sheets'!B799</f>
        <v>0</v>
      </c>
      <c r="C799" s="35">
        <f>'Scan to Sheets'!C799</f>
        <v>0</v>
      </c>
      <c r="D799" s="35">
        <f>'Scan to Sheets'!D799</f>
        <v>0</v>
      </c>
      <c r="E799" s="36" t="str">
        <f>IFERROR(VLOOKUP(C799,#REF!, 2, FALSE), "NO ENCONTRADO")</f>
        <v>NO ENCONTRADO</v>
      </c>
      <c r="F799" s="36" t="str">
        <f>IFERROR(VLOOKUP(C799,#REF!, 3, FALSE), "NO ENCONTRADO")</f>
        <v>NO ENCONTRADO</v>
      </c>
      <c r="G799" s="36" t="str">
        <f>IFERROR(VLOOKUP(C799,#REF!, 4, FALSE), "NO ENCONTRADO")</f>
        <v>NO ENCONTRADO</v>
      </c>
      <c r="H799" s="36" t="str">
        <f>IFERROR(VLOOKUP(C799,#REF!, 5, FALSE), "NO ENCONTRADO")</f>
        <v>NO ENCONTRADO</v>
      </c>
      <c r="I799" s="15"/>
      <c r="J799" s="36"/>
      <c r="K799" s="42"/>
      <c r="L799" s="15"/>
      <c r="M799" s="39">
        <f t="shared" ca="1" si="0"/>
        <v>46026</v>
      </c>
      <c r="N799" s="40" t="str">
        <f t="shared" ca="1" si="1"/>
        <v>✅</v>
      </c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 spans="1:28" ht="13" x14ac:dyDescent="0.15">
      <c r="A800" s="24">
        <f>'Scan to Sheets'!A800</f>
        <v>0</v>
      </c>
      <c r="B800" s="26">
        <f>'Scan to Sheets'!B800</f>
        <v>0</v>
      </c>
      <c r="C800" s="26">
        <f>'Scan to Sheets'!C800</f>
        <v>0</v>
      </c>
      <c r="D800" s="26">
        <f>'Scan to Sheets'!D800</f>
        <v>0</v>
      </c>
      <c r="E800" s="27" t="str">
        <f>IFERROR(VLOOKUP(C800,#REF!, 2, FALSE), "NO ENCONTRADO")</f>
        <v>NO ENCONTRADO</v>
      </c>
      <c r="F800" s="27" t="str">
        <f>IFERROR(VLOOKUP(C800,#REF!, 3, FALSE), "NO ENCONTRADO")</f>
        <v>NO ENCONTRADO</v>
      </c>
      <c r="G800" s="27" t="str">
        <f>IFERROR(VLOOKUP(C800,#REF!, 4, FALSE), "NO ENCONTRADO")</f>
        <v>NO ENCONTRADO</v>
      </c>
      <c r="H800" s="27" t="str">
        <f>IFERROR(VLOOKUP(C800,#REF!, 5, FALSE), "NO ENCONTRADO")</f>
        <v>NO ENCONTRADO</v>
      </c>
      <c r="I800" s="14"/>
      <c r="J800" s="27"/>
      <c r="K800" s="41"/>
      <c r="L800" s="14"/>
      <c r="M800" s="30">
        <f t="shared" ca="1" si="0"/>
        <v>46026</v>
      </c>
      <c r="N800" s="31" t="str">
        <f t="shared" ca="1" si="1"/>
        <v>✅</v>
      </c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 spans="1:28" ht="13" x14ac:dyDescent="0.15">
      <c r="A801" s="33">
        <f>'Scan to Sheets'!A801</f>
        <v>0</v>
      </c>
      <c r="B801" s="35">
        <f>'Scan to Sheets'!B801</f>
        <v>0</v>
      </c>
      <c r="C801" s="35">
        <f>'Scan to Sheets'!C801</f>
        <v>0</v>
      </c>
      <c r="D801" s="35">
        <f>'Scan to Sheets'!D801</f>
        <v>0</v>
      </c>
      <c r="E801" s="36" t="str">
        <f>IFERROR(VLOOKUP(C801,#REF!, 2, FALSE), "NO ENCONTRADO")</f>
        <v>NO ENCONTRADO</v>
      </c>
      <c r="F801" s="36" t="str">
        <f>IFERROR(VLOOKUP(C801,#REF!, 3, FALSE), "NO ENCONTRADO")</f>
        <v>NO ENCONTRADO</v>
      </c>
      <c r="G801" s="36" t="str">
        <f>IFERROR(VLOOKUP(C801,#REF!, 4, FALSE), "NO ENCONTRADO")</f>
        <v>NO ENCONTRADO</v>
      </c>
      <c r="H801" s="36" t="str">
        <f>IFERROR(VLOOKUP(C801,#REF!, 5, FALSE), "NO ENCONTRADO")</f>
        <v>NO ENCONTRADO</v>
      </c>
      <c r="I801" s="15"/>
      <c r="J801" s="36"/>
      <c r="K801" s="42"/>
      <c r="L801" s="15"/>
      <c r="M801" s="39">
        <f t="shared" ca="1" si="0"/>
        <v>46026</v>
      </c>
      <c r="N801" s="40" t="str">
        <f t="shared" ca="1" si="1"/>
        <v>✅</v>
      </c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 spans="1:28" ht="13" x14ac:dyDescent="0.15">
      <c r="A802" s="24">
        <f>'Scan to Sheets'!A802</f>
        <v>0</v>
      </c>
      <c r="B802" s="26">
        <f>'Scan to Sheets'!B802</f>
        <v>0</v>
      </c>
      <c r="C802" s="26">
        <f>'Scan to Sheets'!C802</f>
        <v>0</v>
      </c>
      <c r="D802" s="26">
        <f>'Scan to Sheets'!D802</f>
        <v>0</v>
      </c>
      <c r="E802" s="27" t="str">
        <f>IFERROR(VLOOKUP(C802,#REF!, 2, FALSE), "NO ENCONTRADO")</f>
        <v>NO ENCONTRADO</v>
      </c>
      <c r="F802" s="27" t="str">
        <f>IFERROR(VLOOKUP(C802,#REF!, 3, FALSE), "NO ENCONTRADO")</f>
        <v>NO ENCONTRADO</v>
      </c>
      <c r="G802" s="27" t="str">
        <f>IFERROR(VLOOKUP(C802,#REF!, 4, FALSE), "NO ENCONTRADO")</f>
        <v>NO ENCONTRADO</v>
      </c>
      <c r="H802" s="27" t="str">
        <f>IFERROR(VLOOKUP(C802,#REF!, 5, FALSE), "NO ENCONTRADO")</f>
        <v>NO ENCONTRADO</v>
      </c>
      <c r="I802" s="14"/>
      <c r="J802" s="27"/>
      <c r="K802" s="41"/>
      <c r="L802" s="14"/>
      <c r="M802" s="30">
        <f t="shared" ca="1" si="0"/>
        <v>46026</v>
      </c>
      <c r="N802" s="31" t="str">
        <f t="shared" ca="1" si="1"/>
        <v>✅</v>
      </c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 spans="1:28" ht="13" x14ac:dyDescent="0.15">
      <c r="A803" s="33">
        <f>'Scan to Sheets'!A803</f>
        <v>0</v>
      </c>
      <c r="B803" s="35">
        <f>'Scan to Sheets'!B803</f>
        <v>0</v>
      </c>
      <c r="C803" s="35">
        <f>'Scan to Sheets'!C803</f>
        <v>0</v>
      </c>
      <c r="D803" s="35">
        <f>'Scan to Sheets'!D803</f>
        <v>0</v>
      </c>
      <c r="E803" s="36" t="str">
        <f>IFERROR(VLOOKUP(C803,#REF!, 2, FALSE), "NO ENCONTRADO")</f>
        <v>NO ENCONTRADO</v>
      </c>
      <c r="F803" s="36" t="str">
        <f>IFERROR(VLOOKUP(C803,#REF!, 3, FALSE), "NO ENCONTRADO")</f>
        <v>NO ENCONTRADO</v>
      </c>
      <c r="G803" s="36" t="str">
        <f>IFERROR(VLOOKUP(C803,#REF!, 4, FALSE), "NO ENCONTRADO")</f>
        <v>NO ENCONTRADO</v>
      </c>
      <c r="H803" s="36" t="str">
        <f>IFERROR(VLOOKUP(C803,#REF!, 5, FALSE), "NO ENCONTRADO")</f>
        <v>NO ENCONTRADO</v>
      </c>
      <c r="I803" s="15"/>
      <c r="J803" s="36"/>
      <c r="K803" s="42"/>
      <c r="L803" s="15"/>
      <c r="M803" s="39">
        <f t="shared" ca="1" si="0"/>
        <v>46026</v>
      </c>
      <c r="N803" s="40" t="str">
        <f t="shared" ca="1" si="1"/>
        <v>✅</v>
      </c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 spans="1:28" ht="13" x14ac:dyDescent="0.15">
      <c r="A804" s="24">
        <f>'Scan to Sheets'!A804</f>
        <v>0</v>
      </c>
      <c r="B804" s="26">
        <f>'Scan to Sheets'!B804</f>
        <v>0</v>
      </c>
      <c r="C804" s="26">
        <f>'Scan to Sheets'!C804</f>
        <v>0</v>
      </c>
      <c r="D804" s="26">
        <f>'Scan to Sheets'!D804</f>
        <v>0</v>
      </c>
      <c r="E804" s="27" t="str">
        <f>IFERROR(VLOOKUP(C804,#REF!, 2, FALSE), "NO ENCONTRADO")</f>
        <v>NO ENCONTRADO</v>
      </c>
      <c r="F804" s="27" t="str">
        <f>IFERROR(VLOOKUP(C804,#REF!, 3, FALSE), "NO ENCONTRADO")</f>
        <v>NO ENCONTRADO</v>
      </c>
      <c r="G804" s="27" t="str">
        <f>IFERROR(VLOOKUP(C804,#REF!, 4, FALSE), "NO ENCONTRADO")</f>
        <v>NO ENCONTRADO</v>
      </c>
      <c r="H804" s="27" t="str">
        <f>IFERROR(VLOOKUP(C804,#REF!, 5, FALSE), "NO ENCONTRADO")</f>
        <v>NO ENCONTRADO</v>
      </c>
      <c r="I804" s="14"/>
      <c r="J804" s="27"/>
      <c r="K804" s="41"/>
      <c r="L804" s="14"/>
      <c r="M804" s="30">
        <f t="shared" ca="1" si="0"/>
        <v>46026</v>
      </c>
      <c r="N804" s="31" t="str">
        <f t="shared" ca="1" si="1"/>
        <v>✅</v>
      </c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 spans="1:28" ht="13" x14ac:dyDescent="0.15">
      <c r="A805" s="33">
        <f>'Scan to Sheets'!A805</f>
        <v>0</v>
      </c>
      <c r="B805" s="35">
        <f>'Scan to Sheets'!B805</f>
        <v>0</v>
      </c>
      <c r="C805" s="35">
        <f>'Scan to Sheets'!C805</f>
        <v>0</v>
      </c>
      <c r="D805" s="35">
        <f>'Scan to Sheets'!D805</f>
        <v>0</v>
      </c>
      <c r="E805" s="36" t="str">
        <f>IFERROR(VLOOKUP(C805,#REF!, 2, FALSE), "NO ENCONTRADO")</f>
        <v>NO ENCONTRADO</v>
      </c>
      <c r="F805" s="36" t="str">
        <f>IFERROR(VLOOKUP(C805,#REF!, 3, FALSE), "NO ENCONTRADO")</f>
        <v>NO ENCONTRADO</v>
      </c>
      <c r="G805" s="36" t="str">
        <f>IFERROR(VLOOKUP(C805,#REF!, 4, FALSE), "NO ENCONTRADO")</f>
        <v>NO ENCONTRADO</v>
      </c>
      <c r="H805" s="36" t="str">
        <f>IFERROR(VLOOKUP(C805,#REF!, 5, FALSE), "NO ENCONTRADO")</f>
        <v>NO ENCONTRADO</v>
      </c>
      <c r="I805" s="15"/>
      <c r="J805" s="36"/>
      <c r="K805" s="42"/>
      <c r="L805" s="15"/>
      <c r="M805" s="39">
        <f t="shared" ca="1" si="0"/>
        <v>46026</v>
      </c>
      <c r="N805" s="40" t="str">
        <f t="shared" ca="1" si="1"/>
        <v>✅</v>
      </c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 spans="1:28" ht="13" x14ac:dyDescent="0.15">
      <c r="A806" s="24">
        <f>'Scan to Sheets'!A806</f>
        <v>0</v>
      </c>
      <c r="B806" s="26">
        <f>'Scan to Sheets'!B806</f>
        <v>0</v>
      </c>
      <c r="C806" s="26">
        <f>'Scan to Sheets'!C806</f>
        <v>0</v>
      </c>
      <c r="D806" s="26">
        <f>'Scan to Sheets'!D806</f>
        <v>0</v>
      </c>
      <c r="E806" s="27" t="str">
        <f>IFERROR(VLOOKUP(C806,#REF!, 2, FALSE), "NO ENCONTRADO")</f>
        <v>NO ENCONTRADO</v>
      </c>
      <c r="F806" s="27" t="str">
        <f>IFERROR(VLOOKUP(C806,#REF!, 3, FALSE), "NO ENCONTRADO")</f>
        <v>NO ENCONTRADO</v>
      </c>
      <c r="G806" s="27" t="str">
        <f>IFERROR(VLOOKUP(C806,#REF!, 4, FALSE), "NO ENCONTRADO")</f>
        <v>NO ENCONTRADO</v>
      </c>
      <c r="H806" s="27" t="str">
        <f>IFERROR(VLOOKUP(C806,#REF!, 5, FALSE), "NO ENCONTRADO")</f>
        <v>NO ENCONTRADO</v>
      </c>
      <c r="I806" s="14"/>
      <c r="J806" s="27"/>
      <c r="K806" s="41"/>
      <c r="L806" s="14"/>
      <c r="M806" s="30">
        <f t="shared" ca="1" si="0"/>
        <v>46026</v>
      </c>
      <c r="N806" s="31" t="str">
        <f t="shared" ca="1" si="1"/>
        <v>✅</v>
      </c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 spans="1:28" ht="13" x14ac:dyDescent="0.15">
      <c r="A807" s="33">
        <f>'Scan to Sheets'!A807</f>
        <v>0</v>
      </c>
      <c r="B807" s="35">
        <f>'Scan to Sheets'!B807</f>
        <v>0</v>
      </c>
      <c r="C807" s="35">
        <f>'Scan to Sheets'!C807</f>
        <v>0</v>
      </c>
      <c r="D807" s="35">
        <f>'Scan to Sheets'!D807</f>
        <v>0</v>
      </c>
      <c r="E807" s="36" t="str">
        <f>IFERROR(VLOOKUP(C807,#REF!, 2, FALSE), "NO ENCONTRADO")</f>
        <v>NO ENCONTRADO</v>
      </c>
      <c r="F807" s="36" t="str">
        <f>IFERROR(VLOOKUP(C807,#REF!, 3, FALSE), "NO ENCONTRADO")</f>
        <v>NO ENCONTRADO</v>
      </c>
      <c r="G807" s="36" t="str">
        <f>IFERROR(VLOOKUP(C807,#REF!, 4, FALSE), "NO ENCONTRADO")</f>
        <v>NO ENCONTRADO</v>
      </c>
      <c r="H807" s="36" t="str">
        <f>IFERROR(VLOOKUP(C807,#REF!, 5, FALSE), "NO ENCONTRADO")</f>
        <v>NO ENCONTRADO</v>
      </c>
      <c r="I807" s="15"/>
      <c r="J807" s="36"/>
      <c r="K807" s="42"/>
      <c r="L807" s="15"/>
      <c r="M807" s="39">
        <f t="shared" ca="1" si="0"/>
        <v>46026</v>
      </c>
      <c r="N807" s="40" t="str">
        <f t="shared" ca="1" si="1"/>
        <v>✅</v>
      </c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 spans="1:28" ht="13" x14ac:dyDescent="0.15">
      <c r="A808" s="24">
        <f>'Scan to Sheets'!A808</f>
        <v>0</v>
      </c>
      <c r="B808" s="26">
        <f>'Scan to Sheets'!B808</f>
        <v>0</v>
      </c>
      <c r="C808" s="26">
        <f>'Scan to Sheets'!C808</f>
        <v>0</v>
      </c>
      <c r="D808" s="26">
        <f>'Scan to Sheets'!D808</f>
        <v>0</v>
      </c>
      <c r="E808" s="27" t="str">
        <f>IFERROR(VLOOKUP(C808,#REF!, 2, FALSE), "NO ENCONTRADO")</f>
        <v>NO ENCONTRADO</v>
      </c>
      <c r="F808" s="27" t="str">
        <f>IFERROR(VLOOKUP(C808,#REF!, 3, FALSE), "NO ENCONTRADO")</f>
        <v>NO ENCONTRADO</v>
      </c>
      <c r="G808" s="27" t="str">
        <f>IFERROR(VLOOKUP(C808,#REF!, 4, FALSE), "NO ENCONTRADO")</f>
        <v>NO ENCONTRADO</v>
      </c>
      <c r="H808" s="27" t="str">
        <f>IFERROR(VLOOKUP(C808,#REF!, 5, FALSE), "NO ENCONTRADO")</f>
        <v>NO ENCONTRADO</v>
      </c>
      <c r="I808" s="14"/>
      <c r="J808" s="27"/>
      <c r="K808" s="41"/>
      <c r="L808" s="14"/>
      <c r="M808" s="30">
        <f t="shared" ca="1" si="0"/>
        <v>46026</v>
      </c>
      <c r="N808" s="31" t="str">
        <f t="shared" ca="1" si="1"/>
        <v>✅</v>
      </c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 spans="1:28" ht="13" x14ac:dyDescent="0.15">
      <c r="A809" s="33">
        <f>'Scan to Sheets'!A809</f>
        <v>0</v>
      </c>
      <c r="B809" s="35">
        <f>'Scan to Sheets'!B809</f>
        <v>0</v>
      </c>
      <c r="C809" s="35">
        <f>'Scan to Sheets'!C809</f>
        <v>0</v>
      </c>
      <c r="D809" s="35">
        <f>'Scan to Sheets'!D809</f>
        <v>0</v>
      </c>
      <c r="E809" s="36" t="str">
        <f>IFERROR(VLOOKUP(C809,#REF!, 2, FALSE), "NO ENCONTRADO")</f>
        <v>NO ENCONTRADO</v>
      </c>
      <c r="F809" s="36" t="str">
        <f>IFERROR(VLOOKUP(C809,#REF!, 3, FALSE), "NO ENCONTRADO")</f>
        <v>NO ENCONTRADO</v>
      </c>
      <c r="G809" s="36" t="str">
        <f>IFERROR(VLOOKUP(C809,#REF!, 4, FALSE), "NO ENCONTRADO")</f>
        <v>NO ENCONTRADO</v>
      </c>
      <c r="H809" s="36" t="str">
        <f>IFERROR(VLOOKUP(C809,#REF!, 5, FALSE), "NO ENCONTRADO")</f>
        <v>NO ENCONTRADO</v>
      </c>
      <c r="I809" s="15"/>
      <c r="J809" s="36"/>
      <c r="K809" s="42"/>
      <c r="L809" s="15"/>
      <c r="M809" s="39">
        <f t="shared" ca="1" si="0"/>
        <v>46026</v>
      </c>
      <c r="N809" s="40" t="str">
        <f t="shared" ca="1" si="1"/>
        <v>✅</v>
      </c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 spans="1:28" ht="13" x14ac:dyDescent="0.15">
      <c r="A810" s="24">
        <f>'Scan to Sheets'!A810</f>
        <v>0</v>
      </c>
      <c r="B810" s="26">
        <f>'Scan to Sheets'!B810</f>
        <v>0</v>
      </c>
      <c r="C810" s="26">
        <f>'Scan to Sheets'!C810</f>
        <v>0</v>
      </c>
      <c r="D810" s="26">
        <f>'Scan to Sheets'!D810</f>
        <v>0</v>
      </c>
      <c r="E810" s="27" t="str">
        <f>IFERROR(VLOOKUP(C810,#REF!, 2, FALSE), "NO ENCONTRADO")</f>
        <v>NO ENCONTRADO</v>
      </c>
      <c r="F810" s="27" t="str">
        <f>IFERROR(VLOOKUP(C810,#REF!, 3, FALSE), "NO ENCONTRADO")</f>
        <v>NO ENCONTRADO</v>
      </c>
      <c r="G810" s="27" t="str">
        <f>IFERROR(VLOOKUP(C810,#REF!, 4, FALSE), "NO ENCONTRADO")</f>
        <v>NO ENCONTRADO</v>
      </c>
      <c r="H810" s="27" t="str">
        <f>IFERROR(VLOOKUP(C810,#REF!, 5, FALSE), "NO ENCONTRADO")</f>
        <v>NO ENCONTRADO</v>
      </c>
      <c r="I810" s="14"/>
      <c r="J810" s="27"/>
      <c r="K810" s="41"/>
      <c r="L810" s="14"/>
      <c r="M810" s="30">
        <f t="shared" ca="1" si="0"/>
        <v>46026</v>
      </c>
      <c r="N810" s="31" t="str">
        <f t="shared" ca="1" si="1"/>
        <v>✅</v>
      </c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 spans="1:28" ht="13" x14ac:dyDescent="0.15">
      <c r="A811" s="33">
        <f>'Scan to Sheets'!A811</f>
        <v>0</v>
      </c>
      <c r="B811" s="35">
        <f>'Scan to Sheets'!B811</f>
        <v>0</v>
      </c>
      <c r="C811" s="35">
        <f>'Scan to Sheets'!C811</f>
        <v>0</v>
      </c>
      <c r="D811" s="35">
        <f>'Scan to Sheets'!D811</f>
        <v>0</v>
      </c>
      <c r="E811" s="36" t="str">
        <f>IFERROR(VLOOKUP(C811,#REF!, 2, FALSE), "NO ENCONTRADO")</f>
        <v>NO ENCONTRADO</v>
      </c>
      <c r="F811" s="36" t="str">
        <f>IFERROR(VLOOKUP(C811,#REF!, 3, FALSE), "NO ENCONTRADO")</f>
        <v>NO ENCONTRADO</v>
      </c>
      <c r="G811" s="36" t="str">
        <f>IFERROR(VLOOKUP(C811,#REF!, 4, FALSE), "NO ENCONTRADO")</f>
        <v>NO ENCONTRADO</v>
      </c>
      <c r="H811" s="36" t="str">
        <f>IFERROR(VLOOKUP(C811,#REF!, 5, FALSE), "NO ENCONTRADO")</f>
        <v>NO ENCONTRADO</v>
      </c>
      <c r="I811" s="15"/>
      <c r="J811" s="36"/>
      <c r="K811" s="42"/>
      <c r="L811" s="15"/>
      <c r="M811" s="39">
        <f t="shared" ca="1" si="0"/>
        <v>46026</v>
      </c>
      <c r="N811" s="40" t="str">
        <f t="shared" ca="1" si="1"/>
        <v>✅</v>
      </c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 spans="1:28" ht="13" x14ac:dyDescent="0.15">
      <c r="A812" s="24">
        <f>'Scan to Sheets'!A812</f>
        <v>0</v>
      </c>
      <c r="B812" s="26">
        <f>'Scan to Sheets'!B812</f>
        <v>0</v>
      </c>
      <c r="C812" s="26">
        <f>'Scan to Sheets'!C812</f>
        <v>0</v>
      </c>
      <c r="D812" s="26">
        <f>'Scan to Sheets'!D812</f>
        <v>0</v>
      </c>
      <c r="E812" s="27" t="str">
        <f>IFERROR(VLOOKUP(C812,#REF!, 2, FALSE), "NO ENCONTRADO")</f>
        <v>NO ENCONTRADO</v>
      </c>
      <c r="F812" s="27" t="str">
        <f>IFERROR(VLOOKUP(C812,#REF!, 3, FALSE), "NO ENCONTRADO")</f>
        <v>NO ENCONTRADO</v>
      </c>
      <c r="G812" s="27" t="str">
        <f>IFERROR(VLOOKUP(C812,#REF!, 4, FALSE), "NO ENCONTRADO")</f>
        <v>NO ENCONTRADO</v>
      </c>
      <c r="H812" s="27" t="str">
        <f>IFERROR(VLOOKUP(C812,#REF!, 5, FALSE), "NO ENCONTRADO")</f>
        <v>NO ENCONTRADO</v>
      </c>
      <c r="I812" s="14"/>
      <c r="J812" s="27"/>
      <c r="K812" s="41"/>
      <c r="L812" s="14"/>
      <c r="M812" s="30">
        <f t="shared" ca="1" si="0"/>
        <v>46026</v>
      </c>
      <c r="N812" s="31" t="str">
        <f t="shared" ca="1" si="1"/>
        <v>✅</v>
      </c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 spans="1:28" ht="13" x14ac:dyDescent="0.15">
      <c r="A813" s="33">
        <f>'Scan to Sheets'!A813</f>
        <v>0</v>
      </c>
      <c r="B813" s="35">
        <f>'Scan to Sheets'!B813</f>
        <v>0</v>
      </c>
      <c r="C813" s="35">
        <f>'Scan to Sheets'!C813</f>
        <v>0</v>
      </c>
      <c r="D813" s="35">
        <f>'Scan to Sheets'!D813</f>
        <v>0</v>
      </c>
      <c r="E813" s="36" t="str">
        <f>IFERROR(VLOOKUP(C813,#REF!, 2, FALSE), "NO ENCONTRADO")</f>
        <v>NO ENCONTRADO</v>
      </c>
      <c r="F813" s="36" t="str">
        <f>IFERROR(VLOOKUP(C813,#REF!, 3, FALSE), "NO ENCONTRADO")</f>
        <v>NO ENCONTRADO</v>
      </c>
      <c r="G813" s="36" t="str">
        <f>IFERROR(VLOOKUP(C813,#REF!, 4, FALSE), "NO ENCONTRADO")</f>
        <v>NO ENCONTRADO</v>
      </c>
      <c r="H813" s="36" t="str">
        <f>IFERROR(VLOOKUP(C813,#REF!, 5, FALSE), "NO ENCONTRADO")</f>
        <v>NO ENCONTRADO</v>
      </c>
      <c r="I813" s="15"/>
      <c r="J813" s="36"/>
      <c r="K813" s="42"/>
      <c r="L813" s="15"/>
      <c r="M813" s="39">
        <f t="shared" ca="1" si="0"/>
        <v>46026</v>
      </c>
      <c r="N813" s="40" t="str">
        <f t="shared" ca="1" si="1"/>
        <v>✅</v>
      </c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 spans="1:28" ht="13" x14ac:dyDescent="0.15">
      <c r="A814" s="24">
        <f>'Scan to Sheets'!A814</f>
        <v>0</v>
      </c>
      <c r="B814" s="26">
        <f>'Scan to Sheets'!B814</f>
        <v>0</v>
      </c>
      <c r="C814" s="26">
        <f>'Scan to Sheets'!C814</f>
        <v>0</v>
      </c>
      <c r="D814" s="26">
        <f>'Scan to Sheets'!D814</f>
        <v>0</v>
      </c>
      <c r="E814" s="27" t="str">
        <f>IFERROR(VLOOKUP(C814,#REF!, 2, FALSE), "NO ENCONTRADO")</f>
        <v>NO ENCONTRADO</v>
      </c>
      <c r="F814" s="27" t="str">
        <f>IFERROR(VLOOKUP(C814,#REF!, 3, FALSE), "NO ENCONTRADO")</f>
        <v>NO ENCONTRADO</v>
      </c>
      <c r="G814" s="27" t="str">
        <f>IFERROR(VLOOKUP(C814,#REF!, 4, FALSE), "NO ENCONTRADO")</f>
        <v>NO ENCONTRADO</v>
      </c>
      <c r="H814" s="27" t="str">
        <f>IFERROR(VLOOKUP(C814,#REF!, 5, FALSE), "NO ENCONTRADO")</f>
        <v>NO ENCONTRADO</v>
      </c>
      <c r="I814" s="14"/>
      <c r="J814" s="27"/>
      <c r="K814" s="41"/>
      <c r="L814" s="14"/>
      <c r="M814" s="30">
        <f t="shared" ca="1" si="0"/>
        <v>46026</v>
      </c>
      <c r="N814" s="31" t="str">
        <f t="shared" ca="1" si="1"/>
        <v>✅</v>
      </c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 spans="1:28" ht="13" x14ac:dyDescent="0.15">
      <c r="A815" s="33">
        <f>'Scan to Sheets'!A815</f>
        <v>0</v>
      </c>
      <c r="B815" s="35">
        <f>'Scan to Sheets'!B815</f>
        <v>0</v>
      </c>
      <c r="C815" s="35">
        <f>'Scan to Sheets'!C815</f>
        <v>0</v>
      </c>
      <c r="D815" s="35">
        <f>'Scan to Sheets'!D815</f>
        <v>0</v>
      </c>
      <c r="E815" s="36" t="str">
        <f>IFERROR(VLOOKUP(C815,#REF!, 2, FALSE), "NO ENCONTRADO")</f>
        <v>NO ENCONTRADO</v>
      </c>
      <c r="F815" s="36" t="str">
        <f>IFERROR(VLOOKUP(C815,#REF!, 3, FALSE), "NO ENCONTRADO")</f>
        <v>NO ENCONTRADO</v>
      </c>
      <c r="G815" s="36" t="str">
        <f>IFERROR(VLOOKUP(C815,#REF!, 4, FALSE), "NO ENCONTRADO")</f>
        <v>NO ENCONTRADO</v>
      </c>
      <c r="H815" s="36" t="str">
        <f>IFERROR(VLOOKUP(C815,#REF!, 5, FALSE), "NO ENCONTRADO")</f>
        <v>NO ENCONTRADO</v>
      </c>
      <c r="I815" s="15"/>
      <c r="J815" s="36"/>
      <c r="K815" s="42"/>
      <c r="L815" s="15"/>
      <c r="M815" s="39">
        <f t="shared" ca="1" si="0"/>
        <v>46026</v>
      </c>
      <c r="N815" s="40" t="str">
        <f t="shared" ca="1" si="1"/>
        <v>✅</v>
      </c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 spans="1:28" ht="13" x14ac:dyDescent="0.15">
      <c r="A816" s="24">
        <f>'Scan to Sheets'!A816</f>
        <v>0</v>
      </c>
      <c r="B816" s="26">
        <f>'Scan to Sheets'!B816</f>
        <v>0</v>
      </c>
      <c r="C816" s="26">
        <f>'Scan to Sheets'!C816</f>
        <v>0</v>
      </c>
      <c r="D816" s="26">
        <f>'Scan to Sheets'!D816</f>
        <v>0</v>
      </c>
      <c r="E816" s="27" t="str">
        <f>IFERROR(VLOOKUP(C816,#REF!, 2, FALSE), "NO ENCONTRADO")</f>
        <v>NO ENCONTRADO</v>
      </c>
      <c r="F816" s="27" t="str">
        <f>IFERROR(VLOOKUP(C816,#REF!, 3, FALSE), "NO ENCONTRADO")</f>
        <v>NO ENCONTRADO</v>
      </c>
      <c r="G816" s="27" t="str">
        <f>IFERROR(VLOOKUP(C816,#REF!, 4, FALSE), "NO ENCONTRADO")</f>
        <v>NO ENCONTRADO</v>
      </c>
      <c r="H816" s="27" t="str">
        <f>IFERROR(VLOOKUP(C816,#REF!, 5, FALSE), "NO ENCONTRADO")</f>
        <v>NO ENCONTRADO</v>
      </c>
      <c r="I816" s="14"/>
      <c r="J816" s="27"/>
      <c r="K816" s="41"/>
      <c r="L816" s="14"/>
      <c r="M816" s="30">
        <f t="shared" ca="1" si="0"/>
        <v>46026</v>
      </c>
      <c r="N816" s="31" t="str">
        <f t="shared" ca="1" si="1"/>
        <v>✅</v>
      </c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 spans="1:28" ht="13" x14ac:dyDescent="0.15">
      <c r="A817" s="33">
        <f>'Scan to Sheets'!A817</f>
        <v>0</v>
      </c>
      <c r="B817" s="35">
        <f>'Scan to Sheets'!B817</f>
        <v>0</v>
      </c>
      <c r="C817" s="35">
        <f>'Scan to Sheets'!C817</f>
        <v>0</v>
      </c>
      <c r="D817" s="35">
        <f>'Scan to Sheets'!D817</f>
        <v>0</v>
      </c>
      <c r="E817" s="36" t="str">
        <f>IFERROR(VLOOKUP(C817,#REF!, 2, FALSE), "NO ENCONTRADO")</f>
        <v>NO ENCONTRADO</v>
      </c>
      <c r="F817" s="36" t="str">
        <f>IFERROR(VLOOKUP(C817,#REF!, 3, FALSE), "NO ENCONTRADO")</f>
        <v>NO ENCONTRADO</v>
      </c>
      <c r="G817" s="36" t="str">
        <f>IFERROR(VLOOKUP(C817,#REF!, 4, FALSE), "NO ENCONTRADO")</f>
        <v>NO ENCONTRADO</v>
      </c>
      <c r="H817" s="36" t="str">
        <f>IFERROR(VLOOKUP(C817,#REF!, 5, FALSE), "NO ENCONTRADO")</f>
        <v>NO ENCONTRADO</v>
      </c>
      <c r="I817" s="15"/>
      <c r="J817" s="36"/>
      <c r="K817" s="42"/>
      <c r="L817" s="15"/>
      <c r="M817" s="39">
        <f t="shared" ca="1" si="0"/>
        <v>46026</v>
      </c>
      <c r="N817" s="40" t="str">
        <f t="shared" ca="1" si="1"/>
        <v>✅</v>
      </c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 spans="1:28" ht="13" x14ac:dyDescent="0.15">
      <c r="A818" s="24">
        <f>'Scan to Sheets'!A818</f>
        <v>0</v>
      </c>
      <c r="B818" s="26">
        <f>'Scan to Sheets'!B818</f>
        <v>0</v>
      </c>
      <c r="C818" s="26">
        <f>'Scan to Sheets'!C818</f>
        <v>0</v>
      </c>
      <c r="D818" s="26">
        <f>'Scan to Sheets'!D818</f>
        <v>0</v>
      </c>
      <c r="E818" s="27" t="str">
        <f>IFERROR(VLOOKUP(C818,#REF!, 2, FALSE), "NO ENCONTRADO")</f>
        <v>NO ENCONTRADO</v>
      </c>
      <c r="F818" s="27" t="str">
        <f>IFERROR(VLOOKUP(C818,#REF!, 3, FALSE), "NO ENCONTRADO")</f>
        <v>NO ENCONTRADO</v>
      </c>
      <c r="G818" s="27" t="str">
        <f>IFERROR(VLOOKUP(C818,#REF!, 4, FALSE), "NO ENCONTRADO")</f>
        <v>NO ENCONTRADO</v>
      </c>
      <c r="H818" s="27" t="str">
        <f>IFERROR(VLOOKUP(C818,#REF!, 5, FALSE), "NO ENCONTRADO")</f>
        <v>NO ENCONTRADO</v>
      </c>
      <c r="I818" s="14"/>
      <c r="J818" s="27"/>
      <c r="K818" s="41"/>
      <c r="L818" s="14"/>
      <c r="M818" s="30">
        <f t="shared" ca="1" si="0"/>
        <v>46026</v>
      </c>
      <c r="N818" s="31" t="str">
        <f t="shared" ca="1" si="1"/>
        <v>✅</v>
      </c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 spans="1:28" ht="13" x14ac:dyDescent="0.15">
      <c r="A819" s="33">
        <f>'Scan to Sheets'!A819</f>
        <v>0</v>
      </c>
      <c r="B819" s="35">
        <f>'Scan to Sheets'!B819</f>
        <v>0</v>
      </c>
      <c r="C819" s="35">
        <f>'Scan to Sheets'!C819</f>
        <v>0</v>
      </c>
      <c r="D819" s="35">
        <f>'Scan to Sheets'!D819</f>
        <v>0</v>
      </c>
      <c r="E819" s="36" t="str">
        <f>IFERROR(VLOOKUP(C819,#REF!, 2, FALSE), "NO ENCONTRADO")</f>
        <v>NO ENCONTRADO</v>
      </c>
      <c r="F819" s="36" t="str">
        <f>IFERROR(VLOOKUP(C819,#REF!, 3, FALSE), "NO ENCONTRADO")</f>
        <v>NO ENCONTRADO</v>
      </c>
      <c r="G819" s="36" t="str">
        <f>IFERROR(VLOOKUP(C819,#REF!, 4, FALSE), "NO ENCONTRADO")</f>
        <v>NO ENCONTRADO</v>
      </c>
      <c r="H819" s="36" t="str">
        <f>IFERROR(VLOOKUP(C819,#REF!, 5, FALSE), "NO ENCONTRADO")</f>
        <v>NO ENCONTRADO</v>
      </c>
      <c r="I819" s="15"/>
      <c r="J819" s="36"/>
      <c r="K819" s="42"/>
      <c r="L819" s="15"/>
      <c r="M819" s="39">
        <f t="shared" ca="1" si="0"/>
        <v>46026</v>
      </c>
      <c r="N819" s="40" t="str">
        <f t="shared" ca="1" si="1"/>
        <v>✅</v>
      </c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 spans="1:28" ht="13" x14ac:dyDescent="0.15">
      <c r="A820" s="24">
        <f>'Scan to Sheets'!A820</f>
        <v>0</v>
      </c>
      <c r="B820" s="26">
        <f>'Scan to Sheets'!B820</f>
        <v>0</v>
      </c>
      <c r="C820" s="26">
        <f>'Scan to Sheets'!C820</f>
        <v>0</v>
      </c>
      <c r="D820" s="26">
        <f>'Scan to Sheets'!D820</f>
        <v>0</v>
      </c>
      <c r="E820" s="27" t="str">
        <f>IFERROR(VLOOKUP(C820,#REF!, 2, FALSE), "NO ENCONTRADO")</f>
        <v>NO ENCONTRADO</v>
      </c>
      <c r="F820" s="27" t="str">
        <f>IFERROR(VLOOKUP(C820,#REF!, 3, FALSE), "NO ENCONTRADO")</f>
        <v>NO ENCONTRADO</v>
      </c>
      <c r="G820" s="27" t="str">
        <f>IFERROR(VLOOKUP(C820,#REF!, 4, FALSE), "NO ENCONTRADO")</f>
        <v>NO ENCONTRADO</v>
      </c>
      <c r="H820" s="27" t="str">
        <f>IFERROR(VLOOKUP(C820,#REF!, 5, FALSE), "NO ENCONTRADO")</f>
        <v>NO ENCONTRADO</v>
      </c>
      <c r="I820" s="14"/>
      <c r="J820" s="27"/>
      <c r="K820" s="41"/>
      <c r="L820" s="14"/>
      <c r="M820" s="30">
        <f t="shared" ca="1" si="0"/>
        <v>46026</v>
      </c>
      <c r="N820" s="31" t="str">
        <f t="shared" ca="1" si="1"/>
        <v>✅</v>
      </c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 spans="1:28" ht="13" x14ac:dyDescent="0.15">
      <c r="A821" s="33">
        <f>'Scan to Sheets'!A821</f>
        <v>0</v>
      </c>
      <c r="B821" s="35">
        <f>'Scan to Sheets'!B821</f>
        <v>0</v>
      </c>
      <c r="C821" s="35">
        <f>'Scan to Sheets'!C821</f>
        <v>0</v>
      </c>
      <c r="D821" s="35">
        <f>'Scan to Sheets'!D821</f>
        <v>0</v>
      </c>
      <c r="E821" s="36" t="str">
        <f>IFERROR(VLOOKUP(C821,#REF!, 2, FALSE), "NO ENCONTRADO")</f>
        <v>NO ENCONTRADO</v>
      </c>
      <c r="F821" s="36" t="str">
        <f>IFERROR(VLOOKUP(C821,#REF!, 3, FALSE), "NO ENCONTRADO")</f>
        <v>NO ENCONTRADO</v>
      </c>
      <c r="G821" s="36" t="str">
        <f>IFERROR(VLOOKUP(C821,#REF!, 4, FALSE), "NO ENCONTRADO")</f>
        <v>NO ENCONTRADO</v>
      </c>
      <c r="H821" s="36" t="str">
        <f>IFERROR(VLOOKUP(C821,#REF!, 5, FALSE), "NO ENCONTRADO")</f>
        <v>NO ENCONTRADO</v>
      </c>
      <c r="I821" s="15"/>
      <c r="J821" s="36"/>
      <c r="K821" s="42"/>
      <c r="L821" s="15"/>
      <c r="M821" s="39">
        <f t="shared" ca="1" si="0"/>
        <v>46026</v>
      </c>
      <c r="N821" s="40" t="str">
        <f t="shared" ca="1" si="1"/>
        <v>✅</v>
      </c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 spans="1:28" ht="13" x14ac:dyDescent="0.15">
      <c r="A822" s="24">
        <f>'Scan to Sheets'!A822</f>
        <v>0</v>
      </c>
      <c r="B822" s="26">
        <f>'Scan to Sheets'!B822</f>
        <v>0</v>
      </c>
      <c r="C822" s="26">
        <f>'Scan to Sheets'!C822</f>
        <v>0</v>
      </c>
      <c r="D822" s="26">
        <f>'Scan to Sheets'!D822</f>
        <v>0</v>
      </c>
      <c r="E822" s="27" t="str">
        <f>IFERROR(VLOOKUP(C822,#REF!, 2, FALSE), "NO ENCONTRADO")</f>
        <v>NO ENCONTRADO</v>
      </c>
      <c r="F822" s="27" t="str">
        <f>IFERROR(VLOOKUP(C822,#REF!, 3, FALSE), "NO ENCONTRADO")</f>
        <v>NO ENCONTRADO</v>
      </c>
      <c r="G822" s="27" t="str">
        <f>IFERROR(VLOOKUP(C822,#REF!, 4, FALSE), "NO ENCONTRADO")</f>
        <v>NO ENCONTRADO</v>
      </c>
      <c r="H822" s="27" t="str">
        <f>IFERROR(VLOOKUP(C822,#REF!, 5, FALSE), "NO ENCONTRADO")</f>
        <v>NO ENCONTRADO</v>
      </c>
      <c r="I822" s="14"/>
      <c r="J822" s="27"/>
      <c r="K822" s="41"/>
      <c r="L822" s="14"/>
      <c r="M822" s="30">
        <f t="shared" ca="1" si="0"/>
        <v>46026</v>
      </c>
      <c r="N822" s="31" t="str">
        <f t="shared" ca="1" si="1"/>
        <v>✅</v>
      </c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 spans="1:28" ht="13" x14ac:dyDescent="0.15">
      <c r="A823" s="33">
        <f>'Scan to Sheets'!A823</f>
        <v>0</v>
      </c>
      <c r="B823" s="35">
        <f>'Scan to Sheets'!B823</f>
        <v>0</v>
      </c>
      <c r="C823" s="35">
        <f>'Scan to Sheets'!C823</f>
        <v>0</v>
      </c>
      <c r="D823" s="35">
        <f>'Scan to Sheets'!D823</f>
        <v>0</v>
      </c>
      <c r="E823" s="36" t="str">
        <f>IFERROR(VLOOKUP(C823,#REF!, 2, FALSE), "NO ENCONTRADO")</f>
        <v>NO ENCONTRADO</v>
      </c>
      <c r="F823" s="36" t="str">
        <f>IFERROR(VLOOKUP(C823,#REF!, 3, FALSE), "NO ENCONTRADO")</f>
        <v>NO ENCONTRADO</v>
      </c>
      <c r="G823" s="36" t="str">
        <f>IFERROR(VLOOKUP(C823,#REF!, 4, FALSE), "NO ENCONTRADO")</f>
        <v>NO ENCONTRADO</v>
      </c>
      <c r="H823" s="36" t="str">
        <f>IFERROR(VLOOKUP(C823,#REF!, 5, FALSE), "NO ENCONTRADO")</f>
        <v>NO ENCONTRADO</v>
      </c>
      <c r="I823" s="15"/>
      <c r="J823" s="36"/>
      <c r="K823" s="42"/>
      <c r="L823" s="15"/>
      <c r="M823" s="39">
        <f t="shared" ca="1" si="0"/>
        <v>46026</v>
      </c>
      <c r="N823" s="40" t="str">
        <f t="shared" ca="1" si="1"/>
        <v>✅</v>
      </c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 spans="1:28" ht="13" x14ac:dyDescent="0.15">
      <c r="A824" s="24">
        <f>'Scan to Sheets'!A824</f>
        <v>0</v>
      </c>
      <c r="B824" s="26">
        <f>'Scan to Sheets'!B824</f>
        <v>0</v>
      </c>
      <c r="C824" s="26">
        <f>'Scan to Sheets'!C824</f>
        <v>0</v>
      </c>
      <c r="D824" s="26">
        <f>'Scan to Sheets'!D824</f>
        <v>0</v>
      </c>
      <c r="E824" s="27" t="str">
        <f>IFERROR(VLOOKUP(C824,#REF!, 2, FALSE), "NO ENCONTRADO")</f>
        <v>NO ENCONTRADO</v>
      </c>
      <c r="F824" s="27" t="str">
        <f>IFERROR(VLOOKUP(C824,#REF!, 3, FALSE), "NO ENCONTRADO")</f>
        <v>NO ENCONTRADO</v>
      </c>
      <c r="G824" s="27" t="str">
        <f>IFERROR(VLOOKUP(C824,#REF!, 4, FALSE), "NO ENCONTRADO")</f>
        <v>NO ENCONTRADO</v>
      </c>
      <c r="H824" s="27" t="str">
        <f>IFERROR(VLOOKUP(C824,#REF!, 5, FALSE), "NO ENCONTRADO")</f>
        <v>NO ENCONTRADO</v>
      </c>
      <c r="I824" s="14"/>
      <c r="J824" s="27"/>
      <c r="K824" s="41"/>
      <c r="L824" s="14"/>
      <c r="M824" s="30">
        <f t="shared" ca="1" si="0"/>
        <v>46026</v>
      </c>
      <c r="N824" s="31" t="str">
        <f t="shared" ca="1" si="1"/>
        <v>✅</v>
      </c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 spans="1:28" ht="13" x14ac:dyDescent="0.15">
      <c r="A825" s="33">
        <f>'Scan to Sheets'!A825</f>
        <v>0</v>
      </c>
      <c r="B825" s="35">
        <f>'Scan to Sheets'!B825</f>
        <v>0</v>
      </c>
      <c r="C825" s="35">
        <f>'Scan to Sheets'!C825</f>
        <v>0</v>
      </c>
      <c r="D825" s="35">
        <f>'Scan to Sheets'!D825</f>
        <v>0</v>
      </c>
      <c r="E825" s="36" t="str">
        <f>IFERROR(VLOOKUP(C825,#REF!, 2, FALSE), "NO ENCONTRADO")</f>
        <v>NO ENCONTRADO</v>
      </c>
      <c r="F825" s="36" t="str">
        <f>IFERROR(VLOOKUP(C825,#REF!, 3, FALSE), "NO ENCONTRADO")</f>
        <v>NO ENCONTRADO</v>
      </c>
      <c r="G825" s="36" t="str">
        <f>IFERROR(VLOOKUP(C825,#REF!, 4, FALSE), "NO ENCONTRADO")</f>
        <v>NO ENCONTRADO</v>
      </c>
      <c r="H825" s="36" t="str">
        <f>IFERROR(VLOOKUP(C825,#REF!, 5, FALSE), "NO ENCONTRADO")</f>
        <v>NO ENCONTRADO</v>
      </c>
      <c r="I825" s="15"/>
      <c r="J825" s="36"/>
      <c r="K825" s="42"/>
      <c r="L825" s="15"/>
      <c r="M825" s="39">
        <f t="shared" ca="1" si="0"/>
        <v>46026</v>
      </c>
      <c r="N825" s="40" t="str">
        <f t="shared" ca="1" si="1"/>
        <v>✅</v>
      </c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 spans="1:28" ht="13" x14ac:dyDescent="0.15">
      <c r="A826" s="24">
        <f>'Scan to Sheets'!A826</f>
        <v>0</v>
      </c>
      <c r="B826" s="26">
        <f>'Scan to Sheets'!B826</f>
        <v>0</v>
      </c>
      <c r="C826" s="26">
        <f>'Scan to Sheets'!C826</f>
        <v>0</v>
      </c>
      <c r="D826" s="26">
        <f>'Scan to Sheets'!D826</f>
        <v>0</v>
      </c>
      <c r="E826" s="27" t="str">
        <f>IFERROR(VLOOKUP(C826,#REF!, 2, FALSE), "NO ENCONTRADO")</f>
        <v>NO ENCONTRADO</v>
      </c>
      <c r="F826" s="27" t="str">
        <f>IFERROR(VLOOKUP(C826,#REF!, 3, FALSE), "NO ENCONTRADO")</f>
        <v>NO ENCONTRADO</v>
      </c>
      <c r="G826" s="27" t="str">
        <f>IFERROR(VLOOKUP(C826,#REF!, 4, FALSE), "NO ENCONTRADO")</f>
        <v>NO ENCONTRADO</v>
      </c>
      <c r="H826" s="27" t="str">
        <f>IFERROR(VLOOKUP(C826,#REF!, 5, FALSE), "NO ENCONTRADO")</f>
        <v>NO ENCONTRADO</v>
      </c>
      <c r="I826" s="14"/>
      <c r="J826" s="27"/>
      <c r="K826" s="41"/>
      <c r="L826" s="14"/>
      <c r="M826" s="30">
        <f t="shared" ca="1" si="0"/>
        <v>46026</v>
      </c>
      <c r="N826" s="31" t="str">
        <f t="shared" ca="1" si="1"/>
        <v>✅</v>
      </c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 spans="1:28" ht="13" x14ac:dyDescent="0.15">
      <c r="A827" s="33">
        <f>'Scan to Sheets'!A827</f>
        <v>0</v>
      </c>
      <c r="B827" s="35">
        <f>'Scan to Sheets'!B827</f>
        <v>0</v>
      </c>
      <c r="C827" s="35">
        <f>'Scan to Sheets'!C827</f>
        <v>0</v>
      </c>
      <c r="D827" s="35">
        <f>'Scan to Sheets'!D827</f>
        <v>0</v>
      </c>
      <c r="E827" s="36" t="str">
        <f>IFERROR(VLOOKUP(C827,#REF!, 2, FALSE), "NO ENCONTRADO")</f>
        <v>NO ENCONTRADO</v>
      </c>
      <c r="F827" s="36" t="str">
        <f>IFERROR(VLOOKUP(C827,#REF!, 3, FALSE), "NO ENCONTRADO")</f>
        <v>NO ENCONTRADO</v>
      </c>
      <c r="G827" s="36" t="str">
        <f>IFERROR(VLOOKUP(C827,#REF!, 4, FALSE), "NO ENCONTRADO")</f>
        <v>NO ENCONTRADO</v>
      </c>
      <c r="H827" s="36" t="str">
        <f>IFERROR(VLOOKUP(C827,#REF!, 5, FALSE), "NO ENCONTRADO")</f>
        <v>NO ENCONTRADO</v>
      </c>
      <c r="I827" s="15"/>
      <c r="J827" s="36"/>
      <c r="K827" s="42"/>
      <c r="L827" s="15"/>
      <c r="M827" s="39">
        <f t="shared" ca="1" si="0"/>
        <v>46026</v>
      </c>
      <c r="N827" s="40" t="str">
        <f t="shared" ca="1" si="1"/>
        <v>✅</v>
      </c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 spans="1:28" ht="13" x14ac:dyDescent="0.15">
      <c r="A828" s="24">
        <f>'Scan to Sheets'!A828</f>
        <v>0</v>
      </c>
      <c r="B828" s="26">
        <f>'Scan to Sheets'!B828</f>
        <v>0</v>
      </c>
      <c r="C828" s="26">
        <f>'Scan to Sheets'!C828</f>
        <v>0</v>
      </c>
      <c r="D828" s="26">
        <f>'Scan to Sheets'!D828</f>
        <v>0</v>
      </c>
      <c r="E828" s="27" t="str">
        <f>IFERROR(VLOOKUP(C828,#REF!, 2, FALSE), "NO ENCONTRADO")</f>
        <v>NO ENCONTRADO</v>
      </c>
      <c r="F828" s="27" t="str">
        <f>IFERROR(VLOOKUP(C828,#REF!, 3, FALSE), "NO ENCONTRADO")</f>
        <v>NO ENCONTRADO</v>
      </c>
      <c r="G828" s="27" t="str">
        <f>IFERROR(VLOOKUP(C828,#REF!, 4, FALSE), "NO ENCONTRADO")</f>
        <v>NO ENCONTRADO</v>
      </c>
      <c r="H828" s="27" t="str">
        <f>IFERROR(VLOOKUP(C828,#REF!, 5, FALSE), "NO ENCONTRADO")</f>
        <v>NO ENCONTRADO</v>
      </c>
      <c r="I828" s="14"/>
      <c r="J828" s="27"/>
      <c r="K828" s="41"/>
      <c r="L828" s="14"/>
      <c r="M828" s="30">
        <f t="shared" ca="1" si="0"/>
        <v>46026</v>
      </c>
      <c r="N828" s="31" t="str">
        <f t="shared" ca="1" si="1"/>
        <v>✅</v>
      </c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 spans="1:28" ht="13" x14ac:dyDescent="0.15">
      <c r="A829" s="33">
        <f>'Scan to Sheets'!A829</f>
        <v>0</v>
      </c>
      <c r="B829" s="35">
        <f>'Scan to Sheets'!B829</f>
        <v>0</v>
      </c>
      <c r="C829" s="35">
        <f>'Scan to Sheets'!C829</f>
        <v>0</v>
      </c>
      <c r="D829" s="35">
        <f>'Scan to Sheets'!D829</f>
        <v>0</v>
      </c>
      <c r="E829" s="36" t="str">
        <f>IFERROR(VLOOKUP(C829,#REF!, 2, FALSE), "NO ENCONTRADO")</f>
        <v>NO ENCONTRADO</v>
      </c>
      <c r="F829" s="36" t="str">
        <f>IFERROR(VLOOKUP(C829,#REF!, 3, FALSE), "NO ENCONTRADO")</f>
        <v>NO ENCONTRADO</v>
      </c>
      <c r="G829" s="36" t="str">
        <f>IFERROR(VLOOKUP(C829,#REF!, 4, FALSE), "NO ENCONTRADO")</f>
        <v>NO ENCONTRADO</v>
      </c>
      <c r="H829" s="36" t="str">
        <f>IFERROR(VLOOKUP(C829,#REF!, 5, FALSE), "NO ENCONTRADO")</f>
        <v>NO ENCONTRADO</v>
      </c>
      <c r="I829" s="15"/>
      <c r="J829" s="36"/>
      <c r="K829" s="42"/>
      <c r="L829" s="15"/>
      <c r="M829" s="39">
        <f t="shared" ca="1" si="0"/>
        <v>46026</v>
      </c>
      <c r="N829" s="40" t="str">
        <f t="shared" ca="1" si="1"/>
        <v>✅</v>
      </c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 spans="1:28" ht="13" x14ac:dyDescent="0.15">
      <c r="A830" s="24">
        <f>'Scan to Sheets'!A830</f>
        <v>0</v>
      </c>
      <c r="B830" s="26">
        <f>'Scan to Sheets'!B830</f>
        <v>0</v>
      </c>
      <c r="C830" s="26">
        <f>'Scan to Sheets'!C830</f>
        <v>0</v>
      </c>
      <c r="D830" s="26">
        <f>'Scan to Sheets'!D830</f>
        <v>0</v>
      </c>
      <c r="E830" s="27" t="str">
        <f>IFERROR(VLOOKUP(C830,#REF!, 2, FALSE), "NO ENCONTRADO")</f>
        <v>NO ENCONTRADO</v>
      </c>
      <c r="F830" s="27" t="str">
        <f>IFERROR(VLOOKUP(C830,#REF!, 3, FALSE), "NO ENCONTRADO")</f>
        <v>NO ENCONTRADO</v>
      </c>
      <c r="G830" s="27" t="str">
        <f>IFERROR(VLOOKUP(C830,#REF!, 4, FALSE), "NO ENCONTRADO")</f>
        <v>NO ENCONTRADO</v>
      </c>
      <c r="H830" s="27" t="str">
        <f>IFERROR(VLOOKUP(C830,#REF!, 5, FALSE), "NO ENCONTRADO")</f>
        <v>NO ENCONTRADO</v>
      </c>
      <c r="I830" s="14"/>
      <c r="J830" s="27"/>
      <c r="K830" s="41"/>
      <c r="L830" s="14"/>
      <c r="M830" s="30">
        <f t="shared" ca="1" si="0"/>
        <v>46026</v>
      </c>
      <c r="N830" s="31" t="str">
        <f t="shared" ca="1" si="1"/>
        <v>✅</v>
      </c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 spans="1:28" ht="13" x14ac:dyDescent="0.15">
      <c r="A831" s="33">
        <f>'Scan to Sheets'!A831</f>
        <v>0</v>
      </c>
      <c r="B831" s="35">
        <f>'Scan to Sheets'!B831</f>
        <v>0</v>
      </c>
      <c r="C831" s="35">
        <f>'Scan to Sheets'!C831</f>
        <v>0</v>
      </c>
      <c r="D831" s="35">
        <f>'Scan to Sheets'!D831</f>
        <v>0</v>
      </c>
      <c r="E831" s="36" t="str">
        <f>IFERROR(VLOOKUP(C831,#REF!, 2, FALSE), "NO ENCONTRADO")</f>
        <v>NO ENCONTRADO</v>
      </c>
      <c r="F831" s="36" t="str">
        <f>IFERROR(VLOOKUP(C831,#REF!, 3, FALSE), "NO ENCONTRADO")</f>
        <v>NO ENCONTRADO</v>
      </c>
      <c r="G831" s="36" t="str">
        <f>IFERROR(VLOOKUP(C831,#REF!, 4, FALSE), "NO ENCONTRADO")</f>
        <v>NO ENCONTRADO</v>
      </c>
      <c r="H831" s="36" t="str">
        <f>IFERROR(VLOOKUP(C831,#REF!, 5, FALSE), "NO ENCONTRADO")</f>
        <v>NO ENCONTRADO</v>
      </c>
      <c r="I831" s="15"/>
      <c r="J831" s="36"/>
      <c r="K831" s="42"/>
      <c r="L831" s="15"/>
      <c r="M831" s="39">
        <f t="shared" ca="1" si="0"/>
        <v>46026</v>
      </c>
      <c r="N831" s="40" t="str">
        <f t="shared" ca="1" si="1"/>
        <v>✅</v>
      </c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 spans="1:28" ht="13" x14ac:dyDescent="0.15">
      <c r="A832" s="24">
        <f>'Scan to Sheets'!A832</f>
        <v>0</v>
      </c>
      <c r="B832" s="26">
        <f>'Scan to Sheets'!B832</f>
        <v>0</v>
      </c>
      <c r="C832" s="26">
        <f>'Scan to Sheets'!C832</f>
        <v>0</v>
      </c>
      <c r="D832" s="26">
        <f>'Scan to Sheets'!D832</f>
        <v>0</v>
      </c>
      <c r="E832" s="27" t="str">
        <f>IFERROR(VLOOKUP(C832,#REF!, 2, FALSE), "NO ENCONTRADO")</f>
        <v>NO ENCONTRADO</v>
      </c>
      <c r="F832" s="27" t="str">
        <f>IFERROR(VLOOKUP(C832,#REF!, 3, FALSE), "NO ENCONTRADO")</f>
        <v>NO ENCONTRADO</v>
      </c>
      <c r="G832" s="27" t="str">
        <f>IFERROR(VLOOKUP(C832,#REF!, 4, FALSE), "NO ENCONTRADO")</f>
        <v>NO ENCONTRADO</v>
      </c>
      <c r="H832" s="27" t="str">
        <f>IFERROR(VLOOKUP(C832,#REF!, 5, FALSE), "NO ENCONTRADO")</f>
        <v>NO ENCONTRADO</v>
      </c>
      <c r="I832" s="14"/>
      <c r="J832" s="27"/>
      <c r="K832" s="41"/>
      <c r="L832" s="14"/>
      <c r="M832" s="30">
        <f t="shared" ca="1" si="0"/>
        <v>46026</v>
      </c>
      <c r="N832" s="31" t="str">
        <f t="shared" ca="1" si="1"/>
        <v>✅</v>
      </c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 spans="1:28" ht="13" x14ac:dyDescent="0.15">
      <c r="A833" s="33">
        <f>'Scan to Sheets'!A833</f>
        <v>0</v>
      </c>
      <c r="B833" s="35">
        <f>'Scan to Sheets'!B833</f>
        <v>0</v>
      </c>
      <c r="C833" s="35">
        <f>'Scan to Sheets'!C833</f>
        <v>0</v>
      </c>
      <c r="D833" s="35">
        <f>'Scan to Sheets'!D833</f>
        <v>0</v>
      </c>
      <c r="E833" s="36" t="str">
        <f>IFERROR(VLOOKUP(C833,#REF!, 2, FALSE), "NO ENCONTRADO")</f>
        <v>NO ENCONTRADO</v>
      </c>
      <c r="F833" s="36" t="str">
        <f>IFERROR(VLOOKUP(C833,#REF!, 3, FALSE), "NO ENCONTRADO")</f>
        <v>NO ENCONTRADO</v>
      </c>
      <c r="G833" s="36" t="str">
        <f>IFERROR(VLOOKUP(C833,#REF!, 4, FALSE), "NO ENCONTRADO")</f>
        <v>NO ENCONTRADO</v>
      </c>
      <c r="H833" s="36" t="str">
        <f>IFERROR(VLOOKUP(C833,#REF!, 5, FALSE), "NO ENCONTRADO")</f>
        <v>NO ENCONTRADO</v>
      </c>
      <c r="I833" s="15"/>
      <c r="J833" s="36"/>
      <c r="K833" s="42"/>
      <c r="L833" s="15"/>
      <c r="M833" s="39">
        <f t="shared" ca="1" si="0"/>
        <v>46026</v>
      </c>
      <c r="N833" s="40" t="str">
        <f t="shared" ca="1" si="1"/>
        <v>✅</v>
      </c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 spans="1:28" ht="13" x14ac:dyDescent="0.15">
      <c r="A834" s="24">
        <f>'Scan to Sheets'!A834</f>
        <v>0</v>
      </c>
      <c r="B834" s="26">
        <f>'Scan to Sheets'!B834</f>
        <v>0</v>
      </c>
      <c r="C834" s="26">
        <f>'Scan to Sheets'!C834</f>
        <v>0</v>
      </c>
      <c r="D834" s="26">
        <f>'Scan to Sheets'!D834</f>
        <v>0</v>
      </c>
      <c r="E834" s="27" t="str">
        <f>IFERROR(VLOOKUP(C834,#REF!, 2, FALSE), "NO ENCONTRADO")</f>
        <v>NO ENCONTRADO</v>
      </c>
      <c r="F834" s="27" t="str">
        <f>IFERROR(VLOOKUP(C834,#REF!, 3, FALSE), "NO ENCONTRADO")</f>
        <v>NO ENCONTRADO</v>
      </c>
      <c r="G834" s="27" t="str">
        <f>IFERROR(VLOOKUP(C834,#REF!, 4, FALSE), "NO ENCONTRADO")</f>
        <v>NO ENCONTRADO</v>
      </c>
      <c r="H834" s="27" t="str">
        <f>IFERROR(VLOOKUP(C834,#REF!, 5, FALSE), "NO ENCONTRADO")</f>
        <v>NO ENCONTRADO</v>
      </c>
      <c r="I834" s="14"/>
      <c r="J834" s="27"/>
      <c r="K834" s="41"/>
      <c r="L834" s="14"/>
      <c r="M834" s="30">
        <f t="shared" ca="1" si="0"/>
        <v>46026</v>
      </c>
      <c r="N834" s="31" t="str">
        <f t="shared" ca="1" si="1"/>
        <v>✅</v>
      </c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 spans="1:28" ht="13" x14ac:dyDescent="0.15">
      <c r="A835" s="33">
        <f>'Scan to Sheets'!A835</f>
        <v>0</v>
      </c>
      <c r="B835" s="35">
        <f>'Scan to Sheets'!B835</f>
        <v>0</v>
      </c>
      <c r="C835" s="35">
        <f>'Scan to Sheets'!C835</f>
        <v>0</v>
      </c>
      <c r="D835" s="35">
        <f>'Scan to Sheets'!D835</f>
        <v>0</v>
      </c>
      <c r="E835" s="36" t="str">
        <f>IFERROR(VLOOKUP(C835,#REF!, 2, FALSE), "NO ENCONTRADO")</f>
        <v>NO ENCONTRADO</v>
      </c>
      <c r="F835" s="36" t="str">
        <f>IFERROR(VLOOKUP(C835,#REF!, 3, FALSE), "NO ENCONTRADO")</f>
        <v>NO ENCONTRADO</v>
      </c>
      <c r="G835" s="36" t="str">
        <f>IFERROR(VLOOKUP(C835,#REF!, 4, FALSE), "NO ENCONTRADO")</f>
        <v>NO ENCONTRADO</v>
      </c>
      <c r="H835" s="36" t="str">
        <f>IFERROR(VLOOKUP(C835,#REF!, 5, FALSE), "NO ENCONTRADO")</f>
        <v>NO ENCONTRADO</v>
      </c>
      <c r="I835" s="15"/>
      <c r="J835" s="36"/>
      <c r="K835" s="42"/>
      <c r="L835" s="15"/>
      <c r="M835" s="39">
        <f t="shared" ca="1" si="0"/>
        <v>46026</v>
      </c>
      <c r="N835" s="40" t="str">
        <f t="shared" ca="1" si="1"/>
        <v>✅</v>
      </c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 spans="1:28" ht="13" x14ac:dyDescent="0.15">
      <c r="A836" s="24">
        <f>'Scan to Sheets'!A836</f>
        <v>0</v>
      </c>
      <c r="B836" s="26">
        <f>'Scan to Sheets'!B836</f>
        <v>0</v>
      </c>
      <c r="C836" s="26">
        <f>'Scan to Sheets'!C836</f>
        <v>0</v>
      </c>
      <c r="D836" s="26">
        <f>'Scan to Sheets'!D836</f>
        <v>0</v>
      </c>
      <c r="E836" s="27" t="str">
        <f>IFERROR(VLOOKUP(C836,#REF!, 2, FALSE), "NO ENCONTRADO")</f>
        <v>NO ENCONTRADO</v>
      </c>
      <c r="F836" s="27" t="str">
        <f>IFERROR(VLOOKUP(C836,#REF!, 3, FALSE), "NO ENCONTRADO")</f>
        <v>NO ENCONTRADO</v>
      </c>
      <c r="G836" s="27" t="str">
        <f>IFERROR(VLOOKUP(C836,#REF!, 4, FALSE), "NO ENCONTRADO")</f>
        <v>NO ENCONTRADO</v>
      </c>
      <c r="H836" s="27" t="str">
        <f>IFERROR(VLOOKUP(C836,#REF!, 5, FALSE), "NO ENCONTRADO")</f>
        <v>NO ENCONTRADO</v>
      </c>
      <c r="I836" s="14"/>
      <c r="J836" s="27"/>
      <c r="K836" s="41"/>
      <c r="L836" s="14"/>
      <c r="M836" s="30">
        <f t="shared" ca="1" si="0"/>
        <v>46026</v>
      </c>
      <c r="N836" s="31" t="str">
        <f t="shared" ca="1" si="1"/>
        <v>✅</v>
      </c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 spans="1:28" ht="13" x14ac:dyDescent="0.15">
      <c r="A837" s="33">
        <f>'Scan to Sheets'!A837</f>
        <v>0</v>
      </c>
      <c r="B837" s="35">
        <f>'Scan to Sheets'!B837</f>
        <v>0</v>
      </c>
      <c r="C837" s="35">
        <f>'Scan to Sheets'!C837</f>
        <v>0</v>
      </c>
      <c r="D837" s="35">
        <f>'Scan to Sheets'!D837</f>
        <v>0</v>
      </c>
      <c r="E837" s="36" t="str">
        <f>IFERROR(VLOOKUP(C837,#REF!, 2, FALSE), "NO ENCONTRADO")</f>
        <v>NO ENCONTRADO</v>
      </c>
      <c r="F837" s="36" t="str">
        <f>IFERROR(VLOOKUP(C837,#REF!, 3, FALSE), "NO ENCONTRADO")</f>
        <v>NO ENCONTRADO</v>
      </c>
      <c r="G837" s="36" t="str">
        <f>IFERROR(VLOOKUP(C837,#REF!, 4, FALSE), "NO ENCONTRADO")</f>
        <v>NO ENCONTRADO</v>
      </c>
      <c r="H837" s="36" t="str">
        <f>IFERROR(VLOOKUP(C837,#REF!, 5, FALSE), "NO ENCONTRADO")</f>
        <v>NO ENCONTRADO</v>
      </c>
      <c r="I837" s="15"/>
      <c r="J837" s="36"/>
      <c r="K837" s="42"/>
      <c r="L837" s="15"/>
      <c r="M837" s="39">
        <f t="shared" ca="1" si="0"/>
        <v>46026</v>
      </c>
      <c r="N837" s="40" t="str">
        <f t="shared" ca="1" si="1"/>
        <v>✅</v>
      </c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 spans="1:28" ht="13" x14ac:dyDescent="0.15">
      <c r="A838" s="24">
        <f>'Scan to Sheets'!A838</f>
        <v>0</v>
      </c>
      <c r="B838" s="26">
        <f>'Scan to Sheets'!B838</f>
        <v>0</v>
      </c>
      <c r="C838" s="26">
        <f>'Scan to Sheets'!C838</f>
        <v>0</v>
      </c>
      <c r="D838" s="26">
        <f>'Scan to Sheets'!D838</f>
        <v>0</v>
      </c>
      <c r="E838" s="27" t="str">
        <f>IFERROR(VLOOKUP(C838,#REF!, 2, FALSE), "NO ENCONTRADO")</f>
        <v>NO ENCONTRADO</v>
      </c>
      <c r="F838" s="27" t="str">
        <f>IFERROR(VLOOKUP(C838,#REF!, 3, FALSE), "NO ENCONTRADO")</f>
        <v>NO ENCONTRADO</v>
      </c>
      <c r="G838" s="27" t="str">
        <f>IFERROR(VLOOKUP(C838,#REF!, 4, FALSE), "NO ENCONTRADO")</f>
        <v>NO ENCONTRADO</v>
      </c>
      <c r="H838" s="27" t="str">
        <f>IFERROR(VLOOKUP(C838,#REF!, 5, FALSE), "NO ENCONTRADO")</f>
        <v>NO ENCONTRADO</v>
      </c>
      <c r="I838" s="14"/>
      <c r="J838" s="27"/>
      <c r="K838" s="41"/>
      <c r="L838" s="14"/>
      <c r="M838" s="30">
        <f t="shared" ca="1" si="0"/>
        <v>46026</v>
      </c>
      <c r="N838" s="31" t="str">
        <f t="shared" ca="1" si="1"/>
        <v>✅</v>
      </c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 spans="1:28" ht="13" x14ac:dyDescent="0.15">
      <c r="A839" s="33">
        <f>'Scan to Sheets'!A839</f>
        <v>0</v>
      </c>
      <c r="B839" s="35">
        <f>'Scan to Sheets'!B839</f>
        <v>0</v>
      </c>
      <c r="C839" s="35">
        <f>'Scan to Sheets'!C839</f>
        <v>0</v>
      </c>
      <c r="D839" s="35">
        <f>'Scan to Sheets'!D839</f>
        <v>0</v>
      </c>
      <c r="E839" s="36" t="str">
        <f>IFERROR(VLOOKUP(C839,#REF!, 2, FALSE), "NO ENCONTRADO")</f>
        <v>NO ENCONTRADO</v>
      </c>
      <c r="F839" s="36" t="str">
        <f>IFERROR(VLOOKUP(C839,#REF!, 3, FALSE), "NO ENCONTRADO")</f>
        <v>NO ENCONTRADO</v>
      </c>
      <c r="G839" s="36" t="str">
        <f>IFERROR(VLOOKUP(C839,#REF!, 4, FALSE), "NO ENCONTRADO")</f>
        <v>NO ENCONTRADO</v>
      </c>
      <c r="H839" s="36" t="str">
        <f>IFERROR(VLOOKUP(C839,#REF!, 5, FALSE), "NO ENCONTRADO")</f>
        <v>NO ENCONTRADO</v>
      </c>
      <c r="I839" s="15"/>
      <c r="J839" s="36"/>
      <c r="K839" s="42"/>
      <c r="L839" s="15"/>
      <c r="M839" s="39">
        <f t="shared" ca="1" si="0"/>
        <v>46026</v>
      </c>
      <c r="N839" s="40" t="str">
        <f t="shared" ca="1" si="1"/>
        <v>✅</v>
      </c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 spans="1:28" ht="13" x14ac:dyDescent="0.15">
      <c r="A840" s="24">
        <f>'Scan to Sheets'!A840</f>
        <v>0</v>
      </c>
      <c r="B840" s="26">
        <f>'Scan to Sheets'!B840</f>
        <v>0</v>
      </c>
      <c r="C840" s="26">
        <f>'Scan to Sheets'!C840</f>
        <v>0</v>
      </c>
      <c r="D840" s="26">
        <f>'Scan to Sheets'!D840</f>
        <v>0</v>
      </c>
      <c r="E840" s="27" t="str">
        <f>IFERROR(VLOOKUP(C840,#REF!, 2, FALSE), "NO ENCONTRADO")</f>
        <v>NO ENCONTRADO</v>
      </c>
      <c r="F840" s="27" t="str">
        <f>IFERROR(VLOOKUP(C840,#REF!, 3, FALSE), "NO ENCONTRADO")</f>
        <v>NO ENCONTRADO</v>
      </c>
      <c r="G840" s="27" t="str">
        <f>IFERROR(VLOOKUP(C840,#REF!, 4, FALSE), "NO ENCONTRADO")</f>
        <v>NO ENCONTRADO</v>
      </c>
      <c r="H840" s="27" t="str">
        <f>IFERROR(VLOOKUP(C840,#REF!, 5, FALSE), "NO ENCONTRADO")</f>
        <v>NO ENCONTRADO</v>
      </c>
      <c r="I840" s="14"/>
      <c r="J840" s="27"/>
      <c r="K840" s="41"/>
      <c r="L840" s="14"/>
      <c r="M840" s="30">
        <f t="shared" ca="1" si="0"/>
        <v>46026</v>
      </c>
      <c r="N840" s="31" t="str">
        <f t="shared" ca="1" si="1"/>
        <v>✅</v>
      </c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 spans="1:28" ht="13" x14ac:dyDescent="0.15">
      <c r="A841" s="33">
        <f>'Scan to Sheets'!A841</f>
        <v>0</v>
      </c>
      <c r="B841" s="35">
        <f>'Scan to Sheets'!B841</f>
        <v>0</v>
      </c>
      <c r="C841" s="35">
        <f>'Scan to Sheets'!C841</f>
        <v>0</v>
      </c>
      <c r="D841" s="35">
        <f>'Scan to Sheets'!D841</f>
        <v>0</v>
      </c>
      <c r="E841" s="36" t="str">
        <f>IFERROR(VLOOKUP(C841,#REF!, 2, FALSE), "NO ENCONTRADO")</f>
        <v>NO ENCONTRADO</v>
      </c>
      <c r="F841" s="36" t="str">
        <f>IFERROR(VLOOKUP(C841,#REF!, 3, FALSE), "NO ENCONTRADO")</f>
        <v>NO ENCONTRADO</v>
      </c>
      <c r="G841" s="36" t="str">
        <f>IFERROR(VLOOKUP(C841,#REF!, 4, FALSE), "NO ENCONTRADO")</f>
        <v>NO ENCONTRADO</v>
      </c>
      <c r="H841" s="36" t="str">
        <f>IFERROR(VLOOKUP(C841,#REF!, 5, FALSE), "NO ENCONTRADO")</f>
        <v>NO ENCONTRADO</v>
      </c>
      <c r="I841" s="15"/>
      <c r="J841" s="36"/>
      <c r="K841" s="42"/>
      <c r="L841" s="15"/>
      <c r="M841" s="39">
        <f t="shared" ca="1" si="0"/>
        <v>46026</v>
      </c>
      <c r="N841" s="40" t="str">
        <f t="shared" ca="1" si="1"/>
        <v>✅</v>
      </c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 spans="1:28" ht="13" x14ac:dyDescent="0.15">
      <c r="A842" s="24">
        <f>'Scan to Sheets'!A842</f>
        <v>0</v>
      </c>
      <c r="B842" s="26">
        <f>'Scan to Sheets'!B842</f>
        <v>0</v>
      </c>
      <c r="C842" s="26">
        <f>'Scan to Sheets'!C842</f>
        <v>0</v>
      </c>
      <c r="D842" s="26">
        <f>'Scan to Sheets'!D842</f>
        <v>0</v>
      </c>
      <c r="E842" s="27" t="str">
        <f>IFERROR(VLOOKUP(C842,#REF!, 2, FALSE), "NO ENCONTRADO")</f>
        <v>NO ENCONTRADO</v>
      </c>
      <c r="F842" s="27" t="str">
        <f>IFERROR(VLOOKUP(C842,#REF!, 3, FALSE), "NO ENCONTRADO")</f>
        <v>NO ENCONTRADO</v>
      </c>
      <c r="G842" s="27" t="str">
        <f>IFERROR(VLOOKUP(C842,#REF!, 4, FALSE), "NO ENCONTRADO")</f>
        <v>NO ENCONTRADO</v>
      </c>
      <c r="H842" s="27" t="str">
        <f>IFERROR(VLOOKUP(C842,#REF!, 5, FALSE), "NO ENCONTRADO")</f>
        <v>NO ENCONTRADO</v>
      </c>
      <c r="I842" s="14"/>
      <c r="J842" s="27"/>
      <c r="K842" s="41"/>
      <c r="L842" s="14"/>
      <c r="M842" s="30">
        <f t="shared" ca="1" si="0"/>
        <v>46026</v>
      </c>
      <c r="N842" s="31" t="str">
        <f t="shared" ca="1" si="1"/>
        <v>✅</v>
      </c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 spans="1:28" ht="13" x14ac:dyDescent="0.15">
      <c r="A843" s="33">
        <f>'Scan to Sheets'!A843</f>
        <v>0</v>
      </c>
      <c r="B843" s="35">
        <f>'Scan to Sheets'!B843</f>
        <v>0</v>
      </c>
      <c r="C843" s="35">
        <f>'Scan to Sheets'!C843</f>
        <v>0</v>
      </c>
      <c r="D843" s="35">
        <f>'Scan to Sheets'!D843</f>
        <v>0</v>
      </c>
      <c r="E843" s="36" t="str">
        <f>IFERROR(VLOOKUP(C843,#REF!, 2, FALSE), "NO ENCONTRADO")</f>
        <v>NO ENCONTRADO</v>
      </c>
      <c r="F843" s="36" t="str">
        <f>IFERROR(VLOOKUP(C843,#REF!, 3, FALSE), "NO ENCONTRADO")</f>
        <v>NO ENCONTRADO</v>
      </c>
      <c r="G843" s="36" t="str">
        <f>IFERROR(VLOOKUP(C843,#REF!, 4, FALSE), "NO ENCONTRADO")</f>
        <v>NO ENCONTRADO</v>
      </c>
      <c r="H843" s="36" t="str">
        <f>IFERROR(VLOOKUP(C843,#REF!, 5, FALSE), "NO ENCONTRADO")</f>
        <v>NO ENCONTRADO</v>
      </c>
      <c r="I843" s="15"/>
      <c r="J843" s="36"/>
      <c r="K843" s="42"/>
      <c r="L843" s="15"/>
      <c r="M843" s="39">
        <f t="shared" ca="1" si="0"/>
        <v>46026</v>
      </c>
      <c r="N843" s="40" t="str">
        <f t="shared" ca="1" si="1"/>
        <v>✅</v>
      </c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 spans="1:28" ht="13" x14ac:dyDescent="0.15">
      <c r="A844" s="24">
        <f>'Scan to Sheets'!A844</f>
        <v>0</v>
      </c>
      <c r="B844" s="26">
        <f>'Scan to Sheets'!B844</f>
        <v>0</v>
      </c>
      <c r="C844" s="26">
        <f>'Scan to Sheets'!C844</f>
        <v>0</v>
      </c>
      <c r="D844" s="26">
        <f>'Scan to Sheets'!D844</f>
        <v>0</v>
      </c>
      <c r="E844" s="27" t="str">
        <f>IFERROR(VLOOKUP(C844,#REF!, 2, FALSE), "NO ENCONTRADO")</f>
        <v>NO ENCONTRADO</v>
      </c>
      <c r="F844" s="27" t="str">
        <f>IFERROR(VLOOKUP(C844,#REF!, 3, FALSE), "NO ENCONTRADO")</f>
        <v>NO ENCONTRADO</v>
      </c>
      <c r="G844" s="27" t="str">
        <f>IFERROR(VLOOKUP(C844,#REF!, 4, FALSE), "NO ENCONTRADO")</f>
        <v>NO ENCONTRADO</v>
      </c>
      <c r="H844" s="27" t="str">
        <f>IFERROR(VLOOKUP(C844,#REF!, 5, FALSE), "NO ENCONTRADO")</f>
        <v>NO ENCONTRADO</v>
      </c>
      <c r="I844" s="14"/>
      <c r="J844" s="27"/>
      <c r="K844" s="41"/>
      <c r="L844" s="14"/>
      <c r="M844" s="30">
        <f t="shared" ca="1" si="0"/>
        <v>46026</v>
      </c>
      <c r="N844" s="31" t="str">
        <f t="shared" ca="1" si="1"/>
        <v>✅</v>
      </c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 spans="1:28" ht="13" x14ac:dyDescent="0.15">
      <c r="A845" s="33">
        <f>'Scan to Sheets'!A845</f>
        <v>0</v>
      </c>
      <c r="B845" s="35">
        <f>'Scan to Sheets'!B845</f>
        <v>0</v>
      </c>
      <c r="C845" s="35">
        <f>'Scan to Sheets'!C845</f>
        <v>0</v>
      </c>
      <c r="D845" s="35">
        <f>'Scan to Sheets'!D845</f>
        <v>0</v>
      </c>
      <c r="E845" s="36" t="str">
        <f>IFERROR(VLOOKUP(C845,#REF!, 2, FALSE), "NO ENCONTRADO")</f>
        <v>NO ENCONTRADO</v>
      </c>
      <c r="F845" s="36" t="str">
        <f>IFERROR(VLOOKUP(C845,#REF!, 3, FALSE), "NO ENCONTRADO")</f>
        <v>NO ENCONTRADO</v>
      </c>
      <c r="G845" s="36" t="str">
        <f>IFERROR(VLOOKUP(C845,#REF!, 4, FALSE), "NO ENCONTRADO")</f>
        <v>NO ENCONTRADO</v>
      </c>
      <c r="H845" s="36" t="str">
        <f>IFERROR(VLOOKUP(C845,#REF!, 5, FALSE), "NO ENCONTRADO")</f>
        <v>NO ENCONTRADO</v>
      </c>
      <c r="I845" s="15"/>
      <c r="J845" s="36"/>
      <c r="K845" s="42"/>
      <c r="L845" s="15"/>
      <c r="M845" s="39">
        <f t="shared" ca="1" si="0"/>
        <v>46026</v>
      </c>
      <c r="N845" s="40" t="str">
        <f t="shared" ca="1" si="1"/>
        <v>✅</v>
      </c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 spans="1:28" ht="13" x14ac:dyDescent="0.15">
      <c r="A846" s="24">
        <f>'Scan to Sheets'!A846</f>
        <v>0</v>
      </c>
      <c r="B846" s="26">
        <f>'Scan to Sheets'!B846</f>
        <v>0</v>
      </c>
      <c r="C846" s="26">
        <f>'Scan to Sheets'!C846</f>
        <v>0</v>
      </c>
      <c r="D846" s="26">
        <f>'Scan to Sheets'!D846</f>
        <v>0</v>
      </c>
      <c r="E846" s="27" t="str">
        <f>IFERROR(VLOOKUP(C846,#REF!, 2, FALSE), "NO ENCONTRADO")</f>
        <v>NO ENCONTRADO</v>
      </c>
      <c r="F846" s="27" t="str">
        <f>IFERROR(VLOOKUP(C846,#REF!, 3, FALSE), "NO ENCONTRADO")</f>
        <v>NO ENCONTRADO</v>
      </c>
      <c r="G846" s="27" t="str">
        <f>IFERROR(VLOOKUP(C846,#REF!, 4, FALSE), "NO ENCONTRADO")</f>
        <v>NO ENCONTRADO</v>
      </c>
      <c r="H846" s="27" t="str">
        <f>IFERROR(VLOOKUP(C846,#REF!, 5, FALSE), "NO ENCONTRADO")</f>
        <v>NO ENCONTRADO</v>
      </c>
      <c r="I846" s="14"/>
      <c r="J846" s="27"/>
      <c r="K846" s="41"/>
      <c r="L846" s="14"/>
      <c r="M846" s="30">
        <f t="shared" ca="1" si="0"/>
        <v>46026</v>
      </c>
      <c r="N846" s="31" t="str">
        <f t="shared" ca="1" si="1"/>
        <v>✅</v>
      </c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 spans="1:28" ht="13" x14ac:dyDescent="0.15">
      <c r="A847" s="33">
        <f>'Scan to Sheets'!A847</f>
        <v>0</v>
      </c>
      <c r="B847" s="35">
        <f>'Scan to Sheets'!B847</f>
        <v>0</v>
      </c>
      <c r="C847" s="35">
        <f>'Scan to Sheets'!C847</f>
        <v>0</v>
      </c>
      <c r="D847" s="35">
        <f>'Scan to Sheets'!D847</f>
        <v>0</v>
      </c>
      <c r="E847" s="36" t="str">
        <f>IFERROR(VLOOKUP(C847,#REF!, 2, FALSE), "NO ENCONTRADO")</f>
        <v>NO ENCONTRADO</v>
      </c>
      <c r="F847" s="36" t="str">
        <f>IFERROR(VLOOKUP(C847,#REF!, 3, FALSE), "NO ENCONTRADO")</f>
        <v>NO ENCONTRADO</v>
      </c>
      <c r="G847" s="36" t="str">
        <f>IFERROR(VLOOKUP(C847,#REF!, 4, FALSE), "NO ENCONTRADO")</f>
        <v>NO ENCONTRADO</v>
      </c>
      <c r="H847" s="36" t="str">
        <f>IFERROR(VLOOKUP(C847,#REF!, 5, FALSE), "NO ENCONTRADO")</f>
        <v>NO ENCONTRADO</v>
      </c>
      <c r="I847" s="15"/>
      <c r="J847" s="36"/>
      <c r="K847" s="42"/>
      <c r="L847" s="15"/>
      <c r="M847" s="39">
        <f t="shared" ca="1" si="0"/>
        <v>46026</v>
      </c>
      <c r="N847" s="40" t="str">
        <f t="shared" ca="1" si="1"/>
        <v>✅</v>
      </c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 spans="1:28" ht="13" x14ac:dyDescent="0.15">
      <c r="A848" s="24">
        <f>'Scan to Sheets'!A848</f>
        <v>0</v>
      </c>
      <c r="B848" s="26">
        <f>'Scan to Sheets'!B848</f>
        <v>0</v>
      </c>
      <c r="C848" s="26">
        <f>'Scan to Sheets'!C848</f>
        <v>0</v>
      </c>
      <c r="D848" s="26">
        <f>'Scan to Sheets'!D848</f>
        <v>0</v>
      </c>
      <c r="E848" s="27" t="str">
        <f>IFERROR(VLOOKUP(C848,#REF!, 2, FALSE), "NO ENCONTRADO")</f>
        <v>NO ENCONTRADO</v>
      </c>
      <c r="F848" s="27" t="str">
        <f>IFERROR(VLOOKUP(C848,#REF!, 3, FALSE), "NO ENCONTRADO")</f>
        <v>NO ENCONTRADO</v>
      </c>
      <c r="G848" s="27" t="str">
        <f>IFERROR(VLOOKUP(C848,#REF!, 4, FALSE), "NO ENCONTRADO")</f>
        <v>NO ENCONTRADO</v>
      </c>
      <c r="H848" s="27" t="str">
        <f>IFERROR(VLOOKUP(C848,#REF!, 5, FALSE), "NO ENCONTRADO")</f>
        <v>NO ENCONTRADO</v>
      </c>
      <c r="I848" s="14"/>
      <c r="J848" s="27"/>
      <c r="K848" s="41"/>
      <c r="L848" s="14"/>
      <c r="M848" s="30">
        <f t="shared" ca="1" si="0"/>
        <v>46026</v>
      </c>
      <c r="N848" s="31" t="str">
        <f t="shared" ca="1" si="1"/>
        <v>✅</v>
      </c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 spans="1:28" ht="13" x14ac:dyDescent="0.15">
      <c r="A849" s="33">
        <f>'Scan to Sheets'!A849</f>
        <v>0</v>
      </c>
      <c r="B849" s="35">
        <f>'Scan to Sheets'!B849</f>
        <v>0</v>
      </c>
      <c r="C849" s="35">
        <f>'Scan to Sheets'!C849</f>
        <v>0</v>
      </c>
      <c r="D849" s="35">
        <f>'Scan to Sheets'!D849</f>
        <v>0</v>
      </c>
      <c r="E849" s="36" t="str">
        <f>IFERROR(VLOOKUP(C849,#REF!, 2, FALSE), "NO ENCONTRADO")</f>
        <v>NO ENCONTRADO</v>
      </c>
      <c r="F849" s="36" t="str">
        <f>IFERROR(VLOOKUP(C849,#REF!, 3, FALSE), "NO ENCONTRADO")</f>
        <v>NO ENCONTRADO</v>
      </c>
      <c r="G849" s="36" t="str">
        <f>IFERROR(VLOOKUP(C849,#REF!, 4, FALSE), "NO ENCONTRADO")</f>
        <v>NO ENCONTRADO</v>
      </c>
      <c r="H849" s="36" t="str">
        <f>IFERROR(VLOOKUP(C849,#REF!, 5, FALSE), "NO ENCONTRADO")</f>
        <v>NO ENCONTRADO</v>
      </c>
      <c r="I849" s="15"/>
      <c r="J849" s="36"/>
      <c r="K849" s="42"/>
      <c r="L849" s="15"/>
      <c r="M849" s="39">
        <f t="shared" ca="1" si="0"/>
        <v>46026</v>
      </c>
      <c r="N849" s="40" t="str">
        <f t="shared" ca="1" si="1"/>
        <v>✅</v>
      </c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 spans="1:28" ht="13" x14ac:dyDescent="0.15">
      <c r="A850" s="24">
        <f>'Scan to Sheets'!A850</f>
        <v>0</v>
      </c>
      <c r="B850" s="26">
        <f>'Scan to Sheets'!B850</f>
        <v>0</v>
      </c>
      <c r="C850" s="26">
        <f>'Scan to Sheets'!C850</f>
        <v>0</v>
      </c>
      <c r="D850" s="26">
        <f>'Scan to Sheets'!D850</f>
        <v>0</v>
      </c>
      <c r="E850" s="27" t="str">
        <f>IFERROR(VLOOKUP(C850,#REF!, 2, FALSE), "NO ENCONTRADO")</f>
        <v>NO ENCONTRADO</v>
      </c>
      <c r="F850" s="27" t="str">
        <f>IFERROR(VLOOKUP(C850,#REF!, 3, FALSE), "NO ENCONTRADO")</f>
        <v>NO ENCONTRADO</v>
      </c>
      <c r="G850" s="27" t="str">
        <f>IFERROR(VLOOKUP(C850,#REF!, 4, FALSE), "NO ENCONTRADO")</f>
        <v>NO ENCONTRADO</v>
      </c>
      <c r="H850" s="27" t="str">
        <f>IFERROR(VLOOKUP(C850,#REF!, 5, FALSE), "NO ENCONTRADO")</f>
        <v>NO ENCONTRADO</v>
      </c>
      <c r="I850" s="14"/>
      <c r="J850" s="27"/>
      <c r="K850" s="41"/>
      <c r="L850" s="14"/>
      <c r="M850" s="30">
        <f t="shared" ca="1" si="0"/>
        <v>46026</v>
      </c>
      <c r="N850" s="31" t="str">
        <f t="shared" ca="1" si="1"/>
        <v>✅</v>
      </c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 spans="1:28" ht="13" x14ac:dyDescent="0.15">
      <c r="A851" s="33">
        <f>'Scan to Sheets'!A851</f>
        <v>0</v>
      </c>
      <c r="B851" s="35">
        <f>'Scan to Sheets'!B851</f>
        <v>0</v>
      </c>
      <c r="C851" s="35">
        <f>'Scan to Sheets'!C851</f>
        <v>0</v>
      </c>
      <c r="D851" s="35">
        <f>'Scan to Sheets'!D851</f>
        <v>0</v>
      </c>
      <c r="E851" s="36" t="str">
        <f>IFERROR(VLOOKUP(C851,#REF!, 2, FALSE), "NO ENCONTRADO")</f>
        <v>NO ENCONTRADO</v>
      </c>
      <c r="F851" s="36" t="str">
        <f>IFERROR(VLOOKUP(C851,#REF!, 3, FALSE), "NO ENCONTRADO")</f>
        <v>NO ENCONTRADO</v>
      </c>
      <c r="G851" s="36" t="str">
        <f>IFERROR(VLOOKUP(C851,#REF!, 4, FALSE), "NO ENCONTRADO")</f>
        <v>NO ENCONTRADO</v>
      </c>
      <c r="H851" s="36" t="str">
        <f>IFERROR(VLOOKUP(C851,#REF!, 5, FALSE), "NO ENCONTRADO")</f>
        <v>NO ENCONTRADO</v>
      </c>
      <c r="I851" s="15"/>
      <c r="J851" s="36"/>
      <c r="K851" s="42"/>
      <c r="L851" s="15"/>
      <c r="M851" s="39">
        <f t="shared" ca="1" si="0"/>
        <v>46026</v>
      </c>
      <c r="N851" s="40" t="str">
        <f t="shared" ca="1" si="1"/>
        <v>✅</v>
      </c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 spans="1:28" ht="13" x14ac:dyDescent="0.15">
      <c r="A852" s="24">
        <f>'Scan to Sheets'!A852</f>
        <v>0</v>
      </c>
      <c r="B852" s="26">
        <f>'Scan to Sheets'!B852</f>
        <v>0</v>
      </c>
      <c r="C852" s="26">
        <f>'Scan to Sheets'!C852</f>
        <v>0</v>
      </c>
      <c r="D852" s="26">
        <f>'Scan to Sheets'!D852</f>
        <v>0</v>
      </c>
      <c r="E852" s="27" t="str">
        <f>IFERROR(VLOOKUP(C852,#REF!, 2, FALSE), "NO ENCONTRADO")</f>
        <v>NO ENCONTRADO</v>
      </c>
      <c r="F852" s="27" t="str">
        <f>IFERROR(VLOOKUP(C852,#REF!, 3, FALSE), "NO ENCONTRADO")</f>
        <v>NO ENCONTRADO</v>
      </c>
      <c r="G852" s="27" t="str">
        <f>IFERROR(VLOOKUP(C852,#REF!, 4, FALSE), "NO ENCONTRADO")</f>
        <v>NO ENCONTRADO</v>
      </c>
      <c r="H852" s="27" t="str">
        <f>IFERROR(VLOOKUP(C852,#REF!, 5, FALSE), "NO ENCONTRADO")</f>
        <v>NO ENCONTRADO</v>
      </c>
      <c r="I852" s="14"/>
      <c r="J852" s="27"/>
      <c r="K852" s="41"/>
      <c r="L852" s="14"/>
      <c r="M852" s="30">
        <f t="shared" ca="1" si="0"/>
        <v>46026</v>
      </c>
      <c r="N852" s="31" t="str">
        <f t="shared" ca="1" si="1"/>
        <v>✅</v>
      </c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 spans="1:28" ht="13" x14ac:dyDescent="0.15">
      <c r="A853" s="33">
        <f>'Scan to Sheets'!A853</f>
        <v>0</v>
      </c>
      <c r="B853" s="35">
        <f>'Scan to Sheets'!B853</f>
        <v>0</v>
      </c>
      <c r="C853" s="35">
        <f>'Scan to Sheets'!C853</f>
        <v>0</v>
      </c>
      <c r="D853" s="35">
        <f>'Scan to Sheets'!D853</f>
        <v>0</v>
      </c>
      <c r="E853" s="36" t="str">
        <f>IFERROR(VLOOKUP(C853,#REF!, 2, FALSE), "NO ENCONTRADO")</f>
        <v>NO ENCONTRADO</v>
      </c>
      <c r="F853" s="36" t="str">
        <f>IFERROR(VLOOKUP(C853,#REF!, 3, FALSE), "NO ENCONTRADO")</f>
        <v>NO ENCONTRADO</v>
      </c>
      <c r="G853" s="36" t="str">
        <f>IFERROR(VLOOKUP(C853,#REF!, 4, FALSE), "NO ENCONTRADO")</f>
        <v>NO ENCONTRADO</v>
      </c>
      <c r="H853" s="36" t="str">
        <f>IFERROR(VLOOKUP(C853,#REF!, 5, FALSE), "NO ENCONTRADO")</f>
        <v>NO ENCONTRADO</v>
      </c>
      <c r="I853" s="15"/>
      <c r="J853" s="36"/>
      <c r="K853" s="42"/>
      <c r="L853" s="15"/>
      <c r="M853" s="39">
        <f t="shared" ca="1" si="0"/>
        <v>46026</v>
      </c>
      <c r="N853" s="40" t="str">
        <f t="shared" ca="1" si="1"/>
        <v>✅</v>
      </c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 spans="1:28" ht="13" x14ac:dyDescent="0.15">
      <c r="A854" s="24">
        <f>'Scan to Sheets'!A854</f>
        <v>0</v>
      </c>
      <c r="B854" s="26">
        <f>'Scan to Sheets'!B854</f>
        <v>0</v>
      </c>
      <c r="C854" s="26">
        <f>'Scan to Sheets'!C854</f>
        <v>0</v>
      </c>
      <c r="D854" s="26">
        <f>'Scan to Sheets'!D854</f>
        <v>0</v>
      </c>
      <c r="E854" s="27" t="str">
        <f>IFERROR(VLOOKUP(C854,#REF!, 2, FALSE), "NO ENCONTRADO")</f>
        <v>NO ENCONTRADO</v>
      </c>
      <c r="F854" s="27" t="str">
        <f>IFERROR(VLOOKUP(C854,#REF!, 3, FALSE), "NO ENCONTRADO")</f>
        <v>NO ENCONTRADO</v>
      </c>
      <c r="G854" s="27" t="str">
        <f>IFERROR(VLOOKUP(C854,#REF!, 4, FALSE), "NO ENCONTRADO")</f>
        <v>NO ENCONTRADO</v>
      </c>
      <c r="H854" s="27" t="str">
        <f>IFERROR(VLOOKUP(C854,#REF!, 5, FALSE), "NO ENCONTRADO")</f>
        <v>NO ENCONTRADO</v>
      </c>
      <c r="I854" s="14"/>
      <c r="J854" s="27"/>
      <c r="K854" s="41"/>
      <c r="L854" s="14"/>
      <c r="M854" s="30">
        <f t="shared" ca="1" si="0"/>
        <v>46026</v>
      </c>
      <c r="N854" s="31" t="str">
        <f t="shared" ca="1" si="1"/>
        <v>✅</v>
      </c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 spans="1:28" ht="13" x14ac:dyDescent="0.15">
      <c r="A855" s="33">
        <f>'Scan to Sheets'!A855</f>
        <v>0</v>
      </c>
      <c r="B855" s="35">
        <f>'Scan to Sheets'!B855</f>
        <v>0</v>
      </c>
      <c r="C855" s="35">
        <f>'Scan to Sheets'!C855</f>
        <v>0</v>
      </c>
      <c r="D855" s="35">
        <f>'Scan to Sheets'!D855</f>
        <v>0</v>
      </c>
      <c r="E855" s="36" t="str">
        <f>IFERROR(VLOOKUP(C855,#REF!, 2, FALSE), "NO ENCONTRADO")</f>
        <v>NO ENCONTRADO</v>
      </c>
      <c r="F855" s="36" t="str">
        <f>IFERROR(VLOOKUP(C855,#REF!, 3, FALSE), "NO ENCONTRADO")</f>
        <v>NO ENCONTRADO</v>
      </c>
      <c r="G855" s="36" t="str">
        <f>IFERROR(VLOOKUP(C855,#REF!, 4, FALSE), "NO ENCONTRADO")</f>
        <v>NO ENCONTRADO</v>
      </c>
      <c r="H855" s="36" t="str">
        <f>IFERROR(VLOOKUP(C855,#REF!, 5, FALSE), "NO ENCONTRADO")</f>
        <v>NO ENCONTRADO</v>
      </c>
      <c r="I855" s="15"/>
      <c r="J855" s="36"/>
      <c r="K855" s="42"/>
      <c r="L855" s="15"/>
      <c r="M855" s="39">
        <f t="shared" ca="1" si="0"/>
        <v>46026</v>
      </c>
      <c r="N855" s="40" t="str">
        <f t="shared" ca="1" si="1"/>
        <v>✅</v>
      </c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 spans="1:28" ht="13" x14ac:dyDescent="0.15">
      <c r="A856" s="24">
        <f>'Scan to Sheets'!A856</f>
        <v>0</v>
      </c>
      <c r="B856" s="26">
        <f>'Scan to Sheets'!B856</f>
        <v>0</v>
      </c>
      <c r="C856" s="26">
        <f>'Scan to Sheets'!C856</f>
        <v>0</v>
      </c>
      <c r="D856" s="26">
        <f>'Scan to Sheets'!D856</f>
        <v>0</v>
      </c>
      <c r="E856" s="27" t="str">
        <f>IFERROR(VLOOKUP(C856,#REF!, 2, FALSE), "NO ENCONTRADO")</f>
        <v>NO ENCONTRADO</v>
      </c>
      <c r="F856" s="27" t="str">
        <f>IFERROR(VLOOKUP(C856,#REF!, 3, FALSE), "NO ENCONTRADO")</f>
        <v>NO ENCONTRADO</v>
      </c>
      <c r="G856" s="27" t="str">
        <f>IFERROR(VLOOKUP(C856,#REF!, 4, FALSE), "NO ENCONTRADO")</f>
        <v>NO ENCONTRADO</v>
      </c>
      <c r="H856" s="27" t="str">
        <f>IFERROR(VLOOKUP(C856,#REF!, 5, FALSE), "NO ENCONTRADO")</f>
        <v>NO ENCONTRADO</v>
      </c>
      <c r="I856" s="14"/>
      <c r="J856" s="27"/>
      <c r="K856" s="41"/>
      <c r="L856" s="14"/>
      <c r="M856" s="30">
        <f t="shared" ca="1" si="0"/>
        <v>46026</v>
      </c>
      <c r="N856" s="31" t="str">
        <f t="shared" ca="1" si="1"/>
        <v>✅</v>
      </c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 spans="1:28" ht="13" x14ac:dyDescent="0.15">
      <c r="A857" s="33">
        <f>'Scan to Sheets'!A857</f>
        <v>0</v>
      </c>
      <c r="B857" s="35">
        <f>'Scan to Sheets'!B857</f>
        <v>0</v>
      </c>
      <c r="C857" s="35">
        <f>'Scan to Sheets'!C857</f>
        <v>0</v>
      </c>
      <c r="D857" s="35">
        <f>'Scan to Sheets'!D857</f>
        <v>0</v>
      </c>
      <c r="E857" s="36" t="str">
        <f>IFERROR(VLOOKUP(C857,#REF!, 2, FALSE), "NO ENCONTRADO")</f>
        <v>NO ENCONTRADO</v>
      </c>
      <c r="F857" s="36" t="str">
        <f>IFERROR(VLOOKUP(C857,#REF!, 3, FALSE), "NO ENCONTRADO")</f>
        <v>NO ENCONTRADO</v>
      </c>
      <c r="G857" s="36" t="str">
        <f>IFERROR(VLOOKUP(C857,#REF!, 4, FALSE), "NO ENCONTRADO")</f>
        <v>NO ENCONTRADO</v>
      </c>
      <c r="H857" s="36" t="str">
        <f>IFERROR(VLOOKUP(C857,#REF!, 5, FALSE), "NO ENCONTRADO")</f>
        <v>NO ENCONTRADO</v>
      </c>
      <c r="I857" s="15"/>
      <c r="J857" s="36"/>
      <c r="K857" s="42"/>
      <c r="L857" s="15"/>
      <c r="M857" s="39">
        <f t="shared" ca="1" si="0"/>
        <v>46026</v>
      </c>
      <c r="N857" s="40" t="str">
        <f t="shared" ca="1" si="1"/>
        <v>✅</v>
      </c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 spans="1:28" ht="13" x14ac:dyDescent="0.15">
      <c r="A858" s="24">
        <f>'Scan to Sheets'!A858</f>
        <v>0</v>
      </c>
      <c r="B858" s="26">
        <f>'Scan to Sheets'!B858</f>
        <v>0</v>
      </c>
      <c r="C858" s="26">
        <f>'Scan to Sheets'!C858</f>
        <v>0</v>
      </c>
      <c r="D858" s="26">
        <f>'Scan to Sheets'!D858</f>
        <v>0</v>
      </c>
      <c r="E858" s="27" t="str">
        <f>IFERROR(VLOOKUP(C858,#REF!, 2, FALSE), "NO ENCONTRADO")</f>
        <v>NO ENCONTRADO</v>
      </c>
      <c r="F858" s="27" t="str">
        <f>IFERROR(VLOOKUP(C858,#REF!, 3, FALSE), "NO ENCONTRADO")</f>
        <v>NO ENCONTRADO</v>
      </c>
      <c r="G858" s="27" t="str">
        <f>IFERROR(VLOOKUP(C858,#REF!, 4, FALSE), "NO ENCONTRADO")</f>
        <v>NO ENCONTRADO</v>
      </c>
      <c r="H858" s="27" t="str">
        <f>IFERROR(VLOOKUP(C858,#REF!, 5, FALSE), "NO ENCONTRADO")</f>
        <v>NO ENCONTRADO</v>
      </c>
      <c r="I858" s="14"/>
      <c r="J858" s="27"/>
      <c r="K858" s="41"/>
      <c r="L858" s="14"/>
      <c r="M858" s="30">
        <f t="shared" ca="1" si="0"/>
        <v>46026</v>
      </c>
      <c r="N858" s="31" t="str">
        <f t="shared" ca="1" si="1"/>
        <v>✅</v>
      </c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 spans="1:28" ht="13" x14ac:dyDescent="0.15">
      <c r="A859" s="33">
        <f>'Scan to Sheets'!A859</f>
        <v>0</v>
      </c>
      <c r="B859" s="35">
        <f>'Scan to Sheets'!B859</f>
        <v>0</v>
      </c>
      <c r="C859" s="35">
        <f>'Scan to Sheets'!C859</f>
        <v>0</v>
      </c>
      <c r="D859" s="35">
        <f>'Scan to Sheets'!D859</f>
        <v>0</v>
      </c>
      <c r="E859" s="36" t="str">
        <f>IFERROR(VLOOKUP(C859,#REF!, 2, FALSE), "NO ENCONTRADO")</f>
        <v>NO ENCONTRADO</v>
      </c>
      <c r="F859" s="36" t="str">
        <f>IFERROR(VLOOKUP(C859,#REF!, 3, FALSE), "NO ENCONTRADO")</f>
        <v>NO ENCONTRADO</v>
      </c>
      <c r="G859" s="36" t="str">
        <f>IFERROR(VLOOKUP(C859,#REF!, 4, FALSE), "NO ENCONTRADO")</f>
        <v>NO ENCONTRADO</v>
      </c>
      <c r="H859" s="36" t="str">
        <f>IFERROR(VLOOKUP(C859,#REF!, 5, FALSE), "NO ENCONTRADO")</f>
        <v>NO ENCONTRADO</v>
      </c>
      <c r="I859" s="15"/>
      <c r="J859" s="36"/>
      <c r="K859" s="42"/>
      <c r="L859" s="15"/>
      <c r="M859" s="39">
        <f t="shared" ca="1" si="0"/>
        <v>46026</v>
      </c>
      <c r="N859" s="40" t="str">
        <f t="shared" ca="1" si="1"/>
        <v>✅</v>
      </c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 spans="1:28" ht="13" x14ac:dyDescent="0.15">
      <c r="A860" s="24">
        <f>'Scan to Sheets'!A860</f>
        <v>0</v>
      </c>
      <c r="B860" s="26">
        <f>'Scan to Sheets'!B860</f>
        <v>0</v>
      </c>
      <c r="C860" s="26">
        <f>'Scan to Sheets'!C860</f>
        <v>0</v>
      </c>
      <c r="D860" s="26">
        <f>'Scan to Sheets'!D860</f>
        <v>0</v>
      </c>
      <c r="E860" s="27" t="str">
        <f>IFERROR(VLOOKUP(C860,#REF!, 2, FALSE), "NO ENCONTRADO")</f>
        <v>NO ENCONTRADO</v>
      </c>
      <c r="F860" s="27" t="str">
        <f>IFERROR(VLOOKUP(C860,#REF!, 3, FALSE), "NO ENCONTRADO")</f>
        <v>NO ENCONTRADO</v>
      </c>
      <c r="G860" s="27" t="str">
        <f>IFERROR(VLOOKUP(C860,#REF!, 4, FALSE), "NO ENCONTRADO")</f>
        <v>NO ENCONTRADO</v>
      </c>
      <c r="H860" s="27" t="str">
        <f>IFERROR(VLOOKUP(C860,#REF!, 5, FALSE), "NO ENCONTRADO")</f>
        <v>NO ENCONTRADO</v>
      </c>
      <c r="I860" s="14"/>
      <c r="J860" s="27"/>
      <c r="K860" s="41"/>
      <c r="L860" s="14"/>
      <c r="M860" s="30">
        <f t="shared" ca="1" si="0"/>
        <v>46026</v>
      </c>
      <c r="N860" s="31" t="str">
        <f t="shared" ca="1" si="1"/>
        <v>✅</v>
      </c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 spans="1:28" ht="13" x14ac:dyDescent="0.15">
      <c r="A861" s="33">
        <f>'Scan to Sheets'!A861</f>
        <v>0</v>
      </c>
      <c r="B861" s="35">
        <f>'Scan to Sheets'!B861</f>
        <v>0</v>
      </c>
      <c r="C861" s="35">
        <f>'Scan to Sheets'!C861</f>
        <v>0</v>
      </c>
      <c r="D861" s="35">
        <f>'Scan to Sheets'!D861</f>
        <v>0</v>
      </c>
      <c r="E861" s="36" t="str">
        <f>IFERROR(VLOOKUP(C861,#REF!, 2, FALSE), "NO ENCONTRADO")</f>
        <v>NO ENCONTRADO</v>
      </c>
      <c r="F861" s="36" t="str">
        <f>IFERROR(VLOOKUP(C861,#REF!, 3, FALSE), "NO ENCONTRADO")</f>
        <v>NO ENCONTRADO</v>
      </c>
      <c r="G861" s="36" t="str">
        <f>IFERROR(VLOOKUP(C861,#REF!, 4, FALSE), "NO ENCONTRADO")</f>
        <v>NO ENCONTRADO</v>
      </c>
      <c r="H861" s="36" t="str">
        <f>IFERROR(VLOOKUP(C861,#REF!, 5, FALSE), "NO ENCONTRADO")</f>
        <v>NO ENCONTRADO</v>
      </c>
      <c r="I861" s="15"/>
      <c r="J861" s="36"/>
      <c r="K861" s="42"/>
      <c r="L861" s="15"/>
      <c r="M861" s="39">
        <f t="shared" ca="1" si="0"/>
        <v>46026</v>
      </c>
      <c r="N861" s="40" t="str">
        <f t="shared" ca="1" si="1"/>
        <v>✅</v>
      </c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 spans="1:28" ht="13" x14ac:dyDescent="0.15">
      <c r="A862" s="24">
        <f>'Scan to Sheets'!A862</f>
        <v>0</v>
      </c>
      <c r="B862" s="26">
        <f>'Scan to Sheets'!B862</f>
        <v>0</v>
      </c>
      <c r="C862" s="26">
        <f>'Scan to Sheets'!C862</f>
        <v>0</v>
      </c>
      <c r="D862" s="26">
        <f>'Scan to Sheets'!D862</f>
        <v>0</v>
      </c>
      <c r="E862" s="27" t="str">
        <f>IFERROR(VLOOKUP(C862,#REF!, 2, FALSE), "NO ENCONTRADO")</f>
        <v>NO ENCONTRADO</v>
      </c>
      <c r="F862" s="27" t="str">
        <f>IFERROR(VLOOKUP(C862,#REF!, 3, FALSE), "NO ENCONTRADO")</f>
        <v>NO ENCONTRADO</v>
      </c>
      <c r="G862" s="27" t="str">
        <f>IFERROR(VLOOKUP(C862,#REF!, 4, FALSE), "NO ENCONTRADO")</f>
        <v>NO ENCONTRADO</v>
      </c>
      <c r="H862" s="27" t="str">
        <f>IFERROR(VLOOKUP(C862,#REF!, 5, FALSE), "NO ENCONTRADO")</f>
        <v>NO ENCONTRADO</v>
      </c>
      <c r="I862" s="14"/>
      <c r="J862" s="27"/>
      <c r="K862" s="41"/>
      <c r="L862" s="14"/>
      <c r="M862" s="30">
        <f t="shared" ca="1" si="0"/>
        <v>46026</v>
      </c>
      <c r="N862" s="31" t="str">
        <f t="shared" ca="1" si="1"/>
        <v>✅</v>
      </c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 spans="1:28" ht="13" x14ac:dyDescent="0.15">
      <c r="A863" s="33">
        <f>'Scan to Sheets'!A863</f>
        <v>0</v>
      </c>
      <c r="B863" s="35">
        <f>'Scan to Sheets'!B863</f>
        <v>0</v>
      </c>
      <c r="C863" s="35">
        <f>'Scan to Sheets'!C863</f>
        <v>0</v>
      </c>
      <c r="D863" s="35">
        <f>'Scan to Sheets'!D863</f>
        <v>0</v>
      </c>
      <c r="E863" s="36" t="str">
        <f>IFERROR(VLOOKUP(C863,#REF!, 2, FALSE), "NO ENCONTRADO")</f>
        <v>NO ENCONTRADO</v>
      </c>
      <c r="F863" s="36" t="str">
        <f>IFERROR(VLOOKUP(C863,#REF!, 3, FALSE), "NO ENCONTRADO")</f>
        <v>NO ENCONTRADO</v>
      </c>
      <c r="G863" s="36" t="str">
        <f>IFERROR(VLOOKUP(C863,#REF!, 4, FALSE), "NO ENCONTRADO")</f>
        <v>NO ENCONTRADO</v>
      </c>
      <c r="H863" s="36" t="str">
        <f>IFERROR(VLOOKUP(C863,#REF!, 5, FALSE), "NO ENCONTRADO")</f>
        <v>NO ENCONTRADO</v>
      </c>
      <c r="I863" s="15"/>
      <c r="J863" s="36"/>
      <c r="K863" s="42"/>
      <c r="L863" s="15"/>
      <c r="M863" s="39">
        <f t="shared" ca="1" si="0"/>
        <v>46026</v>
      </c>
      <c r="N863" s="40" t="str">
        <f t="shared" ca="1" si="1"/>
        <v>✅</v>
      </c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 spans="1:28" ht="13" x14ac:dyDescent="0.15">
      <c r="A864" s="24">
        <f>'Scan to Sheets'!A864</f>
        <v>0</v>
      </c>
      <c r="B864" s="26">
        <f>'Scan to Sheets'!B864</f>
        <v>0</v>
      </c>
      <c r="C864" s="26">
        <f>'Scan to Sheets'!C864</f>
        <v>0</v>
      </c>
      <c r="D864" s="26">
        <f>'Scan to Sheets'!D864</f>
        <v>0</v>
      </c>
      <c r="E864" s="27" t="str">
        <f>IFERROR(VLOOKUP(C864,#REF!, 2, FALSE), "NO ENCONTRADO")</f>
        <v>NO ENCONTRADO</v>
      </c>
      <c r="F864" s="27" t="str">
        <f>IFERROR(VLOOKUP(C864,#REF!, 3, FALSE), "NO ENCONTRADO")</f>
        <v>NO ENCONTRADO</v>
      </c>
      <c r="G864" s="27" t="str">
        <f>IFERROR(VLOOKUP(C864,#REF!, 4, FALSE), "NO ENCONTRADO")</f>
        <v>NO ENCONTRADO</v>
      </c>
      <c r="H864" s="27" t="str">
        <f>IFERROR(VLOOKUP(C864,#REF!, 5, FALSE), "NO ENCONTRADO")</f>
        <v>NO ENCONTRADO</v>
      </c>
      <c r="I864" s="14"/>
      <c r="J864" s="27"/>
      <c r="K864" s="41"/>
      <c r="L864" s="14"/>
      <c r="M864" s="30">
        <f t="shared" ca="1" si="0"/>
        <v>46026</v>
      </c>
      <c r="N864" s="31" t="str">
        <f t="shared" ca="1" si="1"/>
        <v>✅</v>
      </c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 spans="1:28" ht="13" x14ac:dyDescent="0.15">
      <c r="A865" s="33">
        <f>'Scan to Sheets'!A865</f>
        <v>0</v>
      </c>
      <c r="B865" s="35">
        <f>'Scan to Sheets'!B865</f>
        <v>0</v>
      </c>
      <c r="C865" s="35">
        <f>'Scan to Sheets'!C865</f>
        <v>0</v>
      </c>
      <c r="D865" s="35">
        <f>'Scan to Sheets'!D865</f>
        <v>0</v>
      </c>
      <c r="E865" s="36" t="str">
        <f>IFERROR(VLOOKUP(C865,#REF!, 2, FALSE), "NO ENCONTRADO")</f>
        <v>NO ENCONTRADO</v>
      </c>
      <c r="F865" s="36" t="str">
        <f>IFERROR(VLOOKUP(C865,#REF!, 3, FALSE), "NO ENCONTRADO")</f>
        <v>NO ENCONTRADO</v>
      </c>
      <c r="G865" s="36" t="str">
        <f>IFERROR(VLOOKUP(C865,#REF!, 4, FALSE), "NO ENCONTRADO")</f>
        <v>NO ENCONTRADO</v>
      </c>
      <c r="H865" s="36" t="str">
        <f>IFERROR(VLOOKUP(C865,#REF!, 5, FALSE), "NO ENCONTRADO")</f>
        <v>NO ENCONTRADO</v>
      </c>
      <c r="I865" s="15"/>
      <c r="J865" s="36"/>
      <c r="K865" s="42"/>
      <c r="L865" s="15"/>
      <c r="M865" s="39">
        <f t="shared" ca="1" si="0"/>
        <v>46026</v>
      </c>
      <c r="N865" s="40" t="str">
        <f t="shared" ca="1" si="1"/>
        <v>✅</v>
      </c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 spans="1:28" ht="13" x14ac:dyDescent="0.15">
      <c r="A866" s="24">
        <f>'Scan to Sheets'!A866</f>
        <v>0</v>
      </c>
      <c r="B866" s="26">
        <f>'Scan to Sheets'!B866</f>
        <v>0</v>
      </c>
      <c r="C866" s="26">
        <f>'Scan to Sheets'!C866</f>
        <v>0</v>
      </c>
      <c r="D866" s="26">
        <f>'Scan to Sheets'!D866</f>
        <v>0</v>
      </c>
      <c r="E866" s="27" t="str">
        <f>IFERROR(VLOOKUP(C866,#REF!, 2, FALSE), "NO ENCONTRADO")</f>
        <v>NO ENCONTRADO</v>
      </c>
      <c r="F866" s="27" t="str">
        <f>IFERROR(VLOOKUP(C866,#REF!, 3, FALSE), "NO ENCONTRADO")</f>
        <v>NO ENCONTRADO</v>
      </c>
      <c r="G866" s="27" t="str">
        <f>IFERROR(VLOOKUP(C866,#REF!, 4, FALSE), "NO ENCONTRADO")</f>
        <v>NO ENCONTRADO</v>
      </c>
      <c r="H866" s="27" t="str">
        <f>IFERROR(VLOOKUP(C866,#REF!, 5, FALSE), "NO ENCONTRADO")</f>
        <v>NO ENCONTRADO</v>
      </c>
      <c r="I866" s="14"/>
      <c r="J866" s="27"/>
      <c r="K866" s="41"/>
      <c r="L866" s="14"/>
      <c r="M866" s="30">
        <f t="shared" ca="1" si="0"/>
        <v>46026</v>
      </c>
      <c r="N866" s="31" t="str">
        <f t="shared" ca="1" si="1"/>
        <v>✅</v>
      </c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 spans="1:28" ht="13" x14ac:dyDescent="0.15">
      <c r="A867" s="33">
        <f>'Scan to Sheets'!A867</f>
        <v>0</v>
      </c>
      <c r="B867" s="35">
        <f>'Scan to Sheets'!B867</f>
        <v>0</v>
      </c>
      <c r="C867" s="35">
        <f>'Scan to Sheets'!C867</f>
        <v>0</v>
      </c>
      <c r="D867" s="35">
        <f>'Scan to Sheets'!D867</f>
        <v>0</v>
      </c>
      <c r="E867" s="36" t="str">
        <f>IFERROR(VLOOKUP(C867,#REF!, 2, FALSE), "NO ENCONTRADO")</f>
        <v>NO ENCONTRADO</v>
      </c>
      <c r="F867" s="36" t="str">
        <f>IFERROR(VLOOKUP(C867,#REF!, 3, FALSE), "NO ENCONTRADO")</f>
        <v>NO ENCONTRADO</v>
      </c>
      <c r="G867" s="36" t="str">
        <f>IFERROR(VLOOKUP(C867,#REF!, 4, FALSE), "NO ENCONTRADO")</f>
        <v>NO ENCONTRADO</v>
      </c>
      <c r="H867" s="36" t="str">
        <f>IFERROR(VLOOKUP(C867,#REF!, 5, FALSE), "NO ENCONTRADO")</f>
        <v>NO ENCONTRADO</v>
      </c>
      <c r="I867" s="15"/>
      <c r="J867" s="36"/>
      <c r="K867" s="42"/>
      <c r="L867" s="15"/>
      <c r="M867" s="39">
        <f t="shared" ca="1" si="0"/>
        <v>46026</v>
      </c>
      <c r="N867" s="40" t="str">
        <f t="shared" ca="1" si="1"/>
        <v>✅</v>
      </c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 spans="1:28" ht="13" x14ac:dyDescent="0.15">
      <c r="A868" s="24">
        <f>'Scan to Sheets'!A868</f>
        <v>0</v>
      </c>
      <c r="B868" s="26">
        <f>'Scan to Sheets'!B868</f>
        <v>0</v>
      </c>
      <c r="C868" s="26">
        <f>'Scan to Sheets'!C868</f>
        <v>0</v>
      </c>
      <c r="D868" s="26">
        <f>'Scan to Sheets'!D868</f>
        <v>0</v>
      </c>
      <c r="E868" s="27" t="str">
        <f>IFERROR(VLOOKUP(C868,#REF!, 2, FALSE), "NO ENCONTRADO")</f>
        <v>NO ENCONTRADO</v>
      </c>
      <c r="F868" s="27" t="str">
        <f>IFERROR(VLOOKUP(C868,#REF!, 3, FALSE), "NO ENCONTRADO")</f>
        <v>NO ENCONTRADO</v>
      </c>
      <c r="G868" s="27" t="str">
        <f>IFERROR(VLOOKUP(C868,#REF!, 4, FALSE), "NO ENCONTRADO")</f>
        <v>NO ENCONTRADO</v>
      </c>
      <c r="H868" s="27" t="str">
        <f>IFERROR(VLOOKUP(C868,#REF!, 5, FALSE), "NO ENCONTRADO")</f>
        <v>NO ENCONTRADO</v>
      </c>
      <c r="I868" s="14"/>
      <c r="J868" s="27"/>
      <c r="K868" s="41"/>
      <c r="L868" s="14"/>
      <c r="M868" s="30">
        <f t="shared" ca="1" si="0"/>
        <v>46026</v>
      </c>
      <c r="N868" s="31" t="str">
        <f t="shared" ca="1" si="1"/>
        <v>✅</v>
      </c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 spans="1:28" ht="13" x14ac:dyDescent="0.15">
      <c r="A869" s="33">
        <f>'Scan to Sheets'!A869</f>
        <v>0</v>
      </c>
      <c r="B869" s="35">
        <f>'Scan to Sheets'!B869</f>
        <v>0</v>
      </c>
      <c r="C869" s="35">
        <f>'Scan to Sheets'!C869</f>
        <v>0</v>
      </c>
      <c r="D869" s="35">
        <f>'Scan to Sheets'!D869</f>
        <v>0</v>
      </c>
      <c r="E869" s="36" t="str">
        <f>IFERROR(VLOOKUP(C869,#REF!, 2, FALSE), "NO ENCONTRADO")</f>
        <v>NO ENCONTRADO</v>
      </c>
      <c r="F869" s="36" t="str">
        <f>IFERROR(VLOOKUP(C869,#REF!, 3, FALSE), "NO ENCONTRADO")</f>
        <v>NO ENCONTRADO</v>
      </c>
      <c r="G869" s="36" t="str">
        <f>IFERROR(VLOOKUP(C869,#REF!, 4, FALSE), "NO ENCONTRADO")</f>
        <v>NO ENCONTRADO</v>
      </c>
      <c r="H869" s="36" t="str">
        <f>IFERROR(VLOOKUP(C869,#REF!, 5, FALSE), "NO ENCONTRADO")</f>
        <v>NO ENCONTRADO</v>
      </c>
      <c r="I869" s="15"/>
      <c r="J869" s="36"/>
      <c r="K869" s="42"/>
      <c r="L869" s="15"/>
      <c r="M869" s="39">
        <f t="shared" ca="1" si="0"/>
        <v>46026</v>
      </c>
      <c r="N869" s="40" t="str">
        <f t="shared" ca="1" si="1"/>
        <v>✅</v>
      </c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 spans="1:28" ht="13" x14ac:dyDescent="0.15">
      <c r="A870" s="24">
        <f>'Scan to Sheets'!A870</f>
        <v>0</v>
      </c>
      <c r="B870" s="26">
        <f>'Scan to Sheets'!B870</f>
        <v>0</v>
      </c>
      <c r="C870" s="26">
        <f>'Scan to Sheets'!C870</f>
        <v>0</v>
      </c>
      <c r="D870" s="26">
        <f>'Scan to Sheets'!D870</f>
        <v>0</v>
      </c>
      <c r="E870" s="27" t="str">
        <f>IFERROR(VLOOKUP(C870,#REF!, 2, FALSE), "NO ENCONTRADO")</f>
        <v>NO ENCONTRADO</v>
      </c>
      <c r="F870" s="27" t="str">
        <f>IFERROR(VLOOKUP(C870,#REF!, 3, FALSE), "NO ENCONTRADO")</f>
        <v>NO ENCONTRADO</v>
      </c>
      <c r="G870" s="27" t="str">
        <f>IFERROR(VLOOKUP(C870,#REF!, 4, FALSE), "NO ENCONTRADO")</f>
        <v>NO ENCONTRADO</v>
      </c>
      <c r="H870" s="27" t="str">
        <f>IFERROR(VLOOKUP(C870,#REF!, 5, FALSE), "NO ENCONTRADO")</f>
        <v>NO ENCONTRADO</v>
      </c>
      <c r="I870" s="14"/>
      <c r="J870" s="27"/>
      <c r="K870" s="41"/>
      <c r="L870" s="14"/>
      <c r="M870" s="30">
        <f t="shared" ca="1" si="0"/>
        <v>46026</v>
      </c>
      <c r="N870" s="31" t="str">
        <f t="shared" ca="1" si="1"/>
        <v>✅</v>
      </c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 spans="1:28" ht="13" x14ac:dyDescent="0.15">
      <c r="A871" s="33">
        <f>'Scan to Sheets'!A871</f>
        <v>0</v>
      </c>
      <c r="B871" s="35">
        <f>'Scan to Sheets'!B871</f>
        <v>0</v>
      </c>
      <c r="C871" s="35">
        <f>'Scan to Sheets'!C871</f>
        <v>0</v>
      </c>
      <c r="D871" s="35">
        <f>'Scan to Sheets'!D871</f>
        <v>0</v>
      </c>
      <c r="E871" s="36" t="str">
        <f>IFERROR(VLOOKUP(C871,#REF!, 2, FALSE), "NO ENCONTRADO")</f>
        <v>NO ENCONTRADO</v>
      </c>
      <c r="F871" s="36" t="str">
        <f>IFERROR(VLOOKUP(C871,#REF!, 3, FALSE), "NO ENCONTRADO")</f>
        <v>NO ENCONTRADO</v>
      </c>
      <c r="G871" s="36" t="str">
        <f>IFERROR(VLOOKUP(C871,#REF!, 4, FALSE), "NO ENCONTRADO")</f>
        <v>NO ENCONTRADO</v>
      </c>
      <c r="H871" s="36" t="str">
        <f>IFERROR(VLOOKUP(C871,#REF!, 5, FALSE), "NO ENCONTRADO")</f>
        <v>NO ENCONTRADO</v>
      </c>
      <c r="I871" s="15"/>
      <c r="J871" s="36"/>
      <c r="K871" s="42"/>
      <c r="L871" s="15"/>
      <c r="M871" s="39">
        <f t="shared" ca="1" si="0"/>
        <v>46026</v>
      </c>
      <c r="N871" s="40" t="str">
        <f t="shared" ca="1" si="1"/>
        <v>✅</v>
      </c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 spans="1:28" ht="13" x14ac:dyDescent="0.15">
      <c r="A872" s="24">
        <f>'Scan to Sheets'!A872</f>
        <v>0</v>
      </c>
      <c r="B872" s="26">
        <f>'Scan to Sheets'!B872</f>
        <v>0</v>
      </c>
      <c r="C872" s="26">
        <f>'Scan to Sheets'!C872</f>
        <v>0</v>
      </c>
      <c r="D872" s="26">
        <f>'Scan to Sheets'!D872</f>
        <v>0</v>
      </c>
      <c r="E872" s="27" t="str">
        <f>IFERROR(VLOOKUP(C872,#REF!, 2, FALSE), "NO ENCONTRADO")</f>
        <v>NO ENCONTRADO</v>
      </c>
      <c r="F872" s="27" t="str">
        <f>IFERROR(VLOOKUP(C872,#REF!, 3, FALSE), "NO ENCONTRADO")</f>
        <v>NO ENCONTRADO</v>
      </c>
      <c r="G872" s="27" t="str">
        <f>IFERROR(VLOOKUP(C872,#REF!, 4, FALSE), "NO ENCONTRADO")</f>
        <v>NO ENCONTRADO</v>
      </c>
      <c r="H872" s="27" t="str">
        <f>IFERROR(VLOOKUP(C872,#REF!, 5, FALSE), "NO ENCONTRADO")</f>
        <v>NO ENCONTRADO</v>
      </c>
      <c r="I872" s="14"/>
      <c r="J872" s="27"/>
      <c r="K872" s="41"/>
      <c r="L872" s="14"/>
      <c r="M872" s="30">
        <f t="shared" ca="1" si="0"/>
        <v>46026</v>
      </c>
      <c r="N872" s="31" t="str">
        <f t="shared" ca="1" si="1"/>
        <v>✅</v>
      </c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 spans="1:28" ht="13" x14ac:dyDescent="0.15">
      <c r="A873" s="33">
        <f>'Scan to Sheets'!A873</f>
        <v>0</v>
      </c>
      <c r="B873" s="35">
        <f>'Scan to Sheets'!B873</f>
        <v>0</v>
      </c>
      <c r="C873" s="35">
        <f>'Scan to Sheets'!C873</f>
        <v>0</v>
      </c>
      <c r="D873" s="35">
        <f>'Scan to Sheets'!D873</f>
        <v>0</v>
      </c>
      <c r="E873" s="36" t="str">
        <f>IFERROR(VLOOKUP(C873,#REF!, 2, FALSE), "NO ENCONTRADO")</f>
        <v>NO ENCONTRADO</v>
      </c>
      <c r="F873" s="36" t="str">
        <f>IFERROR(VLOOKUP(C873,#REF!, 3, FALSE), "NO ENCONTRADO")</f>
        <v>NO ENCONTRADO</v>
      </c>
      <c r="G873" s="36" t="str">
        <f>IFERROR(VLOOKUP(C873,#REF!, 4, FALSE), "NO ENCONTRADO")</f>
        <v>NO ENCONTRADO</v>
      </c>
      <c r="H873" s="36" t="str">
        <f>IFERROR(VLOOKUP(C873,#REF!, 5, FALSE), "NO ENCONTRADO")</f>
        <v>NO ENCONTRADO</v>
      </c>
      <c r="I873" s="15"/>
      <c r="J873" s="36"/>
      <c r="K873" s="42"/>
      <c r="L873" s="15"/>
      <c r="M873" s="39">
        <f t="shared" ca="1" si="0"/>
        <v>46026</v>
      </c>
      <c r="N873" s="40" t="str">
        <f t="shared" ca="1" si="1"/>
        <v>✅</v>
      </c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 spans="1:28" ht="13" x14ac:dyDescent="0.15">
      <c r="A874" s="24">
        <f>'Scan to Sheets'!A874</f>
        <v>0</v>
      </c>
      <c r="B874" s="26">
        <f>'Scan to Sheets'!B874</f>
        <v>0</v>
      </c>
      <c r="C874" s="26">
        <f>'Scan to Sheets'!C874</f>
        <v>0</v>
      </c>
      <c r="D874" s="26">
        <f>'Scan to Sheets'!D874</f>
        <v>0</v>
      </c>
      <c r="E874" s="27" t="str">
        <f>IFERROR(VLOOKUP(C874,#REF!, 2, FALSE), "NO ENCONTRADO")</f>
        <v>NO ENCONTRADO</v>
      </c>
      <c r="F874" s="27" t="str">
        <f>IFERROR(VLOOKUP(C874,#REF!, 3, FALSE), "NO ENCONTRADO")</f>
        <v>NO ENCONTRADO</v>
      </c>
      <c r="G874" s="27" t="str">
        <f>IFERROR(VLOOKUP(C874,#REF!, 4, FALSE), "NO ENCONTRADO")</f>
        <v>NO ENCONTRADO</v>
      </c>
      <c r="H874" s="27" t="str">
        <f>IFERROR(VLOOKUP(C874,#REF!, 5, FALSE), "NO ENCONTRADO")</f>
        <v>NO ENCONTRADO</v>
      </c>
      <c r="I874" s="14"/>
      <c r="J874" s="27"/>
      <c r="K874" s="41"/>
      <c r="L874" s="14"/>
      <c r="M874" s="30">
        <f t="shared" ca="1" si="0"/>
        <v>46026</v>
      </c>
      <c r="N874" s="31" t="str">
        <f t="shared" ca="1" si="1"/>
        <v>✅</v>
      </c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 spans="1:28" ht="13" x14ac:dyDescent="0.15">
      <c r="A875" s="33">
        <f>'Scan to Sheets'!A875</f>
        <v>0</v>
      </c>
      <c r="B875" s="35">
        <f>'Scan to Sheets'!B875</f>
        <v>0</v>
      </c>
      <c r="C875" s="35">
        <f>'Scan to Sheets'!C875</f>
        <v>0</v>
      </c>
      <c r="D875" s="35">
        <f>'Scan to Sheets'!D875</f>
        <v>0</v>
      </c>
      <c r="E875" s="36" t="str">
        <f>IFERROR(VLOOKUP(C875,#REF!, 2, FALSE), "NO ENCONTRADO")</f>
        <v>NO ENCONTRADO</v>
      </c>
      <c r="F875" s="36" t="str">
        <f>IFERROR(VLOOKUP(C875,#REF!, 3, FALSE), "NO ENCONTRADO")</f>
        <v>NO ENCONTRADO</v>
      </c>
      <c r="G875" s="36" t="str">
        <f>IFERROR(VLOOKUP(C875,#REF!, 4, FALSE), "NO ENCONTRADO")</f>
        <v>NO ENCONTRADO</v>
      </c>
      <c r="H875" s="36" t="str">
        <f>IFERROR(VLOOKUP(C875,#REF!, 5, FALSE), "NO ENCONTRADO")</f>
        <v>NO ENCONTRADO</v>
      </c>
      <c r="I875" s="15"/>
      <c r="J875" s="36"/>
      <c r="K875" s="42"/>
      <c r="L875" s="15"/>
      <c r="M875" s="39">
        <f t="shared" ca="1" si="0"/>
        <v>46026</v>
      </c>
      <c r="N875" s="40" t="str">
        <f t="shared" ca="1" si="1"/>
        <v>✅</v>
      </c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 spans="1:28" ht="13" x14ac:dyDescent="0.15">
      <c r="A876" s="24">
        <f>'Scan to Sheets'!A876</f>
        <v>0</v>
      </c>
      <c r="B876" s="26">
        <f>'Scan to Sheets'!B876</f>
        <v>0</v>
      </c>
      <c r="C876" s="26">
        <f>'Scan to Sheets'!C876</f>
        <v>0</v>
      </c>
      <c r="D876" s="26">
        <f>'Scan to Sheets'!D876</f>
        <v>0</v>
      </c>
      <c r="E876" s="27" t="str">
        <f>IFERROR(VLOOKUP(C876,#REF!, 2, FALSE), "NO ENCONTRADO")</f>
        <v>NO ENCONTRADO</v>
      </c>
      <c r="F876" s="27" t="str">
        <f>IFERROR(VLOOKUP(C876,#REF!, 3, FALSE), "NO ENCONTRADO")</f>
        <v>NO ENCONTRADO</v>
      </c>
      <c r="G876" s="27" t="str">
        <f>IFERROR(VLOOKUP(C876,#REF!, 4, FALSE), "NO ENCONTRADO")</f>
        <v>NO ENCONTRADO</v>
      </c>
      <c r="H876" s="27" t="str">
        <f>IFERROR(VLOOKUP(C876,#REF!, 5, FALSE), "NO ENCONTRADO")</f>
        <v>NO ENCONTRADO</v>
      </c>
      <c r="I876" s="14"/>
      <c r="J876" s="27"/>
      <c r="K876" s="41"/>
      <c r="L876" s="14"/>
      <c r="M876" s="30">
        <f t="shared" ca="1" si="0"/>
        <v>46026</v>
      </c>
      <c r="N876" s="31" t="str">
        <f t="shared" ca="1" si="1"/>
        <v>✅</v>
      </c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 spans="1:28" ht="13" x14ac:dyDescent="0.15">
      <c r="A877" s="33">
        <f>'Scan to Sheets'!A877</f>
        <v>0</v>
      </c>
      <c r="B877" s="35">
        <f>'Scan to Sheets'!B877</f>
        <v>0</v>
      </c>
      <c r="C877" s="35">
        <f>'Scan to Sheets'!C877</f>
        <v>0</v>
      </c>
      <c r="D877" s="35">
        <f>'Scan to Sheets'!D877</f>
        <v>0</v>
      </c>
      <c r="E877" s="36" t="str">
        <f>IFERROR(VLOOKUP(C877,#REF!, 2, FALSE), "NO ENCONTRADO")</f>
        <v>NO ENCONTRADO</v>
      </c>
      <c r="F877" s="36" t="str">
        <f>IFERROR(VLOOKUP(C877,#REF!, 3, FALSE), "NO ENCONTRADO")</f>
        <v>NO ENCONTRADO</v>
      </c>
      <c r="G877" s="36" t="str">
        <f>IFERROR(VLOOKUP(C877,#REF!, 4, FALSE), "NO ENCONTRADO")</f>
        <v>NO ENCONTRADO</v>
      </c>
      <c r="H877" s="36" t="str">
        <f>IFERROR(VLOOKUP(C877,#REF!, 5, FALSE), "NO ENCONTRADO")</f>
        <v>NO ENCONTRADO</v>
      </c>
      <c r="I877" s="15"/>
      <c r="J877" s="36"/>
      <c r="K877" s="42"/>
      <c r="L877" s="15"/>
      <c r="M877" s="39">
        <f t="shared" ca="1" si="0"/>
        <v>46026</v>
      </c>
      <c r="N877" s="40" t="str">
        <f t="shared" ca="1" si="1"/>
        <v>✅</v>
      </c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 spans="1:28" ht="13" x14ac:dyDescent="0.15">
      <c r="A878" s="24">
        <f>'Scan to Sheets'!A878</f>
        <v>0</v>
      </c>
      <c r="B878" s="26">
        <f>'Scan to Sheets'!B878</f>
        <v>0</v>
      </c>
      <c r="C878" s="26">
        <f>'Scan to Sheets'!C878</f>
        <v>0</v>
      </c>
      <c r="D878" s="26">
        <f>'Scan to Sheets'!D878</f>
        <v>0</v>
      </c>
      <c r="E878" s="27" t="str">
        <f>IFERROR(VLOOKUP(C878,#REF!, 2, FALSE), "NO ENCONTRADO")</f>
        <v>NO ENCONTRADO</v>
      </c>
      <c r="F878" s="27" t="str">
        <f>IFERROR(VLOOKUP(C878,#REF!, 3, FALSE), "NO ENCONTRADO")</f>
        <v>NO ENCONTRADO</v>
      </c>
      <c r="G878" s="27" t="str">
        <f>IFERROR(VLOOKUP(C878,#REF!, 4, FALSE), "NO ENCONTRADO")</f>
        <v>NO ENCONTRADO</v>
      </c>
      <c r="H878" s="27" t="str">
        <f>IFERROR(VLOOKUP(C878,#REF!, 5, FALSE), "NO ENCONTRADO")</f>
        <v>NO ENCONTRADO</v>
      </c>
      <c r="I878" s="14"/>
      <c r="J878" s="27"/>
      <c r="K878" s="41"/>
      <c r="L878" s="14"/>
      <c r="M878" s="30">
        <f t="shared" ca="1" si="0"/>
        <v>46026</v>
      </c>
      <c r="N878" s="31" t="str">
        <f t="shared" ca="1" si="1"/>
        <v>✅</v>
      </c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 spans="1:28" ht="13" x14ac:dyDescent="0.15">
      <c r="A879" s="33">
        <f>'Scan to Sheets'!A879</f>
        <v>0</v>
      </c>
      <c r="B879" s="35">
        <f>'Scan to Sheets'!B879</f>
        <v>0</v>
      </c>
      <c r="C879" s="35">
        <f>'Scan to Sheets'!C879</f>
        <v>0</v>
      </c>
      <c r="D879" s="35">
        <f>'Scan to Sheets'!D879</f>
        <v>0</v>
      </c>
      <c r="E879" s="36" t="str">
        <f>IFERROR(VLOOKUP(C879,#REF!, 2, FALSE), "NO ENCONTRADO")</f>
        <v>NO ENCONTRADO</v>
      </c>
      <c r="F879" s="36" t="str">
        <f>IFERROR(VLOOKUP(C879,#REF!, 3, FALSE), "NO ENCONTRADO")</f>
        <v>NO ENCONTRADO</v>
      </c>
      <c r="G879" s="36" t="str">
        <f>IFERROR(VLOOKUP(C879,#REF!, 4, FALSE), "NO ENCONTRADO")</f>
        <v>NO ENCONTRADO</v>
      </c>
      <c r="H879" s="36" t="str">
        <f>IFERROR(VLOOKUP(C879,#REF!, 5, FALSE), "NO ENCONTRADO")</f>
        <v>NO ENCONTRADO</v>
      </c>
      <c r="I879" s="15"/>
      <c r="J879" s="36"/>
      <c r="K879" s="42"/>
      <c r="L879" s="15"/>
      <c r="M879" s="39">
        <f t="shared" ca="1" si="0"/>
        <v>46026</v>
      </c>
      <c r="N879" s="40" t="str">
        <f t="shared" ca="1" si="1"/>
        <v>✅</v>
      </c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 spans="1:28" ht="13" x14ac:dyDescent="0.15">
      <c r="A880" s="24">
        <f>'Scan to Sheets'!A880</f>
        <v>0</v>
      </c>
      <c r="B880" s="26">
        <f>'Scan to Sheets'!B880</f>
        <v>0</v>
      </c>
      <c r="C880" s="26">
        <f>'Scan to Sheets'!C880</f>
        <v>0</v>
      </c>
      <c r="D880" s="26">
        <f>'Scan to Sheets'!D880</f>
        <v>0</v>
      </c>
      <c r="E880" s="27" t="str">
        <f>IFERROR(VLOOKUP(C880,#REF!, 2, FALSE), "NO ENCONTRADO")</f>
        <v>NO ENCONTRADO</v>
      </c>
      <c r="F880" s="27" t="str">
        <f>IFERROR(VLOOKUP(C880,#REF!, 3, FALSE), "NO ENCONTRADO")</f>
        <v>NO ENCONTRADO</v>
      </c>
      <c r="G880" s="27" t="str">
        <f>IFERROR(VLOOKUP(C880,#REF!, 4, FALSE), "NO ENCONTRADO")</f>
        <v>NO ENCONTRADO</v>
      </c>
      <c r="H880" s="27" t="str">
        <f>IFERROR(VLOOKUP(C880,#REF!, 5, FALSE), "NO ENCONTRADO")</f>
        <v>NO ENCONTRADO</v>
      </c>
      <c r="I880" s="14"/>
      <c r="J880" s="27"/>
      <c r="K880" s="41"/>
      <c r="L880" s="14"/>
      <c r="M880" s="30">
        <f t="shared" ca="1" si="0"/>
        <v>46026</v>
      </c>
      <c r="N880" s="31" t="str">
        <f t="shared" ca="1" si="1"/>
        <v>✅</v>
      </c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 spans="1:28" ht="13" x14ac:dyDescent="0.15">
      <c r="A881" s="33">
        <f>'Scan to Sheets'!A881</f>
        <v>0</v>
      </c>
      <c r="B881" s="35">
        <f>'Scan to Sheets'!B881</f>
        <v>0</v>
      </c>
      <c r="C881" s="35">
        <f>'Scan to Sheets'!C881</f>
        <v>0</v>
      </c>
      <c r="D881" s="35">
        <f>'Scan to Sheets'!D881</f>
        <v>0</v>
      </c>
      <c r="E881" s="36" t="str">
        <f>IFERROR(VLOOKUP(C881,#REF!, 2, FALSE), "NO ENCONTRADO")</f>
        <v>NO ENCONTRADO</v>
      </c>
      <c r="F881" s="36" t="str">
        <f>IFERROR(VLOOKUP(C881,#REF!, 3, FALSE), "NO ENCONTRADO")</f>
        <v>NO ENCONTRADO</v>
      </c>
      <c r="G881" s="36" t="str">
        <f>IFERROR(VLOOKUP(C881,#REF!, 4, FALSE), "NO ENCONTRADO")</f>
        <v>NO ENCONTRADO</v>
      </c>
      <c r="H881" s="36" t="str">
        <f>IFERROR(VLOOKUP(C881,#REF!, 5, FALSE), "NO ENCONTRADO")</f>
        <v>NO ENCONTRADO</v>
      </c>
      <c r="I881" s="15"/>
      <c r="J881" s="36"/>
      <c r="K881" s="42"/>
      <c r="L881" s="15"/>
      <c r="M881" s="39">
        <f t="shared" ca="1" si="0"/>
        <v>46026</v>
      </c>
      <c r="N881" s="40" t="str">
        <f t="shared" ca="1" si="1"/>
        <v>✅</v>
      </c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 spans="1:28" ht="13" x14ac:dyDescent="0.15">
      <c r="A882" s="24">
        <f>'Scan to Sheets'!A882</f>
        <v>0</v>
      </c>
      <c r="B882" s="26">
        <f>'Scan to Sheets'!B882</f>
        <v>0</v>
      </c>
      <c r="C882" s="26">
        <f>'Scan to Sheets'!C882</f>
        <v>0</v>
      </c>
      <c r="D882" s="26">
        <f>'Scan to Sheets'!D882</f>
        <v>0</v>
      </c>
      <c r="E882" s="27" t="str">
        <f>IFERROR(VLOOKUP(C882,#REF!, 2, FALSE), "NO ENCONTRADO")</f>
        <v>NO ENCONTRADO</v>
      </c>
      <c r="F882" s="27" t="str">
        <f>IFERROR(VLOOKUP(C882,#REF!, 3, FALSE), "NO ENCONTRADO")</f>
        <v>NO ENCONTRADO</v>
      </c>
      <c r="G882" s="27" t="str">
        <f>IFERROR(VLOOKUP(C882,#REF!, 4, FALSE), "NO ENCONTRADO")</f>
        <v>NO ENCONTRADO</v>
      </c>
      <c r="H882" s="27" t="str">
        <f>IFERROR(VLOOKUP(C882,#REF!, 5, FALSE), "NO ENCONTRADO")</f>
        <v>NO ENCONTRADO</v>
      </c>
      <c r="I882" s="14"/>
      <c r="J882" s="27"/>
      <c r="K882" s="41"/>
      <c r="L882" s="14"/>
      <c r="M882" s="30">
        <f t="shared" ca="1" si="0"/>
        <v>46026</v>
      </c>
      <c r="N882" s="31" t="str">
        <f t="shared" ca="1" si="1"/>
        <v>✅</v>
      </c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 spans="1:28" ht="13" x14ac:dyDescent="0.15">
      <c r="A883" s="33">
        <f>'Scan to Sheets'!A883</f>
        <v>0</v>
      </c>
      <c r="B883" s="35">
        <f>'Scan to Sheets'!B883</f>
        <v>0</v>
      </c>
      <c r="C883" s="35">
        <f>'Scan to Sheets'!C883</f>
        <v>0</v>
      </c>
      <c r="D883" s="35">
        <f>'Scan to Sheets'!D883</f>
        <v>0</v>
      </c>
      <c r="E883" s="36" t="str">
        <f>IFERROR(VLOOKUP(C883,#REF!, 2, FALSE), "NO ENCONTRADO")</f>
        <v>NO ENCONTRADO</v>
      </c>
      <c r="F883" s="36" t="str">
        <f>IFERROR(VLOOKUP(C883,#REF!, 3, FALSE), "NO ENCONTRADO")</f>
        <v>NO ENCONTRADO</v>
      </c>
      <c r="G883" s="36" t="str">
        <f>IFERROR(VLOOKUP(C883,#REF!, 4, FALSE), "NO ENCONTRADO")</f>
        <v>NO ENCONTRADO</v>
      </c>
      <c r="H883" s="36" t="str">
        <f>IFERROR(VLOOKUP(C883,#REF!, 5, FALSE), "NO ENCONTRADO")</f>
        <v>NO ENCONTRADO</v>
      </c>
      <c r="I883" s="15"/>
      <c r="J883" s="36"/>
      <c r="K883" s="42"/>
      <c r="L883" s="15"/>
      <c r="M883" s="39">
        <f t="shared" ca="1" si="0"/>
        <v>46026</v>
      </c>
      <c r="N883" s="40" t="str">
        <f t="shared" ca="1" si="1"/>
        <v>✅</v>
      </c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 spans="1:28" ht="13" x14ac:dyDescent="0.15">
      <c r="A884" s="24">
        <f>'Scan to Sheets'!A884</f>
        <v>0</v>
      </c>
      <c r="B884" s="26">
        <f>'Scan to Sheets'!B884</f>
        <v>0</v>
      </c>
      <c r="C884" s="26">
        <f>'Scan to Sheets'!C884</f>
        <v>0</v>
      </c>
      <c r="D884" s="26">
        <f>'Scan to Sheets'!D884</f>
        <v>0</v>
      </c>
      <c r="E884" s="27" t="str">
        <f>IFERROR(VLOOKUP(C884,#REF!, 2, FALSE), "NO ENCONTRADO")</f>
        <v>NO ENCONTRADO</v>
      </c>
      <c r="F884" s="27" t="str">
        <f>IFERROR(VLOOKUP(C884,#REF!, 3, FALSE), "NO ENCONTRADO")</f>
        <v>NO ENCONTRADO</v>
      </c>
      <c r="G884" s="27" t="str">
        <f>IFERROR(VLOOKUP(C884,#REF!, 4, FALSE), "NO ENCONTRADO")</f>
        <v>NO ENCONTRADO</v>
      </c>
      <c r="H884" s="27" t="str">
        <f>IFERROR(VLOOKUP(C884,#REF!, 5, FALSE), "NO ENCONTRADO")</f>
        <v>NO ENCONTRADO</v>
      </c>
      <c r="I884" s="14"/>
      <c r="J884" s="27"/>
      <c r="K884" s="41"/>
      <c r="L884" s="14"/>
      <c r="M884" s="30">
        <f t="shared" ca="1" si="0"/>
        <v>46026</v>
      </c>
      <c r="N884" s="31" t="str">
        <f t="shared" ca="1" si="1"/>
        <v>✅</v>
      </c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 spans="1:28" ht="13" x14ac:dyDescent="0.15">
      <c r="A885" s="33">
        <f>'Scan to Sheets'!A885</f>
        <v>0</v>
      </c>
      <c r="B885" s="35">
        <f>'Scan to Sheets'!B885</f>
        <v>0</v>
      </c>
      <c r="C885" s="35">
        <f>'Scan to Sheets'!C885</f>
        <v>0</v>
      </c>
      <c r="D885" s="35">
        <f>'Scan to Sheets'!D885</f>
        <v>0</v>
      </c>
      <c r="E885" s="36" t="str">
        <f>IFERROR(VLOOKUP(C885,#REF!, 2, FALSE), "NO ENCONTRADO")</f>
        <v>NO ENCONTRADO</v>
      </c>
      <c r="F885" s="36" t="str">
        <f>IFERROR(VLOOKUP(C885,#REF!, 3, FALSE), "NO ENCONTRADO")</f>
        <v>NO ENCONTRADO</v>
      </c>
      <c r="G885" s="36" t="str">
        <f>IFERROR(VLOOKUP(C885,#REF!, 4, FALSE), "NO ENCONTRADO")</f>
        <v>NO ENCONTRADO</v>
      </c>
      <c r="H885" s="36" t="str">
        <f>IFERROR(VLOOKUP(C885,#REF!, 5, FALSE), "NO ENCONTRADO")</f>
        <v>NO ENCONTRADO</v>
      </c>
      <c r="I885" s="15"/>
      <c r="J885" s="36"/>
      <c r="K885" s="42"/>
      <c r="L885" s="15"/>
      <c r="M885" s="39">
        <f t="shared" ca="1" si="0"/>
        <v>46026</v>
      </c>
      <c r="N885" s="40" t="str">
        <f t="shared" ca="1" si="1"/>
        <v>✅</v>
      </c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 spans="1:28" ht="13" x14ac:dyDescent="0.15">
      <c r="A886" s="24">
        <f>'Scan to Sheets'!A886</f>
        <v>0</v>
      </c>
      <c r="B886" s="26">
        <f>'Scan to Sheets'!B886</f>
        <v>0</v>
      </c>
      <c r="C886" s="26">
        <f>'Scan to Sheets'!C886</f>
        <v>0</v>
      </c>
      <c r="D886" s="26">
        <f>'Scan to Sheets'!D886</f>
        <v>0</v>
      </c>
      <c r="E886" s="27" t="str">
        <f>IFERROR(VLOOKUP(C886,#REF!, 2, FALSE), "NO ENCONTRADO")</f>
        <v>NO ENCONTRADO</v>
      </c>
      <c r="F886" s="27" t="str">
        <f>IFERROR(VLOOKUP(C886,#REF!, 3, FALSE), "NO ENCONTRADO")</f>
        <v>NO ENCONTRADO</v>
      </c>
      <c r="G886" s="27" t="str">
        <f>IFERROR(VLOOKUP(C886,#REF!, 4, FALSE), "NO ENCONTRADO")</f>
        <v>NO ENCONTRADO</v>
      </c>
      <c r="H886" s="27" t="str">
        <f>IFERROR(VLOOKUP(C886,#REF!, 5, FALSE), "NO ENCONTRADO")</f>
        <v>NO ENCONTRADO</v>
      </c>
      <c r="I886" s="14"/>
      <c r="J886" s="27"/>
      <c r="K886" s="41"/>
      <c r="L886" s="14"/>
      <c r="M886" s="30">
        <f t="shared" ca="1" si="0"/>
        <v>46026</v>
      </c>
      <c r="N886" s="31" t="str">
        <f t="shared" ca="1" si="1"/>
        <v>✅</v>
      </c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 spans="1:28" ht="13" x14ac:dyDescent="0.15">
      <c r="A887" s="33">
        <f>'Scan to Sheets'!A887</f>
        <v>0</v>
      </c>
      <c r="B887" s="35">
        <f>'Scan to Sheets'!B887</f>
        <v>0</v>
      </c>
      <c r="C887" s="35">
        <f>'Scan to Sheets'!C887</f>
        <v>0</v>
      </c>
      <c r="D887" s="35">
        <f>'Scan to Sheets'!D887</f>
        <v>0</v>
      </c>
      <c r="E887" s="36" t="str">
        <f>IFERROR(VLOOKUP(C887,#REF!, 2, FALSE), "NO ENCONTRADO")</f>
        <v>NO ENCONTRADO</v>
      </c>
      <c r="F887" s="36" t="str">
        <f>IFERROR(VLOOKUP(C887,#REF!, 3, FALSE), "NO ENCONTRADO")</f>
        <v>NO ENCONTRADO</v>
      </c>
      <c r="G887" s="36" t="str">
        <f>IFERROR(VLOOKUP(C887,#REF!, 4, FALSE), "NO ENCONTRADO")</f>
        <v>NO ENCONTRADO</v>
      </c>
      <c r="H887" s="36" t="str">
        <f>IFERROR(VLOOKUP(C887,#REF!, 5, FALSE), "NO ENCONTRADO")</f>
        <v>NO ENCONTRADO</v>
      </c>
      <c r="I887" s="15"/>
      <c r="J887" s="36"/>
      <c r="K887" s="42"/>
      <c r="L887" s="15"/>
      <c r="M887" s="39">
        <f t="shared" ca="1" si="0"/>
        <v>46026</v>
      </c>
      <c r="N887" s="40" t="str">
        <f t="shared" ca="1" si="1"/>
        <v>✅</v>
      </c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 spans="1:28" ht="13" x14ac:dyDescent="0.15">
      <c r="A888" s="24">
        <f>'Scan to Sheets'!A888</f>
        <v>0</v>
      </c>
      <c r="B888" s="26">
        <f>'Scan to Sheets'!B888</f>
        <v>0</v>
      </c>
      <c r="C888" s="26">
        <f>'Scan to Sheets'!C888</f>
        <v>0</v>
      </c>
      <c r="D888" s="26">
        <f>'Scan to Sheets'!D888</f>
        <v>0</v>
      </c>
      <c r="E888" s="27" t="str">
        <f>IFERROR(VLOOKUP(C888,#REF!, 2, FALSE), "NO ENCONTRADO")</f>
        <v>NO ENCONTRADO</v>
      </c>
      <c r="F888" s="27" t="str">
        <f>IFERROR(VLOOKUP(C888,#REF!, 3, FALSE), "NO ENCONTRADO")</f>
        <v>NO ENCONTRADO</v>
      </c>
      <c r="G888" s="27" t="str">
        <f>IFERROR(VLOOKUP(C888,#REF!, 4, FALSE), "NO ENCONTRADO")</f>
        <v>NO ENCONTRADO</v>
      </c>
      <c r="H888" s="27" t="str">
        <f>IFERROR(VLOOKUP(C888,#REF!, 5, FALSE), "NO ENCONTRADO")</f>
        <v>NO ENCONTRADO</v>
      </c>
      <c r="I888" s="14"/>
      <c r="J888" s="27"/>
      <c r="K888" s="41"/>
      <c r="L888" s="14"/>
      <c r="M888" s="30">
        <f t="shared" ca="1" si="0"/>
        <v>46026</v>
      </c>
      <c r="N888" s="31" t="str">
        <f t="shared" ca="1" si="1"/>
        <v>✅</v>
      </c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 spans="1:28" ht="13" x14ac:dyDescent="0.15">
      <c r="A889" s="33">
        <f>'Scan to Sheets'!A889</f>
        <v>0</v>
      </c>
      <c r="B889" s="35">
        <f>'Scan to Sheets'!B889</f>
        <v>0</v>
      </c>
      <c r="C889" s="35">
        <f>'Scan to Sheets'!C889</f>
        <v>0</v>
      </c>
      <c r="D889" s="35">
        <f>'Scan to Sheets'!D889</f>
        <v>0</v>
      </c>
      <c r="E889" s="36" t="str">
        <f>IFERROR(VLOOKUP(C889,#REF!, 2, FALSE), "NO ENCONTRADO")</f>
        <v>NO ENCONTRADO</v>
      </c>
      <c r="F889" s="36" t="str">
        <f>IFERROR(VLOOKUP(C889,#REF!, 3, FALSE), "NO ENCONTRADO")</f>
        <v>NO ENCONTRADO</v>
      </c>
      <c r="G889" s="36" t="str">
        <f>IFERROR(VLOOKUP(C889,#REF!, 4, FALSE), "NO ENCONTRADO")</f>
        <v>NO ENCONTRADO</v>
      </c>
      <c r="H889" s="36" t="str">
        <f>IFERROR(VLOOKUP(C889,#REF!, 5, FALSE), "NO ENCONTRADO")</f>
        <v>NO ENCONTRADO</v>
      </c>
      <c r="I889" s="15"/>
      <c r="J889" s="36"/>
      <c r="K889" s="42"/>
      <c r="L889" s="15"/>
      <c r="M889" s="39">
        <f t="shared" ca="1" si="0"/>
        <v>46026</v>
      </c>
      <c r="N889" s="40" t="str">
        <f t="shared" ca="1" si="1"/>
        <v>✅</v>
      </c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 spans="1:28" ht="13" x14ac:dyDescent="0.15">
      <c r="A890" s="24">
        <f>'Scan to Sheets'!A890</f>
        <v>0</v>
      </c>
      <c r="B890" s="26">
        <f>'Scan to Sheets'!B890</f>
        <v>0</v>
      </c>
      <c r="C890" s="26">
        <f>'Scan to Sheets'!C890</f>
        <v>0</v>
      </c>
      <c r="D890" s="26">
        <f>'Scan to Sheets'!D890</f>
        <v>0</v>
      </c>
      <c r="E890" s="27" t="str">
        <f>IFERROR(VLOOKUP(C890,#REF!, 2, FALSE), "NO ENCONTRADO")</f>
        <v>NO ENCONTRADO</v>
      </c>
      <c r="F890" s="27" t="str">
        <f>IFERROR(VLOOKUP(C890,#REF!, 3, FALSE), "NO ENCONTRADO")</f>
        <v>NO ENCONTRADO</v>
      </c>
      <c r="G890" s="27" t="str">
        <f>IFERROR(VLOOKUP(C890,#REF!, 4, FALSE), "NO ENCONTRADO")</f>
        <v>NO ENCONTRADO</v>
      </c>
      <c r="H890" s="27" t="str">
        <f>IFERROR(VLOOKUP(C890,#REF!, 5, FALSE), "NO ENCONTRADO")</f>
        <v>NO ENCONTRADO</v>
      </c>
      <c r="I890" s="14"/>
      <c r="J890" s="27"/>
      <c r="K890" s="41"/>
      <c r="L890" s="14"/>
      <c r="M890" s="30">
        <f t="shared" ca="1" si="0"/>
        <v>46026</v>
      </c>
      <c r="N890" s="31" t="str">
        <f t="shared" ca="1" si="1"/>
        <v>✅</v>
      </c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 spans="1:28" ht="13" x14ac:dyDescent="0.15">
      <c r="A891" s="33">
        <f>'Scan to Sheets'!A891</f>
        <v>0</v>
      </c>
      <c r="B891" s="35">
        <f>'Scan to Sheets'!B891</f>
        <v>0</v>
      </c>
      <c r="C891" s="35">
        <f>'Scan to Sheets'!C891</f>
        <v>0</v>
      </c>
      <c r="D891" s="35">
        <f>'Scan to Sheets'!D891</f>
        <v>0</v>
      </c>
      <c r="E891" s="36" t="str">
        <f>IFERROR(VLOOKUP(C891,#REF!, 2, FALSE), "NO ENCONTRADO")</f>
        <v>NO ENCONTRADO</v>
      </c>
      <c r="F891" s="36" t="str">
        <f>IFERROR(VLOOKUP(C891,#REF!, 3, FALSE), "NO ENCONTRADO")</f>
        <v>NO ENCONTRADO</v>
      </c>
      <c r="G891" s="36" t="str">
        <f>IFERROR(VLOOKUP(C891,#REF!, 4, FALSE), "NO ENCONTRADO")</f>
        <v>NO ENCONTRADO</v>
      </c>
      <c r="H891" s="36" t="str">
        <f>IFERROR(VLOOKUP(C891,#REF!, 5, FALSE), "NO ENCONTRADO")</f>
        <v>NO ENCONTRADO</v>
      </c>
      <c r="I891" s="15"/>
      <c r="J891" s="36"/>
      <c r="K891" s="42"/>
      <c r="L891" s="15"/>
      <c r="M891" s="39">
        <f t="shared" ca="1" si="0"/>
        <v>46026</v>
      </c>
      <c r="N891" s="40" t="str">
        <f t="shared" ca="1" si="1"/>
        <v>✅</v>
      </c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 spans="1:28" ht="13" x14ac:dyDescent="0.15">
      <c r="A892" s="24">
        <f>'Scan to Sheets'!A892</f>
        <v>0</v>
      </c>
      <c r="B892" s="26">
        <f>'Scan to Sheets'!B892</f>
        <v>0</v>
      </c>
      <c r="C892" s="26">
        <f>'Scan to Sheets'!C892</f>
        <v>0</v>
      </c>
      <c r="D892" s="26">
        <f>'Scan to Sheets'!D892</f>
        <v>0</v>
      </c>
      <c r="E892" s="27" t="str">
        <f>IFERROR(VLOOKUP(C892,#REF!, 2, FALSE), "NO ENCONTRADO")</f>
        <v>NO ENCONTRADO</v>
      </c>
      <c r="F892" s="27" t="str">
        <f>IFERROR(VLOOKUP(C892,#REF!, 3, FALSE), "NO ENCONTRADO")</f>
        <v>NO ENCONTRADO</v>
      </c>
      <c r="G892" s="27" t="str">
        <f>IFERROR(VLOOKUP(C892,#REF!, 4, FALSE), "NO ENCONTRADO")</f>
        <v>NO ENCONTRADO</v>
      </c>
      <c r="H892" s="27" t="str">
        <f>IFERROR(VLOOKUP(C892,#REF!, 5, FALSE), "NO ENCONTRADO")</f>
        <v>NO ENCONTRADO</v>
      </c>
      <c r="I892" s="14"/>
      <c r="J892" s="27"/>
      <c r="K892" s="41"/>
      <c r="L892" s="14"/>
      <c r="M892" s="30">
        <f t="shared" ca="1" si="0"/>
        <v>46026</v>
      </c>
      <c r="N892" s="31" t="str">
        <f t="shared" ca="1" si="1"/>
        <v>✅</v>
      </c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 spans="1:28" ht="13" x14ac:dyDescent="0.15">
      <c r="A893" s="33">
        <f>'Scan to Sheets'!A893</f>
        <v>0</v>
      </c>
      <c r="B893" s="35">
        <f>'Scan to Sheets'!B893</f>
        <v>0</v>
      </c>
      <c r="C893" s="35">
        <f>'Scan to Sheets'!C893</f>
        <v>0</v>
      </c>
      <c r="D893" s="35">
        <f>'Scan to Sheets'!D893</f>
        <v>0</v>
      </c>
      <c r="E893" s="36" t="str">
        <f>IFERROR(VLOOKUP(C893,#REF!, 2, FALSE), "NO ENCONTRADO")</f>
        <v>NO ENCONTRADO</v>
      </c>
      <c r="F893" s="36" t="str">
        <f>IFERROR(VLOOKUP(C893,#REF!, 3, FALSE), "NO ENCONTRADO")</f>
        <v>NO ENCONTRADO</v>
      </c>
      <c r="G893" s="36" t="str">
        <f>IFERROR(VLOOKUP(C893,#REF!, 4, FALSE), "NO ENCONTRADO")</f>
        <v>NO ENCONTRADO</v>
      </c>
      <c r="H893" s="36" t="str">
        <f>IFERROR(VLOOKUP(C893,#REF!, 5, FALSE), "NO ENCONTRADO")</f>
        <v>NO ENCONTRADO</v>
      </c>
      <c r="I893" s="15"/>
      <c r="J893" s="36"/>
      <c r="K893" s="42"/>
      <c r="L893" s="15"/>
      <c r="M893" s="39">
        <f t="shared" ca="1" si="0"/>
        <v>46026</v>
      </c>
      <c r="N893" s="40" t="str">
        <f t="shared" ca="1" si="1"/>
        <v>✅</v>
      </c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 spans="1:28" ht="13" x14ac:dyDescent="0.15">
      <c r="A894" s="24">
        <f>'Scan to Sheets'!A894</f>
        <v>0</v>
      </c>
      <c r="B894" s="26">
        <f>'Scan to Sheets'!B894</f>
        <v>0</v>
      </c>
      <c r="C894" s="26">
        <f>'Scan to Sheets'!C894</f>
        <v>0</v>
      </c>
      <c r="D894" s="26">
        <f>'Scan to Sheets'!D894</f>
        <v>0</v>
      </c>
      <c r="E894" s="27" t="str">
        <f>IFERROR(VLOOKUP(C894,#REF!, 2, FALSE), "NO ENCONTRADO")</f>
        <v>NO ENCONTRADO</v>
      </c>
      <c r="F894" s="27" t="str">
        <f>IFERROR(VLOOKUP(C894,#REF!, 3, FALSE), "NO ENCONTRADO")</f>
        <v>NO ENCONTRADO</v>
      </c>
      <c r="G894" s="27" t="str">
        <f>IFERROR(VLOOKUP(C894,#REF!, 4, FALSE), "NO ENCONTRADO")</f>
        <v>NO ENCONTRADO</v>
      </c>
      <c r="H894" s="27" t="str">
        <f>IFERROR(VLOOKUP(C894,#REF!, 5, FALSE), "NO ENCONTRADO")</f>
        <v>NO ENCONTRADO</v>
      </c>
      <c r="I894" s="14"/>
      <c r="J894" s="27"/>
      <c r="K894" s="41"/>
      <c r="L894" s="14"/>
      <c r="M894" s="30">
        <f t="shared" ca="1" si="0"/>
        <v>46026</v>
      </c>
      <c r="N894" s="31" t="str">
        <f t="shared" ca="1" si="1"/>
        <v>✅</v>
      </c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 spans="1:28" ht="13" x14ac:dyDescent="0.15">
      <c r="A895" s="33">
        <f>'Scan to Sheets'!A895</f>
        <v>0</v>
      </c>
      <c r="B895" s="35">
        <f>'Scan to Sheets'!B895</f>
        <v>0</v>
      </c>
      <c r="C895" s="35">
        <f>'Scan to Sheets'!C895</f>
        <v>0</v>
      </c>
      <c r="D895" s="35">
        <f>'Scan to Sheets'!D895</f>
        <v>0</v>
      </c>
      <c r="E895" s="36" t="str">
        <f>IFERROR(VLOOKUP(C895,#REF!, 2, FALSE), "NO ENCONTRADO")</f>
        <v>NO ENCONTRADO</v>
      </c>
      <c r="F895" s="36" t="str">
        <f>IFERROR(VLOOKUP(C895,#REF!, 3, FALSE), "NO ENCONTRADO")</f>
        <v>NO ENCONTRADO</v>
      </c>
      <c r="G895" s="36" t="str">
        <f>IFERROR(VLOOKUP(C895,#REF!, 4, FALSE), "NO ENCONTRADO")</f>
        <v>NO ENCONTRADO</v>
      </c>
      <c r="H895" s="36" t="str">
        <f>IFERROR(VLOOKUP(C895,#REF!, 5, FALSE), "NO ENCONTRADO")</f>
        <v>NO ENCONTRADO</v>
      </c>
      <c r="I895" s="15"/>
      <c r="J895" s="36"/>
      <c r="K895" s="42"/>
      <c r="L895" s="15"/>
      <c r="M895" s="39">
        <f t="shared" ca="1" si="0"/>
        <v>46026</v>
      </c>
      <c r="N895" s="40" t="str">
        <f t="shared" ca="1" si="1"/>
        <v>✅</v>
      </c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 spans="1:28" ht="13" x14ac:dyDescent="0.15">
      <c r="A896" s="24">
        <f>'Scan to Sheets'!A896</f>
        <v>0</v>
      </c>
      <c r="B896" s="26">
        <f>'Scan to Sheets'!B896</f>
        <v>0</v>
      </c>
      <c r="C896" s="26">
        <f>'Scan to Sheets'!C896</f>
        <v>0</v>
      </c>
      <c r="D896" s="26">
        <f>'Scan to Sheets'!D896</f>
        <v>0</v>
      </c>
      <c r="E896" s="27" t="str">
        <f>IFERROR(VLOOKUP(C896,#REF!, 2, FALSE), "NO ENCONTRADO")</f>
        <v>NO ENCONTRADO</v>
      </c>
      <c r="F896" s="27" t="str">
        <f>IFERROR(VLOOKUP(C896,#REF!, 3, FALSE), "NO ENCONTRADO")</f>
        <v>NO ENCONTRADO</v>
      </c>
      <c r="G896" s="27" t="str">
        <f>IFERROR(VLOOKUP(C896,#REF!, 4, FALSE), "NO ENCONTRADO")</f>
        <v>NO ENCONTRADO</v>
      </c>
      <c r="H896" s="27" t="str">
        <f>IFERROR(VLOOKUP(C896,#REF!, 5, FALSE), "NO ENCONTRADO")</f>
        <v>NO ENCONTRADO</v>
      </c>
      <c r="I896" s="14"/>
      <c r="J896" s="27"/>
      <c r="K896" s="41"/>
      <c r="L896" s="14"/>
      <c r="M896" s="30">
        <f t="shared" ca="1" si="0"/>
        <v>46026</v>
      </c>
      <c r="N896" s="31" t="str">
        <f t="shared" ca="1" si="1"/>
        <v>✅</v>
      </c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 spans="1:28" ht="13" x14ac:dyDescent="0.15">
      <c r="A897" s="33">
        <f>'Scan to Sheets'!A897</f>
        <v>0</v>
      </c>
      <c r="B897" s="35">
        <f>'Scan to Sheets'!B897</f>
        <v>0</v>
      </c>
      <c r="C897" s="35">
        <f>'Scan to Sheets'!C897</f>
        <v>0</v>
      </c>
      <c r="D897" s="35">
        <f>'Scan to Sheets'!D897</f>
        <v>0</v>
      </c>
      <c r="E897" s="36" t="str">
        <f>IFERROR(VLOOKUP(C897,#REF!, 2, FALSE), "NO ENCONTRADO")</f>
        <v>NO ENCONTRADO</v>
      </c>
      <c r="F897" s="36" t="str">
        <f>IFERROR(VLOOKUP(C897,#REF!, 3, FALSE), "NO ENCONTRADO")</f>
        <v>NO ENCONTRADO</v>
      </c>
      <c r="G897" s="36" t="str">
        <f>IFERROR(VLOOKUP(C897,#REF!, 4, FALSE), "NO ENCONTRADO")</f>
        <v>NO ENCONTRADO</v>
      </c>
      <c r="H897" s="36" t="str">
        <f>IFERROR(VLOOKUP(C897,#REF!, 5, FALSE), "NO ENCONTRADO")</f>
        <v>NO ENCONTRADO</v>
      </c>
      <c r="I897" s="15"/>
      <c r="J897" s="36"/>
      <c r="K897" s="42"/>
      <c r="L897" s="15"/>
      <c r="M897" s="39">
        <f t="shared" ca="1" si="0"/>
        <v>46026</v>
      </c>
      <c r="N897" s="40" t="str">
        <f t="shared" ca="1" si="1"/>
        <v>✅</v>
      </c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 spans="1:28" ht="13" x14ac:dyDescent="0.15">
      <c r="A898" s="24">
        <f>'Scan to Sheets'!A898</f>
        <v>0</v>
      </c>
      <c r="B898" s="26">
        <f>'Scan to Sheets'!B898</f>
        <v>0</v>
      </c>
      <c r="C898" s="26">
        <f>'Scan to Sheets'!C898</f>
        <v>0</v>
      </c>
      <c r="D898" s="26">
        <f>'Scan to Sheets'!D898</f>
        <v>0</v>
      </c>
      <c r="E898" s="27" t="str">
        <f>IFERROR(VLOOKUP(C898,#REF!, 2, FALSE), "NO ENCONTRADO")</f>
        <v>NO ENCONTRADO</v>
      </c>
      <c r="F898" s="27" t="str">
        <f>IFERROR(VLOOKUP(C898,#REF!, 3, FALSE), "NO ENCONTRADO")</f>
        <v>NO ENCONTRADO</v>
      </c>
      <c r="G898" s="27" t="str">
        <f>IFERROR(VLOOKUP(C898,#REF!, 4, FALSE), "NO ENCONTRADO")</f>
        <v>NO ENCONTRADO</v>
      </c>
      <c r="H898" s="27" t="str">
        <f>IFERROR(VLOOKUP(C898,#REF!, 5, FALSE), "NO ENCONTRADO")</f>
        <v>NO ENCONTRADO</v>
      </c>
      <c r="I898" s="14"/>
      <c r="J898" s="27"/>
      <c r="K898" s="41"/>
      <c r="L898" s="14"/>
      <c r="M898" s="30">
        <f t="shared" ca="1" si="0"/>
        <v>46026</v>
      </c>
      <c r="N898" s="31" t="str">
        <f t="shared" ca="1" si="1"/>
        <v>✅</v>
      </c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 spans="1:28" ht="13" x14ac:dyDescent="0.15">
      <c r="A899" s="33">
        <f>'Scan to Sheets'!A899</f>
        <v>0</v>
      </c>
      <c r="B899" s="35">
        <f>'Scan to Sheets'!B899</f>
        <v>0</v>
      </c>
      <c r="C899" s="35">
        <f>'Scan to Sheets'!C899</f>
        <v>0</v>
      </c>
      <c r="D899" s="35">
        <f>'Scan to Sheets'!D899</f>
        <v>0</v>
      </c>
      <c r="E899" s="36" t="str">
        <f>IFERROR(VLOOKUP(C899,#REF!, 2, FALSE), "NO ENCONTRADO")</f>
        <v>NO ENCONTRADO</v>
      </c>
      <c r="F899" s="36" t="str">
        <f>IFERROR(VLOOKUP(C899,#REF!, 3, FALSE), "NO ENCONTRADO")</f>
        <v>NO ENCONTRADO</v>
      </c>
      <c r="G899" s="36" t="str">
        <f>IFERROR(VLOOKUP(C899,#REF!, 4, FALSE), "NO ENCONTRADO")</f>
        <v>NO ENCONTRADO</v>
      </c>
      <c r="H899" s="36" t="str">
        <f>IFERROR(VLOOKUP(C899,#REF!, 5, FALSE), "NO ENCONTRADO")</f>
        <v>NO ENCONTRADO</v>
      </c>
      <c r="I899" s="15"/>
      <c r="J899" s="36"/>
      <c r="K899" s="42"/>
      <c r="L899" s="15"/>
      <c r="M899" s="39">
        <f t="shared" ca="1" si="0"/>
        <v>46026</v>
      </c>
      <c r="N899" s="40" t="str">
        <f t="shared" ca="1" si="1"/>
        <v>✅</v>
      </c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 spans="1:28" ht="13" x14ac:dyDescent="0.15">
      <c r="A900" s="24">
        <f>'Scan to Sheets'!A900</f>
        <v>0</v>
      </c>
      <c r="B900" s="26">
        <f>'Scan to Sheets'!B900</f>
        <v>0</v>
      </c>
      <c r="C900" s="26">
        <f>'Scan to Sheets'!C900</f>
        <v>0</v>
      </c>
      <c r="D900" s="26">
        <f>'Scan to Sheets'!D900</f>
        <v>0</v>
      </c>
      <c r="E900" s="27" t="str">
        <f>IFERROR(VLOOKUP(C900,#REF!, 2, FALSE), "NO ENCONTRADO")</f>
        <v>NO ENCONTRADO</v>
      </c>
      <c r="F900" s="27" t="str">
        <f>IFERROR(VLOOKUP(C900,#REF!, 3, FALSE), "NO ENCONTRADO")</f>
        <v>NO ENCONTRADO</v>
      </c>
      <c r="G900" s="27" t="str">
        <f>IFERROR(VLOOKUP(C900,#REF!, 4, FALSE), "NO ENCONTRADO")</f>
        <v>NO ENCONTRADO</v>
      </c>
      <c r="H900" s="27" t="str">
        <f>IFERROR(VLOOKUP(C900,#REF!, 5, FALSE), "NO ENCONTRADO")</f>
        <v>NO ENCONTRADO</v>
      </c>
      <c r="I900" s="14"/>
      <c r="J900" s="27"/>
      <c r="K900" s="41"/>
      <c r="L900" s="14"/>
      <c r="M900" s="30">
        <f t="shared" ca="1" si="0"/>
        <v>46026</v>
      </c>
      <c r="N900" s="31" t="str">
        <f t="shared" ca="1" si="1"/>
        <v>✅</v>
      </c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 spans="1:28" ht="13" x14ac:dyDescent="0.15">
      <c r="A901" s="33">
        <f>'Scan to Sheets'!A901</f>
        <v>0</v>
      </c>
      <c r="B901" s="35">
        <f>'Scan to Sheets'!B901</f>
        <v>0</v>
      </c>
      <c r="C901" s="35">
        <f>'Scan to Sheets'!C901</f>
        <v>0</v>
      </c>
      <c r="D901" s="35">
        <f>'Scan to Sheets'!D901</f>
        <v>0</v>
      </c>
      <c r="E901" s="36" t="str">
        <f>IFERROR(VLOOKUP(C901,#REF!, 2, FALSE), "NO ENCONTRADO")</f>
        <v>NO ENCONTRADO</v>
      </c>
      <c r="F901" s="36" t="str">
        <f>IFERROR(VLOOKUP(C901,#REF!, 3, FALSE), "NO ENCONTRADO")</f>
        <v>NO ENCONTRADO</v>
      </c>
      <c r="G901" s="36" t="str">
        <f>IFERROR(VLOOKUP(C901,#REF!, 4, FALSE), "NO ENCONTRADO")</f>
        <v>NO ENCONTRADO</v>
      </c>
      <c r="H901" s="36" t="str">
        <f>IFERROR(VLOOKUP(C901,#REF!, 5, FALSE), "NO ENCONTRADO")</f>
        <v>NO ENCONTRADO</v>
      </c>
      <c r="I901" s="15"/>
      <c r="J901" s="36"/>
      <c r="K901" s="42"/>
      <c r="L901" s="15"/>
      <c r="M901" s="39">
        <f t="shared" ca="1" si="0"/>
        <v>46026</v>
      </c>
      <c r="N901" s="40" t="str">
        <f t="shared" ca="1" si="1"/>
        <v>✅</v>
      </c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 spans="1:28" ht="13" x14ac:dyDescent="0.15">
      <c r="A902" s="24">
        <f>'Scan to Sheets'!A902</f>
        <v>0</v>
      </c>
      <c r="B902" s="26">
        <f>'Scan to Sheets'!B902</f>
        <v>0</v>
      </c>
      <c r="C902" s="26">
        <f>'Scan to Sheets'!C902</f>
        <v>0</v>
      </c>
      <c r="D902" s="26">
        <f>'Scan to Sheets'!D902</f>
        <v>0</v>
      </c>
      <c r="E902" s="27" t="str">
        <f>IFERROR(VLOOKUP(C902,#REF!, 2, FALSE), "NO ENCONTRADO")</f>
        <v>NO ENCONTRADO</v>
      </c>
      <c r="F902" s="27" t="str">
        <f>IFERROR(VLOOKUP(C902,#REF!, 3, FALSE), "NO ENCONTRADO")</f>
        <v>NO ENCONTRADO</v>
      </c>
      <c r="G902" s="27" t="str">
        <f>IFERROR(VLOOKUP(C902,#REF!, 4, FALSE), "NO ENCONTRADO")</f>
        <v>NO ENCONTRADO</v>
      </c>
      <c r="H902" s="27" t="str">
        <f>IFERROR(VLOOKUP(C902,#REF!, 5, FALSE), "NO ENCONTRADO")</f>
        <v>NO ENCONTRADO</v>
      </c>
      <c r="I902" s="14"/>
      <c r="J902" s="27"/>
      <c r="K902" s="41"/>
      <c r="L902" s="14"/>
      <c r="M902" s="30">
        <f t="shared" ca="1" si="0"/>
        <v>46026</v>
      </c>
      <c r="N902" s="31" t="str">
        <f t="shared" ca="1" si="1"/>
        <v>✅</v>
      </c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 spans="1:28" ht="13" x14ac:dyDescent="0.15">
      <c r="A903" s="43">
        <f>'Scan to Sheets'!A903</f>
        <v>0</v>
      </c>
      <c r="B903" s="44">
        <f>'Scan to Sheets'!B903</f>
        <v>0</v>
      </c>
      <c r="C903" s="44">
        <f>'Scan to Sheets'!C903</f>
        <v>0</v>
      </c>
      <c r="D903" s="44">
        <f>'Scan to Sheets'!D903</f>
        <v>0</v>
      </c>
      <c r="E903" s="45" t="str">
        <f>IFERROR(VLOOKUP(C903,#REF!, 2, FALSE), "NO ENCONTRADO")</f>
        <v>NO ENCONTRADO</v>
      </c>
      <c r="F903" s="45" t="str">
        <f>IFERROR(VLOOKUP(C903,#REF!, 3, FALSE), "NO ENCONTRADO")</f>
        <v>NO ENCONTRADO</v>
      </c>
      <c r="G903" s="45" t="str">
        <f>IFERROR(VLOOKUP(C903,#REF!, 4, FALSE), "NO ENCONTRADO")</f>
        <v>NO ENCONTRADO</v>
      </c>
      <c r="H903" s="45" t="str">
        <f>IFERROR(VLOOKUP(C903,#REF!, 5, FALSE), "NO ENCONTRADO")</f>
        <v>NO ENCONTRADO</v>
      </c>
      <c r="I903" s="46"/>
      <c r="J903" s="45"/>
      <c r="K903" s="47"/>
      <c r="L903" s="46"/>
      <c r="M903" s="48">
        <f t="shared" ca="1" si="0"/>
        <v>46026</v>
      </c>
      <c r="N903" s="49" t="str">
        <f t="shared" ca="1" si="1"/>
        <v>✅</v>
      </c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 spans="1:28" ht="13" x14ac:dyDescent="0.1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23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 spans="1:28" ht="13" x14ac:dyDescent="0.1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23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 spans="1:28" ht="13" x14ac:dyDescent="0.1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23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 spans="1:28" ht="13" x14ac:dyDescent="0.1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23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 spans="1:28" ht="13" x14ac:dyDescent="0.1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23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 spans="1:28" ht="13" x14ac:dyDescent="0.1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23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 spans="1:28" ht="13" x14ac:dyDescent="0.1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23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 spans="1:28" ht="13" x14ac:dyDescent="0.1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23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 spans="1:28" ht="13" x14ac:dyDescent="0.1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23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 spans="1:28" ht="13" x14ac:dyDescent="0.1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23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 spans="1:28" ht="13" x14ac:dyDescent="0.1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23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 spans="1:28" ht="13" x14ac:dyDescent="0.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23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 spans="1:28" ht="13" x14ac:dyDescent="0.1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23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 spans="1:28" ht="13" x14ac:dyDescent="0.1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23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 spans="1:28" ht="13" x14ac:dyDescent="0.1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23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 spans="1:28" ht="13" x14ac:dyDescent="0.1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23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 spans="1:28" ht="13" x14ac:dyDescent="0.1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23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 spans="1:28" ht="13" x14ac:dyDescent="0.1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23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 spans="1:28" ht="13" x14ac:dyDescent="0.1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23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 spans="1:28" ht="13" x14ac:dyDescent="0.1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23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 spans="1:28" ht="13" x14ac:dyDescent="0.1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23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 spans="1:28" ht="13" x14ac:dyDescent="0.1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23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 spans="1:28" ht="13" x14ac:dyDescent="0.1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23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 spans="1:28" ht="13" x14ac:dyDescent="0.1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23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 spans="1:28" ht="13" x14ac:dyDescent="0.1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23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 spans="1:28" ht="13" x14ac:dyDescent="0.1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23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 spans="1:28" ht="13" x14ac:dyDescent="0.1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23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 spans="1:28" ht="13" x14ac:dyDescent="0.1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23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 spans="1:28" ht="13" x14ac:dyDescent="0.1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23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 spans="1:28" ht="13" x14ac:dyDescent="0.1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23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 spans="1:28" ht="13" x14ac:dyDescent="0.1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23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 spans="1:28" ht="13" x14ac:dyDescent="0.1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23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 spans="1:28" ht="13" x14ac:dyDescent="0.1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23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 spans="1:28" ht="13" x14ac:dyDescent="0.1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23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 spans="1:28" ht="13" x14ac:dyDescent="0.1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23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 spans="1:28" ht="13" x14ac:dyDescent="0.1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23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 spans="1:28" ht="13" x14ac:dyDescent="0.1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23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 spans="1:28" ht="13" x14ac:dyDescent="0.1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23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 spans="1:28" ht="13" x14ac:dyDescent="0.1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23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 spans="1:28" ht="13" x14ac:dyDescent="0.1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23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 spans="1:28" ht="13" x14ac:dyDescent="0.1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23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 spans="1:28" ht="13" x14ac:dyDescent="0.1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23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 spans="1:28" ht="13" x14ac:dyDescent="0.1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23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 spans="1:28" ht="13" x14ac:dyDescent="0.1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23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 spans="1:28" ht="13" x14ac:dyDescent="0.1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23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 spans="1:28" ht="13" x14ac:dyDescent="0.1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23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 spans="1:28" ht="13" x14ac:dyDescent="0.1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23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 spans="1:28" ht="13" x14ac:dyDescent="0.1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23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 spans="1:28" ht="13" x14ac:dyDescent="0.1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23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 spans="1:28" ht="13" x14ac:dyDescent="0.1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23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 spans="1:28" ht="13" x14ac:dyDescent="0.1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23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 spans="1:28" ht="13" x14ac:dyDescent="0.1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23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 spans="1:28" ht="13" x14ac:dyDescent="0.1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23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 spans="1:28" ht="13" x14ac:dyDescent="0.1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23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 spans="1:28" ht="13" x14ac:dyDescent="0.1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23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 spans="1:28" ht="13" x14ac:dyDescent="0.1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23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 spans="1:28" ht="13" x14ac:dyDescent="0.1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23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 spans="1:28" ht="13" x14ac:dyDescent="0.1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23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 spans="1:28" ht="13" x14ac:dyDescent="0.1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23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 spans="1:28" ht="13" x14ac:dyDescent="0.1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23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 spans="1:28" ht="13" x14ac:dyDescent="0.1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23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 spans="1:28" ht="13" x14ac:dyDescent="0.1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23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 spans="1:28" ht="13" x14ac:dyDescent="0.1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23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 spans="1:28" ht="13" x14ac:dyDescent="0.1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23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 spans="1:28" ht="13" x14ac:dyDescent="0.1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23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 spans="1:28" ht="13" x14ac:dyDescent="0.1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23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 spans="1:28" ht="13" x14ac:dyDescent="0.1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23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 spans="1:28" ht="13" x14ac:dyDescent="0.1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23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 spans="1:28" ht="13" x14ac:dyDescent="0.1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23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 spans="1:28" ht="13" x14ac:dyDescent="0.1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23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 spans="1:28" ht="13" x14ac:dyDescent="0.1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23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 spans="1:28" ht="13" x14ac:dyDescent="0.1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23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 spans="1:28" ht="13" x14ac:dyDescent="0.1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23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 spans="1:28" ht="13" x14ac:dyDescent="0.1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23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 spans="1:28" ht="13" x14ac:dyDescent="0.1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23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 spans="1:28" ht="13" x14ac:dyDescent="0.1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23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 spans="1:28" ht="13" x14ac:dyDescent="0.1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23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 spans="1:28" ht="13" x14ac:dyDescent="0.1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23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 spans="1:28" ht="13" x14ac:dyDescent="0.1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23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 spans="1:28" ht="13" x14ac:dyDescent="0.1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23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 spans="1:28" ht="13" x14ac:dyDescent="0.1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23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 spans="1:28" ht="13" x14ac:dyDescent="0.1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23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 spans="1:28" ht="13" x14ac:dyDescent="0.1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23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 spans="1:28" ht="13" x14ac:dyDescent="0.1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23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 spans="1:28" ht="13" x14ac:dyDescent="0.1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23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 spans="1:28" ht="13" x14ac:dyDescent="0.1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23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 spans="1:28" ht="13" x14ac:dyDescent="0.1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23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 spans="1:28" ht="13" x14ac:dyDescent="0.1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23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 spans="1:28" ht="13" x14ac:dyDescent="0.1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23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 spans="1:28" ht="13" x14ac:dyDescent="0.1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23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 spans="1:28" ht="13" x14ac:dyDescent="0.1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23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 spans="1:28" ht="13" x14ac:dyDescent="0.1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23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 spans="1:28" ht="13" x14ac:dyDescent="0.1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23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 spans="1:28" ht="13" x14ac:dyDescent="0.1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23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 spans="1:28" ht="13" x14ac:dyDescent="0.1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23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 spans="1:28" ht="13" x14ac:dyDescent="0.1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23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 spans="1:28" ht="13" x14ac:dyDescent="0.1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23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  <row r="1001" spans="1:28" ht="13" x14ac:dyDescent="0.15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23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</row>
    <row r="1002" spans="1:28" ht="13" x14ac:dyDescent="0.15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23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</row>
    <row r="1003" spans="1:28" ht="13" x14ac:dyDescent="0.15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23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</row>
    <row r="1004" spans="1:28" ht="13" x14ac:dyDescent="0.15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23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</row>
    <row r="1005" spans="1:28" ht="13" x14ac:dyDescent="0.1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23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</row>
    <row r="1006" spans="1:28" ht="13" x14ac:dyDescent="0.15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23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</row>
    <row r="1007" spans="1:28" ht="13" x14ac:dyDescent="0.15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23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</row>
    <row r="1008" spans="1:28" ht="13" x14ac:dyDescent="0.15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23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</row>
    <row r="1009" spans="1:28" ht="13" x14ac:dyDescent="0.15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23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</row>
    <row r="1010" spans="1:28" ht="13" x14ac:dyDescent="0.15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23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</row>
    <row r="1011" spans="1:28" ht="13" x14ac:dyDescent="0.15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23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</row>
    <row r="1012" spans="1:28" ht="13" x14ac:dyDescent="0.15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23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</row>
    <row r="1013" spans="1:28" ht="13" x14ac:dyDescent="0.15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23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</row>
    <row r="1014" spans="1:28" ht="13" x14ac:dyDescent="0.15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23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</row>
    <row r="1015" spans="1:28" ht="13" x14ac:dyDescent="0.1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23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</row>
    <row r="1016" spans="1:28" ht="13" x14ac:dyDescent="0.15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23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</row>
    <row r="1017" spans="1:28" ht="13" x14ac:dyDescent="0.15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23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</row>
    <row r="1018" spans="1:28" ht="13" x14ac:dyDescent="0.15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23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</row>
    <row r="1019" spans="1:28" ht="13" x14ac:dyDescent="0.15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23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</row>
    <row r="1020" spans="1:28" ht="13" x14ac:dyDescent="0.15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23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</row>
    <row r="1021" spans="1:28" ht="13" x14ac:dyDescent="0.15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23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</row>
    <row r="1022" spans="1:28" ht="13" x14ac:dyDescent="0.15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23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</row>
    <row r="1023" spans="1:28" ht="13" x14ac:dyDescent="0.15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23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</row>
    <row r="1024" spans="1:28" ht="13" x14ac:dyDescent="0.15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23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</row>
    <row r="1025" spans="1:28" ht="13" x14ac:dyDescent="0.15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23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</row>
    <row r="1026" spans="1:28" ht="13" x14ac:dyDescent="0.15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23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</row>
    <row r="1027" spans="1:28" ht="13" x14ac:dyDescent="0.15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23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</row>
    <row r="1028" spans="1:28" ht="13" x14ac:dyDescent="0.15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23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</row>
    <row r="1029" spans="1:28" ht="13" x14ac:dyDescent="0.15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23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</row>
    <row r="1030" spans="1:28" ht="13" x14ac:dyDescent="0.15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23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</row>
    <row r="1031" spans="1:28" ht="13" x14ac:dyDescent="0.15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23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</row>
    <row r="1032" spans="1:28" ht="13" x14ac:dyDescent="0.15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23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</row>
    <row r="1033" spans="1:28" ht="13" x14ac:dyDescent="0.15">
      <c r="A1033" s="32"/>
      <c r="B1033" s="32"/>
      <c r="C1033" s="32"/>
      <c r="D1033" s="32"/>
      <c r="E1033" s="32"/>
      <c r="F1033" s="32"/>
      <c r="G1033" s="32"/>
      <c r="H1033" s="32"/>
      <c r="I1033" s="32"/>
      <c r="J1033" s="32"/>
      <c r="K1033" s="32"/>
      <c r="L1033" s="32"/>
      <c r="M1033" s="23"/>
      <c r="N1033" s="32"/>
      <c r="O1033" s="32"/>
      <c r="P1033" s="32"/>
      <c r="Q1033" s="32"/>
      <c r="R1033" s="32"/>
      <c r="S1033" s="32"/>
      <c r="T1033" s="32"/>
      <c r="U1033" s="32"/>
      <c r="V1033" s="32"/>
      <c r="W1033" s="32"/>
      <c r="X1033" s="32"/>
      <c r="Y1033" s="32"/>
      <c r="Z1033" s="32"/>
      <c r="AA1033" s="32"/>
      <c r="AB1033" s="32"/>
    </row>
    <row r="1034" spans="1:28" ht="13" x14ac:dyDescent="0.15">
      <c r="A1034" s="32"/>
      <c r="B1034" s="32"/>
      <c r="C1034" s="32"/>
      <c r="D1034" s="32"/>
      <c r="E1034" s="32"/>
      <c r="F1034" s="32"/>
      <c r="G1034" s="32"/>
      <c r="H1034" s="32"/>
      <c r="I1034" s="32"/>
      <c r="J1034" s="32"/>
      <c r="K1034" s="32"/>
      <c r="L1034" s="32"/>
      <c r="M1034" s="23"/>
      <c r="N1034" s="32"/>
      <c r="O1034" s="32"/>
      <c r="P1034" s="32"/>
      <c r="Q1034" s="32"/>
      <c r="R1034" s="32"/>
      <c r="S1034" s="32"/>
      <c r="T1034" s="32"/>
      <c r="U1034" s="32"/>
      <c r="V1034" s="32"/>
      <c r="W1034" s="32"/>
      <c r="X1034" s="32"/>
      <c r="Y1034" s="32"/>
      <c r="Z1034" s="32"/>
      <c r="AA1034" s="32"/>
      <c r="AB1034" s="32"/>
    </row>
    <row r="1035" spans="1:28" ht="13" x14ac:dyDescent="0.15">
      <c r="A1035" s="32"/>
      <c r="B1035" s="32"/>
      <c r="C1035" s="32"/>
      <c r="D1035" s="32"/>
      <c r="E1035" s="32"/>
      <c r="F1035" s="32"/>
      <c r="G1035" s="32"/>
      <c r="H1035" s="32"/>
      <c r="I1035" s="32"/>
      <c r="J1035" s="32"/>
      <c r="K1035" s="32"/>
      <c r="L1035" s="32"/>
      <c r="M1035" s="23"/>
      <c r="N1035" s="32"/>
      <c r="O1035" s="32"/>
      <c r="P1035" s="32"/>
      <c r="Q1035" s="32"/>
      <c r="R1035" s="32"/>
      <c r="S1035" s="32"/>
      <c r="T1035" s="32"/>
      <c r="U1035" s="32"/>
      <c r="V1035" s="32"/>
      <c r="W1035" s="32"/>
      <c r="X1035" s="32"/>
      <c r="Y1035" s="32"/>
      <c r="Z1035" s="32"/>
      <c r="AA1035" s="32"/>
      <c r="AB1035" s="32"/>
    </row>
    <row r="1036" spans="1:28" ht="13" x14ac:dyDescent="0.15">
      <c r="A1036" s="32"/>
      <c r="B1036" s="32"/>
      <c r="C1036" s="32"/>
      <c r="D1036" s="32"/>
      <c r="E1036" s="32"/>
      <c r="F1036" s="32"/>
      <c r="G1036" s="32"/>
      <c r="H1036" s="32"/>
      <c r="I1036" s="32"/>
      <c r="J1036" s="32"/>
      <c r="K1036" s="32"/>
      <c r="L1036" s="32"/>
      <c r="M1036" s="23"/>
      <c r="N1036" s="32"/>
      <c r="O1036" s="32"/>
      <c r="P1036" s="32"/>
      <c r="Q1036" s="32"/>
      <c r="R1036" s="32"/>
      <c r="S1036" s="32"/>
      <c r="T1036" s="32"/>
      <c r="U1036" s="32"/>
      <c r="V1036" s="32"/>
      <c r="W1036" s="32"/>
      <c r="X1036" s="32"/>
      <c r="Y1036" s="32"/>
      <c r="Z1036" s="32"/>
      <c r="AA1036" s="32"/>
      <c r="AB1036" s="32"/>
    </row>
    <row r="1037" spans="1:28" ht="13" x14ac:dyDescent="0.15">
      <c r="A1037" s="32"/>
      <c r="B1037" s="32"/>
      <c r="C1037" s="32"/>
      <c r="D1037" s="32"/>
      <c r="E1037" s="32"/>
      <c r="F1037" s="32"/>
      <c r="G1037" s="32"/>
      <c r="H1037" s="32"/>
      <c r="I1037" s="32"/>
      <c r="J1037" s="32"/>
      <c r="K1037" s="32"/>
      <c r="L1037" s="32"/>
      <c r="M1037" s="23"/>
      <c r="N1037" s="32"/>
      <c r="O1037" s="32"/>
      <c r="P1037" s="32"/>
      <c r="Q1037" s="32"/>
      <c r="R1037" s="32"/>
      <c r="S1037" s="32"/>
      <c r="T1037" s="32"/>
      <c r="U1037" s="32"/>
      <c r="V1037" s="32"/>
      <c r="W1037" s="32"/>
      <c r="X1037" s="32"/>
      <c r="Y1037" s="32"/>
      <c r="Z1037" s="32"/>
      <c r="AA1037" s="32"/>
      <c r="AB1037" s="32"/>
    </row>
    <row r="1038" spans="1:28" ht="13" x14ac:dyDescent="0.15">
      <c r="A1038" s="32"/>
      <c r="B1038" s="32"/>
      <c r="C1038" s="32"/>
      <c r="D1038" s="32"/>
      <c r="E1038" s="32"/>
      <c r="F1038" s="32"/>
      <c r="G1038" s="32"/>
      <c r="H1038" s="32"/>
      <c r="I1038" s="32"/>
      <c r="J1038" s="32"/>
      <c r="K1038" s="32"/>
      <c r="L1038" s="32"/>
      <c r="M1038" s="23"/>
      <c r="N1038" s="32"/>
      <c r="O1038" s="32"/>
      <c r="P1038" s="32"/>
      <c r="Q1038" s="32"/>
      <c r="R1038" s="32"/>
      <c r="S1038" s="32"/>
      <c r="T1038" s="32"/>
      <c r="U1038" s="32"/>
      <c r="V1038" s="32"/>
      <c r="W1038" s="32"/>
      <c r="X1038" s="32"/>
      <c r="Y1038" s="32"/>
      <c r="Z1038" s="32"/>
      <c r="AA1038" s="32"/>
      <c r="AB1038" s="32"/>
    </row>
    <row r="1039" spans="1:28" ht="13" x14ac:dyDescent="0.15">
      <c r="A1039" s="32"/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  <c r="M1039" s="23"/>
      <c r="N1039" s="32"/>
      <c r="O1039" s="32"/>
      <c r="P1039" s="32"/>
      <c r="Q1039" s="32"/>
      <c r="R1039" s="32"/>
      <c r="S1039" s="32"/>
      <c r="T1039" s="32"/>
      <c r="U1039" s="32"/>
      <c r="V1039" s="32"/>
      <c r="W1039" s="32"/>
      <c r="X1039" s="32"/>
      <c r="Y1039" s="32"/>
      <c r="Z1039" s="32"/>
      <c r="AA1039" s="32"/>
      <c r="AB1039" s="32"/>
    </row>
    <row r="1040" spans="1:28" ht="13" x14ac:dyDescent="0.15">
      <c r="A1040" s="32"/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  <c r="M1040" s="23"/>
      <c r="N1040" s="32"/>
      <c r="O1040" s="32"/>
      <c r="P1040" s="32"/>
      <c r="Q1040" s="32"/>
      <c r="R1040" s="32"/>
      <c r="S1040" s="32"/>
      <c r="T1040" s="32"/>
      <c r="U1040" s="32"/>
      <c r="V1040" s="32"/>
      <c r="W1040" s="32"/>
      <c r="X1040" s="32"/>
      <c r="Y1040" s="32"/>
      <c r="Z1040" s="32"/>
      <c r="AA1040" s="32"/>
      <c r="AB1040" s="32"/>
    </row>
    <row r="1041" spans="1:28" ht="13" x14ac:dyDescent="0.15">
      <c r="A1041" s="32"/>
      <c r="B1041" s="32"/>
      <c r="C1041" s="32"/>
      <c r="D1041" s="32"/>
      <c r="E1041" s="32"/>
      <c r="F1041" s="32"/>
      <c r="G1041" s="32"/>
      <c r="H1041" s="32"/>
      <c r="I1041" s="32"/>
      <c r="J1041" s="32"/>
      <c r="K1041" s="32"/>
      <c r="L1041" s="32"/>
      <c r="M1041" s="23"/>
      <c r="N1041" s="32"/>
      <c r="O1041" s="32"/>
      <c r="P1041" s="32"/>
      <c r="Q1041" s="32"/>
      <c r="R1041" s="32"/>
      <c r="S1041" s="32"/>
      <c r="T1041" s="32"/>
      <c r="U1041" s="32"/>
      <c r="V1041" s="32"/>
      <c r="W1041" s="32"/>
      <c r="X1041" s="32"/>
      <c r="Y1041" s="32"/>
      <c r="Z1041" s="32"/>
      <c r="AA1041" s="32"/>
      <c r="AB1041" s="32"/>
    </row>
    <row r="1042" spans="1:28" ht="13" x14ac:dyDescent="0.15">
      <c r="A1042" s="32"/>
      <c r="B1042" s="32"/>
      <c r="C1042" s="32"/>
      <c r="D1042" s="32"/>
      <c r="E1042" s="32"/>
      <c r="F1042" s="32"/>
      <c r="G1042" s="32"/>
      <c r="H1042" s="32"/>
      <c r="I1042" s="32"/>
      <c r="J1042" s="32"/>
      <c r="K1042" s="32"/>
      <c r="L1042" s="32"/>
      <c r="M1042" s="23"/>
      <c r="N1042" s="32"/>
      <c r="O1042" s="32"/>
      <c r="P1042" s="32"/>
      <c r="Q1042" s="32"/>
      <c r="R1042" s="32"/>
      <c r="S1042" s="32"/>
      <c r="T1042" s="32"/>
      <c r="U1042" s="32"/>
      <c r="V1042" s="32"/>
      <c r="W1042" s="32"/>
      <c r="X1042" s="32"/>
      <c r="Y1042" s="32"/>
      <c r="Z1042" s="32"/>
      <c r="AA1042" s="32"/>
      <c r="AB1042" s="32"/>
    </row>
    <row r="1043" spans="1:28" ht="13" x14ac:dyDescent="0.15">
      <c r="A1043" s="32"/>
      <c r="B1043" s="32"/>
      <c r="C1043" s="32"/>
      <c r="D1043" s="32"/>
      <c r="E1043" s="32"/>
      <c r="F1043" s="32"/>
      <c r="G1043" s="32"/>
      <c r="H1043" s="32"/>
      <c r="I1043" s="32"/>
      <c r="J1043" s="32"/>
      <c r="K1043" s="32"/>
      <c r="L1043" s="32"/>
      <c r="M1043" s="23"/>
      <c r="N1043" s="32"/>
      <c r="O1043" s="32"/>
      <c r="P1043" s="32"/>
      <c r="Q1043" s="32"/>
      <c r="R1043" s="32"/>
      <c r="S1043" s="32"/>
      <c r="T1043" s="32"/>
      <c r="U1043" s="32"/>
      <c r="V1043" s="32"/>
      <c r="W1043" s="32"/>
      <c r="X1043" s="32"/>
      <c r="Y1043" s="32"/>
      <c r="Z1043" s="32"/>
      <c r="AA1043" s="32"/>
      <c r="AB1043" s="32"/>
    </row>
    <row r="1044" spans="1:28" ht="13" x14ac:dyDescent="0.15">
      <c r="A1044" s="32"/>
      <c r="B1044" s="32"/>
      <c r="C1044" s="32"/>
      <c r="D1044" s="32"/>
      <c r="E1044" s="32"/>
      <c r="F1044" s="32"/>
      <c r="G1044" s="32"/>
      <c r="H1044" s="32"/>
      <c r="I1044" s="32"/>
      <c r="J1044" s="32"/>
      <c r="K1044" s="32"/>
      <c r="L1044" s="32"/>
      <c r="M1044" s="23"/>
      <c r="N1044" s="32"/>
      <c r="O1044" s="32"/>
      <c r="P1044" s="32"/>
      <c r="Q1044" s="32"/>
      <c r="R1044" s="32"/>
      <c r="S1044" s="32"/>
      <c r="T1044" s="32"/>
      <c r="U1044" s="32"/>
      <c r="V1044" s="32"/>
      <c r="W1044" s="32"/>
      <c r="X1044" s="32"/>
      <c r="Y1044" s="32"/>
      <c r="Z1044" s="32"/>
      <c r="AA1044" s="32"/>
      <c r="AB1044" s="32"/>
    </row>
    <row r="1045" spans="1:28" ht="13" x14ac:dyDescent="0.15">
      <c r="A1045" s="32"/>
      <c r="B1045" s="32"/>
      <c r="C1045" s="32"/>
      <c r="D1045" s="32"/>
      <c r="E1045" s="32"/>
      <c r="F1045" s="32"/>
      <c r="G1045" s="32"/>
      <c r="H1045" s="32"/>
      <c r="I1045" s="32"/>
      <c r="J1045" s="32"/>
      <c r="K1045" s="32"/>
      <c r="L1045" s="32"/>
      <c r="M1045" s="23"/>
      <c r="N1045" s="32"/>
      <c r="O1045" s="32"/>
      <c r="P1045" s="32"/>
      <c r="Q1045" s="32"/>
      <c r="R1045" s="32"/>
      <c r="S1045" s="32"/>
      <c r="T1045" s="32"/>
      <c r="U1045" s="32"/>
      <c r="V1045" s="32"/>
      <c r="W1045" s="32"/>
      <c r="X1045" s="32"/>
      <c r="Y1045" s="32"/>
      <c r="Z1045" s="32"/>
      <c r="AA1045" s="32"/>
      <c r="AB1045" s="32"/>
    </row>
    <row r="1046" spans="1:28" ht="13" x14ac:dyDescent="0.15">
      <c r="A1046" s="32"/>
      <c r="B1046" s="32"/>
      <c r="C1046" s="32"/>
      <c r="D1046" s="32"/>
      <c r="E1046" s="32"/>
      <c r="F1046" s="32"/>
      <c r="G1046" s="32"/>
      <c r="H1046" s="32"/>
      <c r="I1046" s="32"/>
      <c r="J1046" s="32"/>
      <c r="K1046" s="32"/>
      <c r="L1046" s="32"/>
      <c r="M1046" s="23"/>
      <c r="N1046" s="32"/>
      <c r="O1046" s="32"/>
      <c r="P1046" s="32"/>
      <c r="Q1046" s="32"/>
      <c r="R1046" s="32"/>
      <c r="S1046" s="32"/>
      <c r="T1046" s="32"/>
      <c r="U1046" s="32"/>
      <c r="V1046" s="32"/>
      <c r="W1046" s="32"/>
      <c r="X1046" s="32"/>
      <c r="Y1046" s="32"/>
      <c r="Z1046" s="32"/>
      <c r="AA1046" s="32"/>
      <c r="AB1046" s="32"/>
    </row>
    <row r="1047" spans="1:28" ht="13" x14ac:dyDescent="0.15">
      <c r="A1047" s="32"/>
      <c r="B1047" s="32"/>
      <c r="C1047" s="32"/>
      <c r="D1047" s="32"/>
      <c r="E1047" s="32"/>
      <c r="F1047" s="32"/>
      <c r="G1047" s="32"/>
      <c r="H1047" s="32"/>
      <c r="I1047" s="32"/>
      <c r="J1047" s="32"/>
      <c r="K1047" s="32"/>
      <c r="L1047" s="32"/>
      <c r="M1047" s="23"/>
      <c r="N1047" s="32"/>
      <c r="O1047" s="32"/>
      <c r="P1047" s="32"/>
      <c r="Q1047" s="32"/>
      <c r="R1047" s="32"/>
      <c r="S1047" s="32"/>
      <c r="T1047" s="32"/>
      <c r="U1047" s="32"/>
      <c r="V1047" s="32"/>
      <c r="W1047" s="32"/>
      <c r="X1047" s="32"/>
      <c r="Y1047" s="32"/>
      <c r="Z1047" s="32"/>
      <c r="AA1047" s="32"/>
      <c r="AB1047" s="32"/>
    </row>
    <row r="1048" spans="1:28" ht="13" x14ac:dyDescent="0.15">
      <c r="A1048" s="32"/>
      <c r="B1048" s="32"/>
      <c r="C1048" s="32"/>
      <c r="D1048" s="32"/>
      <c r="E1048" s="32"/>
      <c r="F1048" s="32"/>
      <c r="G1048" s="32"/>
      <c r="H1048" s="32"/>
      <c r="I1048" s="32"/>
      <c r="J1048" s="32"/>
      <c r="K1048" s="32"/>
      <c r="L1048" s="32"/>
      <c r="M1048" s="23"/>
      <c r="N1048" s="32"/>
      <c r="O1048" s="32"/>
      <c r="P1048" s="32"/>
      <c r="Q1048" s="32"/>
      <c r="R1048" s="32"/>
      <c r="S1048" s="32"/>
      <c r="T1048" s="32"/>
      <c r="U1048" s="32"/>
      <c r="V1048" s="32"/>
      <c r="W1048" s="32"/>
      <c r="X1048" s="32"/>
      <c r="Y1048" s="32"/>
      <c r="Z1048" s="32"/>
      <c r="AA1048" s="32"/>
      <c r="AB1048" s="32"/>
    </row>
    <row r="1049" spans="1:28" ht="13" x14ac:dyDescent="0.15">
      <c r="A1049" s="32"/>
      <c r="B1049" s="32"/>
      <c r="C1049" s="32"/>
      <c r="D1049" s="32"/>
      <c r="E1049" s="32"/>
      <c r="F1049" s="32"/>
      <c r="G1049" s="32"/>
      <c r="H1049" s="32"/>
      <c r="I1049" s="32"/>
      <c r="J1049" s="32"/>
      <c r="K1049" s="32"/>
      <c r="L1049" s="32"/>
      <c r="M1049" s="23"/>
      <c r="N1049" s="32"/>
      <c r="O1049" s="32"/>
      <c r="P1049" s="32"/>
      <c r="Q1049" s="32"/>
      <c r="R1049" s="32"/>
      <c r="S1049" s="32"/>
      <c r="T1049" s="32"/>
      <c r="U1049" s="32"/>
      <c r="V1049" s="32"/>
      <c r="W1049" s="32"/>
      <c r="X1049" s="32"/>
      <c r="Y1049" s="32"/>
      <c r="Z1049" s="32"/>
      <c r="AA1049" s="32"/>
      <c r="AB1049" s="32"/>
    </row>
    <row r="1050" spans="1:28" ht="13" x14ac:dyDescent="0.15">
      <c r="A1050" s="32"/>
      <c r="B1050" s="32"/>
      <c r="C1050" s="32"/>
      <c r="D1050" s="32"/>
      <c r="E1050" s="32"/>
      <c r="F1050" s="32"/>
      <c r="G1050" s="32"/>
      <c r="H1050" s="32"/>
      <c r="I1050" s="32"/>
      <c r="J1050" s="32"/>
      <c r="K1050" s="32"/>
      <c r="L1050" s="32"/>
      <c r="M1050" s="23"/>
      <c r="N1050" s="32"/>
      <c r="O1050" s="32"/>
      <c r="P1050" s="32"/>
      <c r="Q1050" s="32"/>
      <c r="R1050" s="32"/>
      <c r="S1050" s="32"/>
      <c r="T1050" s="32"/>
      <c r="U1050" s="32"/>
      <c r="V1050" s="32"/>
      <c r="W1050" s="32"/>
      <c r="X1050" s="32"/>
      <c r="Y1050" s="32"/>
      <c r="Z1050" s="32"/>
      <c r="AA1050" s="32"/>
      <c r="AB1050" s="32"/>
    </row>
    <row r="1051" spans="1:28" ht="13" x14ac:dyDescent="0.15">
      <c r="A1051" s="32"/>
      <c r="B1051" s="32"/>
      <c r="C1051" s="32"/>
      <c r="D1051" s="32"/>
      <c r="E1051" s="32"/>
      <c r="F1051" s="32"/>
      <c r="G1051" s="32"/>
      <c r="H1051" s="32"/>
      <c r="I1051" s="32"/>
      <c r="J1051" s="32"/>
      <c r="K1051" s="32"/>
      <c r="L1051" s="32"/>
      <c r="M1051" s="23"/>
      <c r="N1051" s="32"/>
      <c r="O1051" s="32"/>
      <c r="P1051" s="32"/>
      <c r="Q1051" s="32"/>
      <c r="R1051" s="32"/>
      <c r="S1051" s="32"/>
      <c r="T1051" s="32"/>
      <c r="U1051" s="32"/>
      <c r="V1051" s="32"/>
      <c r="W1051" s="32"/>
      <c r="X1051" s="32"/>
      <c r="Y1051" s="32"/>
      <c r="Z1051" s="32"/>
      <c r="AA1051" s="32"/>
      <c r="AB1051" s="32"/>
    </row>
    <row r="1052" spans="1:28" ht="13" x14ac:dyDescent="0.15">
      <c r="A1052" s="32"/>
      <c r="B1052" s="32"/>
      <c r="C1052" s="32"/>
      <c r="D1052" s="32"/>
      <c r="E1052" s="32"/>
      <c r="F1052" s="32"/>
      <c r="G1052" s="32"/>
      <c r="H1052" s="32"/>
      <c r="I1052" s="32"/>
      <c r="J1052" s="32"/>
      <c r="K1052" s="32"/>
      <c r="L1052" s="32"/>
      <c r="M1052" s="23"/>
      <c r="N1052" s="32"/>
      <c r="O1052" s="32"/>
      <c r="P1052" s="32"/>
      <c r="Q1052" s="32"/>
      <c r="R1052" s="32"/>
      <c r="S1052" s="32"/>
      <c r="T1052" s="32"/>
      <c r="U1052" s="32"/>
      <c r="V1052" s="32"/>
      <c r="W1052" s="32"/>
      <c r="X1052" s="32"/>
      <c r="Y1052" s="32"/>
      <c r="Z1052" s="32"/>
      <c r="AA1052" s="32"/>
      <c r="AB1052" s="32"/>
    </row>
    <row r="1053" spans="1:28" ht="13" x14ac:dyDescent="0.15">
      <c r="A1053" s="32"/>
      <c r="B1053" s="32"/>
      <c r="C1053" s="32"/>
      <c r="D1053" s="32"/>
      <c r="E1053" s="32"/>
      <c r="F1053" s="32"/>
      <c r="G1053" s="32"/>
      <c r="H1053" s="32"/>
      <c r="I1053" s="32"/>
      <c r="J1053" s="32"/>
      <c r="K1053" s="32"/>
      <c r="L1053" s="32"/>
      <c r="M1053" s="23"/>
      <c r="N1053" s="32"/>
      <c r="O1053" s="32"/>
      <c r="P1053" s="32"/>
      <c r="Q1053" s="32"/>
      <c r="R1053" s="32"/>
      <c r="S1053" s="32"/>
      <c r="T1053" s="32"/>
      <c r="U1053" s="32"/>
      <c r="V1053" s="32"/>
      <c r="W1053" s="32"/>
      <c r="X1053" s="32"/>
      <c r="Y1053" s="32"/>
      <c r="Z1053" s="32"/>
      <c r="AA1053" s="32"/>
      <c r="AB1053" s="32"/>
    </row>
    <row r="1054" spans="1:28" ht="13" x14ac:dyDescent="0.15">
      <c r="A1054" s="32"/>
      <c r="B1054" s="32"/>
      <c r="C1054" s="32"/>
      <c r="D1054" s="32"/>
      <c r="E1054" s="32"/>
      <c r="F1054" s="32"/>
      <c r="G1054" s="32"/>
      <c r="H1054" s="32"/>
      <c r="I1054" s="32"/>
      <c r="J1054" s="32"/>
      <c r="K1054" s="32"/>
      <c r="L1054" s="32"/>
      <c r="M1054" s="23"/>
      <c r="N1054" s="32"/>
      <c r="O1054" s="32"/>
      <c r="P1054" s="32"/>
      <c r="Q1054" s="32"/>
      <c r="R1054" s="32"/>
      <c r="S1054" s="32"/>
      <c r="T1054" s="32"/>
      <c r="U1054" s="32"/>
      <c r="V1054" s="32"/>
      <c r="W1054" s="32"/>
      <c r="X1054" s="32"/>
      <c r="Y1054" s="32"/>
      <c r="Z1054" s="32"/>
      <c r="AA1054" s="32"/>
      <c r="AB1054" s="32"/>
    </row>
    <row r="1055" spans="1:28" ht="13" x14ac:dyDescent="0.15">
      <c r="A1055" s="32"/>
      <c r="B1055" s="32"/>
      <c r="C1055" s="32"/>
      <c r="D1055" s="32"/>
      <c r="E1055" s="32"/>
      <c r="F1055" s="32"/>
      <c r="G1055" s="32"/>
      <c r="H1055" s="32"/>
      <c r="I1055" s="32"/>
      <c r="J1055" s="32"/>
      <c r="K1055" s="32"/>
      <c r="L1055" s="32"/>
      <c r="M1055" s="23"/>
      <c r="N1055" s="32"/>
      <c r="O1055" s="32"/>
      <c r="P1055" s="32"/>
      <c r="Q1055" s="32"/>
      <c r="R1055" s="32"/>
      <c r="S1055" s="32"/>
      <c r="T1055" s="32"/>
      <c r="U1055" s="32"/>
      <c r="V1055" s="32"/>
      <c r="W1055" s="32"/>
      <c r="X1055" s="32"/>
      <c r="Y1055" s="32"/>
      <c r="Z1055" s="32"/>
      <c r="AA1055" s="32"/>
      <c r="AB1055" s="32"/>
    </row>
    <row r="1056" spans="1:28" ht="13" x14ac:dyDescent="0.15">
      <c r="A1056" s="32"/>
      <c r="B1056" s="32"/>
      <c r="C1056" s="32"/>
      <c r="D1056" s="32"/>
      <c r="E1056" s="32"/>
      <c r="F1056" s="32"/>
      <c r="G1056" s="32"/>
      <c r="H1056" s="32"/>
      <c r="I1056" s="32"/>
      <c r="J1056" s="32"/>
      <c r="K1056" s="32"/>
      <c r="L1056" s="32"/>
      <c r="M1056" s="23"/>
      <c r="N1056" s="32"/>
      <c r="O1056" s="32"/>
      <c r="P1056" s="32"/>
      <c r="Q1056" s="32"/>
      <c r="R1056" s="32"/>
      <c r="S1056" s="32"/>
      <c r="T1056" s="32"/>
      <c r="U1056" s="32"/>
      <c r="V1056" s="32"/>
      <c r="W1056" s="32"/>
      <c r="X1056" s="32"/>
      <c r="Y1056" s="32"/>
      <c r="Z1056" s="32"/>
      <c r="AA1056" s="32"/>
      <c r="AB1056" s="32"/>
    </row>
    <row r="1057" spans="1:28" ht="13" x14ac:dyDescent="0.15">
      <c r="A1057" s="32"/>
      <c r="B1057" s="32"/>
      <c r="C1057" s="32"/>
      <c r="D1057" s="32"/>
      <c r="E1057" s="32"/>
      <c r="F1057" s="32"/>
      <c r="G1057" s="32"/>
      <c r="H1057" s="32"/>
      <c r="I1057" s="32"/>
      <c r="J1057" s="32"/>
      <c r="K1057" s="32"/>
      <c r="L1057" s="32"/>
      <c r="M1057" s="23"/>
      <c r="N1057" s="32"/>
      <c r="O1057" s="32"/>
      <c r="P1057" s="32"/>
      <c r="Q1057" s="32"/>
      <c r="R1057" s="32"/>
      <c r="S1057" s="32"/>
      <c r="T1057" s="32"/>
      <c r="U1057" s="32"/>
      <c r="V1057" s="32"/>
      <c r="W1057" s="32"/>
      <c r="X1057" s="32"/>
      <c r="Y1057" s="32"/>
      <c r="Z1057" s="32"/>
      <c r="AA1057" s="32"/>
      <c r="AB1057" s="32"/>
    </row>
    <row r="1058" spans="1:28" ht="13" x14ac:dyDescent="0.15">
      <c r="A1058" s="32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  <c r="M1058" s="23"/>
      <c r="N1058" s="32"/>
      <c r="O1058" s="32"/>
      <c r="P1058" s="32"/>
      <c r="Q1058" s="32"/>
      <c r="R1058" s="32"/>
      <c r="S1058" s="32"/>
      <c r="T1058" s="32"/>
      <c r="U1058" s="32"/>
      <c r="V1058" s="32"/>
      <c r="W1058" s="32"/>
      <c r="X1058" s="32"/>
      <c r="Y1058" s="32"/>
      <c r="Z1058" s="32"/>
      <c r="AA1058" s="32"/>
      <c r="AB1058" s="32"/>
    </row>
    <row r="1059" spans="1:28" ht="13" x14ac:dyDescent="0.15">
      <c r="A1059" s="32"/>
      <c r="B1059" s="32"/>
      <c r="C1059" s="32"/>
      <c r="D1059" s="32"/>
      <c r="E1059" s="32"/>
      <c r="F1059" s="32"/>
      <c r="G1059" s="32"/>
      <c r="H1059" s="32"/>
      <c r="I1059" s="32"/>
      <c r="J1059" s="32"/>
      <c r="K1059" s="32"/>
      <c r="L1059" s="32"/>
      <c r="M1059" s="23"/>
      <c r="N1059" s="32"/>
      <c r="O1059" s="32"/>
      <c r="P1059" s="32"/>
      <c r="Q1059" s="32"/>
      <c r="R1059" s="32"/>
      <c r="S1059" s="32"/>
      <c r="T1059" s="32"/>
      <c r="U1059" s="32"/>
      <c r="V1059" s="32"/>
      <c r="W1059" s="32"/>
      <c r="X1059" s="32"/>
      <c r="Y1059" s="32"/>
      <c r="Z1059" s="32"/>
      <c r="AA1059" s="32"/>
      <c r="AB1059" s="32"/>
    </row>
    <row r="1060" spans="1:28" ht="13" x14ac:dyDescent="0.15">
      <c r="A1060" s="32"/>
      <c r="B1060" s="32"/>
      <c r="C1060" s="32"/>
      <c r="D1060" s="32"/>
      <c r="E1060" s="32"/>
      <c r="F1060" s="32"/>
      <c r="G1060" s="32"/>
      <c r="H1060" s="32"/>
      <c r="I1060" s="32"/>
      <c r="J1060" s="32"/>
      <c r="K1060" s="32"/>
      <c r="L1060" s="32"/>
      <c r="M1060" s="23"/>
      <c r="N1060" s="32"/>
      <c r="O1060" s="32"/>
      <c r="P1060" s="32"/>
      <c r="Q1060" s="32"/>
      <c r="R1060" s="32"/>
      <c r="S1060" s="32"/>
      <c r="T1060" s="32"/>
      <c r="U1060" s="32"/>
      <c r="V1060" s="32"/>
      <c r="W1060" s="32"/>
      <c r="X1060" s="32"/>
      <c r="Y1060" s="32"/>
      <c r="Z1060" s="32"/>
      <c r="AA1060" s="32"/>
      <c r="AB1060" s="32"/>
    </row>
    <row r="1061" spans="1:28" ht="13" x14ac:dyDescent="0.15">
      <c r="A1061" s="32"/>
      <c r="B1061" s="32"/>
      <c r="C1061" s="32"/>
      <c r="D1061" s="32"/>
      <c r="E1061" s="32"/>
      <c r="F1061" s="32"/>
      <c r="G1061" s="32"/>
      <c r="H1061" s="32"/>
      <c r="I1061" s="32"/>
      <c r="J1061" s="32"/>
      <c r="K1061" s="32"/>
      <c r="L1061" s="32"/>
      <c r="M1061" s="23"/>
      <c r="N1061" s="32"/>
      <c r="O1061" s="32"/>
      <c r="P1061" s="32"/>
      <c r="Q1061" s="32"/>
      <c r="R1061" s="32"/>
      <c r="S1061" s="32"/>
      <c r="T1061" s="32"/>
      <c r="U1061" s="32"/>
      <c r="V1061" s="32"/>
      <c r="W1061" s="32"/>
      <c r="X1061" s="32"/>
      <c r="Y1061" s="32"/>
      <c r="Z1061" s="32"/>
      <c r="AA1061" s="32"/>
      <c r="AB1061" s="32"/>
    </row>
    <row r="1062" spans="1:28" ht="13" x14ac:dyDescent="0.15">
      <c r="A1062" s="32"/>
      <c r="B1062" s="32"/>
      <c r="C1062" s="32"/>
      <c r="D1062" s="32"/>
      <c r="E1062" s="32"/>
      <c r="F1062" s="32"/>
      <c r="G1062" s="32"/>
      <c r="H1062" s="32"/>
      <c r="I1062" s="32"/>
      <c r="J1062" s="32"/>
      <c r="K1062" s="32"/>
      <c r="L1062" s="32"/>
      <c r="M1062" s="23"/>
      <c r="N1062" s="32"/>
      <c r="O1062" s="32"/>
      <c r="P1062" s="32"/>
      <c r="Q1062" s="32"/>
      <c r="R1062" s="32"/>
      <c r="S1062" s="32"/>
      <c r="T1062" s="32"/>
      <c r="U1062" s="32"/>
      <c r="V1062" s="32"/>
      <c r="W1062" s="32"/>
      <c r="X1062" s="32"/>
      <c r="Y1062" s="32"/>
      <c r="Z1062" s="32"/>
      <c r="AA1062" s="32"/>
      <c r="AB1062" s="32"/>
    </row>
    <row r="1063" spans="1:28" ht="13" x14ac:dyDescent="0.15">
      <c r="A1063" s="32"/>
      <c r="B1063" s="32"/>
      <c r="C1063" s="32"/>
      <c r="D1063" s="32"/>
      <c r="E1063" s="32"/>
      <c r="F1063" s="32"/>
      <c r="G1063" s="32"/>
      <c r="H1063" s="32"/>
      <c r="I1063" s="32"/>
      <c r="J1063" s="32"/>
      <c r="K1063" s="32"/>
      <c r="L1063" s="32"/>
      <c r="M1063" s="23"/>
      <c r="N1063" s="32"/>
      <c r="O1063" s="32"/>
      <c r="P1063" s="32"/>
      <c r="Q1063" s="32"/>
      <c r="R1063" s="32"/>
      <c r="S1063" s="32"/>
      <c r="T1063" s="32"/>
      <c r="U1063" s="32"/>
      <c r="V1063" s="32"/>
      <c r="W1063" s="32"/>
      <c r="X1063" s="32"/>
      <c r="Y1063" s="32"/>
      <c r="Z1063" s="32"/>
      <c r="AA1063" s="32"/>
      <c r="AB1063" s="32"/>
    </row>
    <row r="1064" spans="1:28" ht="13" x14ac:dyDescent="0.15">
      <c r="A1064" s="32"/>
      <c r="B1064" s="32"/>
      <c r="C1064" s="32"/>
      <c r="D1064" s="32"/>
      <c r="E1064" s="32"/>
      <c r="F1064" s="32"/>
      <c r="G1064" s="32"/>
      <c r="H1064" s="32"/>
      <c r="I1064" s="32"/>
      <c r="J1064" s="32"/>
      <c r="K1064" s="32"/>
      <c r="L1064" s="32"/>
      <c r="M1064" s="23"/>
      <c r="N1064" s="32"/>
      <c r="O1064" s="32"/>
      <c r="P1064" s="32"/>
      <c r="Q1064" s="32"/>
      <c r="R1064" s="32"/>
      <c r="S1064" s="32"/>
      <c r="T1064" s="32"/>
      <c r="U1064" s="32"/>
      <c r="V1064" s="32"/>
      <c r="W1064" s="32"/>
      <c r="X1064" s="32"/>
      <c r="Y1064" s="32"/>
      <c r="Z1064" s="32"/>
      <c r="AA1064" s="32"/>
      <c r="AB1064" s="32"/>
    </row>
    <row r="1065" spans="1:28" ht="13" x14ac:dyDescent="0.15">
      <c r="A1065" s="32"/>
      <c r="B1065" s="32"/>
      <c r="C1065" s="32"/>
      <c r="D1065" s="32"/>
      <c r="E1065" s="32"/>
      <c r="F1065" s="32"/>
      <c r="G1065" s="32"/>
      <c r="H1065" s="32"/>
      <c r="I1065" s="32"/>
      <c r="J1065" s="32"/>
      <c r="K1065" s="32"/>
      <c r="L1065" s="32"/>
      <c r="M1065" s="23"/>
      <c r="N1065" s="32"/>
      <c r="O1065" s="32"/>
      <c r="P1065" s="32"/>
      <c r="Q1065" s="32"/>
      <c r="R1065" s="32"/>
      <c r="S1065" s="32"/>
      <c r="T1065" s="32"/>
      <c r="U1065" s="32"/>
      <c r="V1065" s="32"/>
      <c r="W1065" s="32"/>
      <c r="X1065" s="32"/>
      <c r="Y1065" s="32"/>
      <c r="Z1065" s="32"/>
      <c r="AA1065" s="32"/>
      <c r="AB1065" s="32"/>
    </row>
    <row r="1066" spans="1:28" ht="13" x14ac:dyDescent="0.15">
      <c r="A1066" s="32"/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  <c r="M1066" s="23"/>
      <c r="N1066" s="32"/>
      <c r="O1066" s="32"/>
      <c r="P1066" s="32"/>
      <c r="Q1066" s="32"/>
      <c r="R1066" s="32"/>
      <c r="S1066" s="32"/>
      <c r="T1066" s="32"/>
      <c r="U1066" s="32"/>
      <c r="V1066" s="32"/>
      <c r="W1066" s="32"/>
      <c r="X1066" s="32"/>
      <c r="Y1066" s="32"/>
      <c r="Z1066" s="32"/>
      <c r="AA1066" s="32"/>
      <c r="AB1066" s="32"/>
    </row>
    <row r="1067" spans="1:28" ht="13" x14ac:dyDescent="0.15">
      <c r="A1067" s="32"/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  <c r="M1067" s="23"/>
      <c r="N1067" s="32"/>
      <c r="O1067" s="32"/>
      <c r="P1067" s="32"/>
      <c r="Q1067" s="32"/>
      <c r="R1067" s="32"/>
      <c r="S1067" s="32"/>
      <c r="T1067" s="32"/>
      <c r="U1067" s="32"/>
      <c r="V1067" s="32"/>
      <c r="W1067" s="32"/>
      <c r="X1067" s="32"/>
      <c r="Y1067" s="32"/>
      <c r="Z1067" s="32"/>
      <c r="AA1067" s="32"/>
      <c r="AB1067" s="32"/>
    </row>
    <row r="1068" spans="1:28" ht="13" x14ac:dyDescent="0.15">
      <c r="A1068" s="32"/>
      <c r="B1068" s="32"/>
      <c r="C1068" s="32"/>
      <c r="D1068" s="32"/>
      <c r="E1068" s="32"/>
      <c r="F1068" s="32"/>
      <c r="G1068" s="32"/>
      <c r="H1068" s="32"/>
      <c r="I1068" s="32"/>
      <c r="J1068" s="32"/>
      <c r="K1068" s="32"/>
      <c r="L1068" s="32"/>
      <c r="M1068" s="23"/>
      <c r="N1068" s="32"/>
      <c r="O1068" s="32"/>
      <c r="P1068" s="32"/>
      <c r="Q1068" s="32"/>
      <c r="R1068" s="32"/>
      <c r="S1068" s="32"/>
      <c r="T1068" s="32"/>
      <c r="U1068" s="32"/>
      <c r="V1068" s="32"/>
      <c r="W1068" s="32"/>
      <c r="X1068" s="32"/>
      <c r="Y1068" s="32"/>
      <c r="Z1068" s="32"/>
      <c r="AA1068" s="32"/>
      <c r="AB1068" s="32"/>
    </row>
    <row r="1069" spans="1:28" ht="13" x14ac:dyDescent="0.15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23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</row>
    <row r="1070" spans="1:28" ht="13" x14ac:dyDescent="0.15">
      <c r="A1070" s="32"/>
      <c r="B1070" s="32"/>
      <c r="C1070" s="32"/>
      <c r="D1070" s="32"/>
      <c r="E1070" s="32"/>
      <c r="F1070" s="32"/>
      <c r="G1070" s="32"/>
      <c r="H1070" s="32"/>
      <c r="I1070" s="32"/>
      <c r="J1070" s="32"/>
      <c r="K1070" s="32"/>
      <c r="L1070" s="32"/>
      <c r="M1070" s="23"/>
      <c r="N1070" s="32"/>
      <c r="O1070" s="32"/>
      <c r="P1070" s="32"/>
      <c r="Q1070" s="32"/>
      <c r="R1070" s="32"/>
      <c r="S1070" s="32"/>
      <c r="T1070" s="32"/>
      <c r="U1070" s="32"/>
      <c r="V1070" s="32"/>
      <c r="W1070" s="32"/>
      <c r="X1070" s="32"/>
      <c r="Y1070" s="32"/>
      <c r="Z1070" s="32"/>
      <c r="AA1070" s="32"/>
      <c r="AB1070" s="32"/>
    </row>
    <row r="1071" spans="1:28" ht="13" x14ac:dyDescent="0.15">
      <c r="A1071" s="32"/>
      <c r="B1071" s="32"/>
      <c r="C1071" s="32"/>
      <c r="D1071" s="32"/>
      <c r="E1071" s="32"/>
      <c r="F1071" s="32"/>
      <c r="G1071" s="32"/>
      <c r="H1071" s="32"/>
      <c r="I1071" s="32"/>
      <c r="J1071" s="32"/>
      <c r="K1071" s="32"/>
      <c r="L1071" s="32"/>
      <c r="M1071" s="23"/>
      <c r="N1071" s="32"/>
      <c r="O1071" s="32"/>
      <c r="P1071" s="32"/>
      <c r="Q1071" s="32"/>
      <c r="R1071" s="32"/>
      <c r="S1071" s="32"/>
      <c r="T1071" s="32"/>
      <c r="U1071" s="32"/>
      <c r="V1071" s="32"/>
      <c r="W1071" s="32"/>
      <c r="X1071" s="32"/>
      <c r="Y1071" s="32"/>
      <c r="Z1071" s="32"/>
      <c r="AA1071" s="32"/>
      <c r="AB1071" s="32"/>
    </row>
    <row r="1072" spans="1:28" ht="13" x14ac:dyDescent="0.15">
      <c r="A1072" s="32"/>
      <c r="B1072" s="32"/>
      <c r="C1072" s="32"/>
      <c r="D1072" s="32"/>
      <c r="E1072" s="32"/>
      <c r="F1072" s="32"/>
      <c r="G1072" s="32"/>
      <c r="H1072" s="32"/>
      <c r="I1072" s="32"/>
      <c r="J1072" s="32"/>
      <c r="K1072" s="32"/>
      <c r="L1072" s="32"/>
      <c r="M1072" s="23"/>
      <c r="N1072" s="32"/>
      <c r="O1072" s="32"/>
      <c r="P1072" s="32"/>
      <c r="Q1072" s="32"/>
      <c r="R1072" s="32"/>
      <c r="S1072" s="32"/>
      <c r="T1072" s="32"/>
      <c r="U1072" s="32"/>
      <c r="V1072" s="32"/>
      <c r="W1072" s="32"/>
      <c r="X1072" s="32"/>
      <c r="Y1072" s="32"/>
      <c r="Z1072" s="32"/>
      <c r="AA1072" s="32"/>
      <c r="AB1072" s="32"/>
    </row>
    <row r="1073" spans="1:28" ht="13" x14ac:dyDescent="0.15">
      <c r="A1073" s="32"/>
      <c r="B1073" s="32"/>
      <c r="C1073" s="32"/>
      <c r="D1073" s="32"/>
      <c r="E1073" s="32"/>
      <c r="F1073" s="32"/>
      <c r="G1073" s="32"/>
      <c r="H1073" s="32"/>
      <c r="I1073" s="32"/>
      <c r="J1073" s="32"/>
      <c r="K1073" s="32"/>
      <c r="L1073" s="32"/>
      <c r="M1073" s="23"/>
      <c r="N1073" s="32"/>
      <c r="O1073" s="32"/>
      <c r="P1073" s="32"/>
      <c r="Q1073" s="32"/>
      <c r="R1073" s="32"/>
      <c r="S1073" s="32"/>
      <c r="T1073" s="32"/>
      <c r="U1073" s="32"/>
      <c r="V1073" s="32"/>
      <c r="W1073" s="32"/>
      <c r="X1073" s="32"/>
      <c r="Y1073" s="32"/>
      <c r="Z1073" s="32"/>
      <c r="AA1073" s="32"/>
      <c r="AB1073" s="32"/>
    </row>
    <row r="1074" spans="1:28" ht="13" x14ac:dyDescent="0.15">
      <c r="A1074" s="32"/>
      <c r="B1074" s="32"/>
      <c r="C1074" s="32"/>
      <c r="D1074" s="32"/>
      <c r="E1074" s="32"/>
      <c r="F1074" s="32"/>
      <c r="G1074" s="32"/>
      <c r="H1074" s="32"/>
      <c r="I1074" s="32"/>
      <c r="J1074" s="32"/>
      <c r="K1074" s="32"/>
      <c r="L1074" s="32"/>
      <c r="M1074" s="23"/>
      <c r="N1074" s="32"/>
      <c r="O1074" s="32"/>
      <c r="P1074" s="32"/>
      <c r="Q1074" s="32"/>
      <c r="R1074" s="32"/>
      <c r="S1074" s="32"/>
      <c r="T1074" s="32"/>
      <c r="U1074" s="32"/>
      <c r="V1074" s="32"/>
      <c r="W1074" s="32"/>
      <c r="X1074" s="32"/>
      <c r="Y1074" s="32"/>
      <c r="Z1074" s="32"/>
      <c r="AA1074" s="32"/>
      <c r="AB1074" s="32"/>
    </row>
    <row r="1075" spans="1:28" ht="13" x14ac:dyDescent="0.15">
      <c r="A1075" s="32"/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23"/>
      <c r="N1075" s="32"/>
      <c r="O1075" s="32"/>
      <c r="P1075" s="32"/>
      <c r="Q1075" s="32"/>
      <c r="R1075" s="32"/>
      <c r="S1075" s="32"/>
      <c r="T1075" s="32"/>
      <c r="U1075" s="32"/>
      <c r="V1075" s="32"/>
      <c r="W1075" s="32"/>
      <c r="X1075" s="32"/>
      <c r="Y1075" s="32"/>
      <c r="Z1075" s="32"/>
      <c r="AA1075" s="32"/>
      <c r="AB1075" s="32"/>
    </row>
    <row r="1076" spans="1:28" ht="13" x14ac:dyDescent="0.15">
      <c r="A1076" s="32"/>
      <c r="B1076" s="32"/>
      <c r="C1076" s="32"/>
      <c r="D1076" s="32"/>
      <c r="E1076" s="32"/>
      <c r="F1076" s="32"/>
      <c r="G1076" s="32"/>
      <c r="H1076" s="32"/>
      <c r="I1076" s="32"/>
      <c r="J1076" s="32"/>
      <c r="K1076" s="32"/>
      <c r="L1076" s="32"/>
      <c r="M1076" s="23"/>
      <c r="N1076" s="32"/>
      <c r="O1076" s="32"/>
      <c r="P1076" s="32"/>
      <c r="Q1076" s="32"/>
      <c r="R1076" s="32"/>
      <c r="S1076" s="32"/>
      <c r="T1076" s="32"/>
      <c r="U1076" s="32"/>
      <c r="V1076" s="32"/>
      <c r="W1076" s="32"/>
      <c r="X1076" s="32"/>
      <c r="Y1076" s="32"/>
      <c r="Z1076" s="32"/>
      <c r="AA1076" s="32"/>
      <c r="AB1076" s="32"/>
    </row>
    <row r="1077" spans="1:28" ht="13" x14ac:dyDescent="0.15">
      <c r="A1077" s="32"/>
      <c r="B1077" s="32"/>
      <c r="C1077" s="32"/>
      <c r="D1077" s="32"/>
      <c r="E1077" s="32"/>
      <c r="F1077" s="32"/>
      <c r="G1077" s="32"/>
      <c r="H1077" s="32"/>
      <c r="I1077" s="32"/>
      <c r="J1077" s="32"/>
      <c r="K1077" s="32"/>
      <c r="L1077" s="32"/>
      <c r="M1077" s="23"/>
      <c r="N1077" s="32"/>
      <c r="O1077" s="32"/>
      <c r="P1077" s="32"/>
      <c r="Q1077" s="32"/>
      <c r="R1077" s="32"/>
      <c r="S1077" s="32"/>
      <c r="T1077" s="32"/>
      <c r="U1077" s="32"/>
      <c r="V1077" s="32"/>
      <c r="W1077" s="32"/>
      <c r="X1077" s="32"/>
      <c r="Y1077" s="32"/>
      <c r="Z1077" s="32"/>
      <c r="AA1077" s="32"/>
      <c r="AB1077" s="32"/>
    </row>
    <row r="1078" spans="1:28" ht="13" x14ac:dyDescent="0.15">
      <c r="A1078" s="32"/>
      <c r="B1078" s="32"/>
      <c r="C1078" s="32"/>
      <c r="D1078" s="32"/>
      <c r="E1078" s="32"/>
      <c r="F1078" s="32"/>
      <c r="G1078" s="32"/>
      <c r="H1078" s="32"/>
      <c r="I1078" s="32"/>
      <c r="J1078" s="32"/>
      <c r="K1078" s="32"/>
      <c r="L1078" s="32"/>
      <c r="M1078" s="23"/>
      <c r="N1078" s="32"/>
      <c r="O1078" s="32"/>
      <c r="P1078" s="32"/>
      <c r="Q1078" s="32"/>
      <c r="R1078" s="32"/>
      <c r="S1078" s="32"/>
      <c r="T1078" s="32"/>
      <c r="U1078" s="32"/>
      <c r="V1078" s="32"/>
      <c r="W1078" s="32"/>
      <c r="X1078" s="32"/>
      <c r="Y1078" s="32"/>
      <c r="Z1078" s="32"/>
      <c r="AA1078" s="32"/>
      <c r="AB1078" s="32"/>
    </row>
    <row r="1079" spans="1:28" ht="13" x14ac:dyDescent="0.15">
      <c r="A1079" s="32"/>
      <c r="B1079" s="32"/>
      <c r="C1079" s="32"/>
      <c r="D1079" s="32"/>
      <c r="E1079" s="32"/>
      <c r="F1079" s="32"/>
      <c r="G1079" s="32"/>
      <c r="H1079" s="32"/>
      <c r="I1079" s="32"/>
      <c r="J1079" s="32"/>
      <c r="K1079" s="32"/>
      <c r="L1079" s="32"/>
      <c r="M1079" s="23"/>
      <c r="N1079" s="32"/>
      <c r="O1079" s="32"/>
      <c r="P1079" s="32"/>
      <c r="Q1079" s="32"/>
      <c r="R1079" s="32"/>
      <c r="S1079" s="32"/>
      <c r="T1079" s="32"/>
      <c r="U1079" s="32"/>
      <c r="V1079" s="32"/>
      <c r="W1079" s="32"/>
      <c r="X1079" s="32"/>
      <c r="Y1079" s="32"/>
      <c r="Z1079" s="32"/>
      <c r="AA1079" s="32"/>
      <c r="AB1079" s="32"/>
    </row>
    <row r="1080" spans="1:28" ht="13" x14ac:dyDescent="0.15">
      <c r="A1080" s="32"/>
      <c r="B1080" s="32"/>
      <c r="C1080" s="32"/>
      <c r="D1080" s="32"/>
      <c r="E1080" s="32"/>
      <c r="F1080" s="32"/>
      <c r="G1080" s="32"/>
      <c r="H1080" s="32"/>
      <c r="I1080" s="32"/>
      <c r="J1080" s="32"/>
      <c r="K1080" s="32"/>
      <c r="L1080" s="32"/>
      <c r="M1080" s="23"/>
      <c r="N1080" s="32"/>
      <c r="O1080" s="32"/>
      <c r="P1080" s="32"/>
      <c r="Q1080" s="32"/>
      <c r="R1080" s="32"/>
      <c r="S1080" s="32"/>
      <c r="T1080" s="32"/>
      <c r="U1080" s="32"/>
      <c r="V1080" s="32"/>
      <c r="W1080" s="32"/>
      <c r="X1080" s="32"/>
      <c r="Y1080" s="32"/>
      <c r="Z1080" s="32"/>
      <c r="AA1080" s="32"/>
      <c r="AB1080" s="32"/>
    </row>
    <row r="1081" spans="1:28" ht="13" x14ac:dyDescent="0.15">
      <c r="A1081" s="32"/>
      <c r="B1081" s="32"/>
      <c r="C1081" s="32"/>
      <c r="D1081" s="32"/>
      <c r="E1081" s="32"/>
      <c r="F1081" s="32"/>
      <c r="G1081" s="32"/>
      <c r="H1081" s="32"/>
      <c r="I1081" s="32"/>
      <c r="J1081" s="32"/>
      <c r="K1081" s="32"/>
      <c r="L1081" s="32"/>
      <c r="M1081" s="23"/>
      <c r="N1081" s="32"/>
      <c r="O1081" s="32"/>
      <c r="P1081" s="32"/>
      <c r="Q1081" s="32"/>
      <c r="R1081" s="32"/>
      <c r="S1081" s="32"/>
      <c r="T1081" s="32"/>
      <c r="U1081" s="32"/>
      <c r="V1081" s="32"/>
      <c r="W1081" s="32"/>
      <c r="X1081" s="32"/>
      <c r="Y1081" s="32"/>
      <c r="Z1081" s="32"/>
      <c r="AA1081" s="32"/>
      <c r="AB1081" s="32"/>
    </row>
    <row r="1082" spans="1:28" ht="13" x14ac:dyDescent="0.15">
      <c r="A1082" s="32"/>
      <c r="B1082" s="32"/>
      <c r="C1082" s="32"/>
      <c r="D1082" s="32"/>
      <c r="E1082" s="32"/>
      <c r="F1082" s="32"/>
      <c r="G1082" s="32"/>
      <c r="H1082" s="32"/>
      <c r="I1082" s="32"/>
      <c r="J1082" s="32"/>
      <c r="K1082" s="32"/>
      <c r="L1082" s="32"/>
      <c r="M1082" s="23"/>
      <c r="N1082" s="32"/>
      <c r="O1082" s="32"/>
      <c r="P1082" s="32"/>
      <c r="Q1082" s="32"/>
      <c r="R1082" s="32"/>
      <c r="S1082" s="32"/>
      <c r="T1082" s="32"/>
      <c r="U1082" s="32"/>
      <c r="V1082" s="32"/>
      <c r="W1082" s="32"/>
      <c r="X1082" s="32"/>
      <c r="Y1082" s="32"/>
      <c r="Z1082" s="32"/>
      <c r="AA1082" s="32"/>
      <c r="AB1082" s="32"/>
    </row>
    <row r="1083" spans="1:28" ht="13" x14ac:dyDescent="0.15">
      <c r="A1083" s="32"/>
      <c r="B1083" s="32"/>
      <c r="C1083" s="32"/>
      <c r="D1083" s="32"/>
      <c r="E1083" s="32"/>
      <c r="F1083" s="32"/>
      <c r="G1083" s="32"/>
      <c r="H1083" s="32"/>
      <c r="I1083" s="32"/>
      <c r="J1083" s="32"/>
      <c r="K1083" s="32"/>
      <c r="L1083" s="32"/>
      <c r="M1083" s="23"/>
      <c r="N1083" s="32"/>
      <c r="O1083" s="32"/>
      <c r="P1083" s="32"/>
      <c r="Q1083" s="32"/>
      <c r="R1083" s="32"/>
      <c r="S1083" s="32"/>
      <c r="T1083" s="32"/>
      <c r="U1083" s="32"/>
      <c r="V1083" s="32"/>
      <c r="W1083" s="32"/>
      <c r="X1083" s="32"/>
      <c r="Y1083" s="32"/>
      <c r="Z1083" s="32"/>
      <c r="AA1083" s="32"/>
      <c r="AB1083" s="32"/>
    </row>
    <row r="1084" spans="1:28" ht="13" x14ac:dyDescent="0.15">
      <c r="A1084" s="32"/>
      <c r="B1084" s="32"/>
      <c r="C1084" s="32"/>
      <c r="D1084" s="32"/>
      <c r="E1084" s="32"/>
      <c r="F1084" s="32"/>
      <c r="G1084" s="32"/>
      <c r="H1084" s="32"/>
      <c r="I1084" s="32"/>
      <c r="J1084" s="32"/>
      <c r="K1084" s="32"/>
      <c r="L1084" s="32"/>
      <c r="M1084" s="23"/>
      <c r="N1084" s="32"/>
      <c r="O1084" s="32"/>
      <c r="P1084" s="32"/>
      <c r="Q1084" s="32"/>
      <c r="R1084" s="32"/>
      <c r="S1084" s="32"/>
      <c r="T1084" s="32"/>
      <c r="U1084" s="32"/>
      <c r="V1084" s="32"/>
      <c r="W1084" s="32"/>
      <c r="X1084" s="32"/>
      <c r="Y1084" s="32"/>
      <c r="Z1084" s="32"/>
      <c r="AA1084" s="32"/>
      <c r="AB1084" s="32"/>
    </row>
    <row r="1085" spans="1:28" ht="13" x14ac:dyDescent="0.15">
      <c r="A1085" s="32"/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  <c r="M1085" s="23"/>
      <c r="N1085" s="32"/>
      <c r="O1085" s="32"/>
      <c r="P1085" s="32"/>
      <c r="Q1085" s="32"/>
      <c r="R1085" s="32"/>
      <c r="S1085" s="32"/>
      <c r="T1085" s="32"/>
      <c r="U1085" s="32"/>
      <c r="V1085" s="32"/>
      <c r="W1085" s="32"/>
      <c r="X1085" s="32"/>
      <c r="Y1085" s="32"/>
      <c r="Z1085" s="32"/>
      <c r="AA1085" s="32"/>
      <c r="AB1085" s="32"/>
    </row>
    <row r="1086" spans="1:28" ht="13" x14ac:dyDescent="0.15">
      <c r="A1086" s="32"/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  <c r="M1086" s="23"/>
      <c r="N1086" s="32"/>
      <c r="O1086" s="32"/>
      <c r="P1086" s="32"/>
      <c r="Q1086" s="32"/>
      <c r="R1086" s="32"/>
      <c r="S1086" s="32"/>
      <c r="T1086" s="32"/>
      <c r="U1086" s="32"/>
      <c r="V1086" s="32"/>
      <c r="W1086" s="32"/>
      <c r="X1086" s="32"/>
      <c r="Y1086" s="32"/>
      <c r="Z1086" s="32"/>
      <c r="AA1086" s="32"/>
      <c r="AB1086" s="32"/>
    </row>
    <row r="1087" spans="1:28" ht="13" x14ac:dyDescent="0.15">
      <c r="A1087" s="32"/>
      <c r="B1087" s="32"/>
      <c r="C1087" s="32"/>
      <c r="D1087" s="32"/>
      <c r="E1087" s="32"/>
      <c r="F1087" s="32"/>
      <c r="G1087" s="32"/>
      <c r="H1087" s="32"/>
      <c r="I1087" s="32"/>
      <c r="J1087" s="32"/>
      <c r="K1087" s="32"/>
      <c r="L1087" s="32"/>
      <c r="M1087" s="23"/>
      <c r="N1087" s="32"/>
      <c r="O1087" s="32"/>
      <c r="P1087" s="32"/>
      <c r="Q1087" s="32"/>
      <c r="R1087" s="32"/>
      <c r="S1087" s="32"/>
      <c r="T1087" s="32"/>
      <c r="U1087" s="32"/>
      <c r="V1087" s="32"/>
      <c r="W1087" s="32"/>
      <c r="X1087" s="32"/>
      <c r="Y1087" s="32"/>
      <c r="Z1087" s="32"/>
      <c r="AA1087" s="32"/>
      <c r="AB1087" s="32"/>
    </row>
    <row r="1088" spans="1:28" ht="13" x14ac:dyDescent="0.15">
      <c r="A1088" s="32"/>
      <c r="B1088" s="32"/>
      <c r="C1088" s="32"/>
      <c r="D1088" s="32"/>
      <c r="E1088" s="32"/>
      <c r="F1088" s="32"/>
      <c r="G1088" s="32"/>
      <c r="H1088" s="32"/>
      <c r="I1088" s="32"/>
      <c r="J1088" s="32"/>
      <c r="K1088" s="32"/>
      <c r="L1088" s="32"/>
      <c r="M1088" s="23"/>
      <c r="N1088" s="32"/>
      <c r="O1088" s="32"/>
      <c r="P1088" s="32"/>
      <c r="Q1088" s="32"/>
      <c r="R1088" s="32"/>
      <c r="S1088" s="32"/>
      <c r="T1088" s="32"/>
      <c r="U1088" s="32"/>
      <c r="V1088" s="32"/>
      <c r="W1088" s="32"/>
      <c r="X1088" s="32"/>
      <c r="Y1088" s="32"/>
      <c r="Z1088" s="32"/>
      <c r="AA1088" s="32"/>
      <c r="AB1088" s="32"/>
    </row>
    <row r="1089" spans="1:28" ht="13" x14ac:dyDescent="0.15">
      <c r="A1089" s="32"/>
      <c r="B1089" s="32"/>
      <c r="C1089" s="32"/>
      <c r="D1089" s="32"/>
      <c r="E1089" s="32"/>
      <c r="F1089" s="32"/>
      <c r="G1089" s="32"/>
      <c r="H1089" s="32"/>
      <c r="I1089" s="32"/>
      <c r="J1089" s="32"/>
      <c r="K1089" s="32"/>
      <c r="L1089" s="32"/>
      <c r="M1089" s="23"/>
      <c r="N1089" s="32"/>
      <c r="O1089" s="32"/>
      <c r="P1089" s="32"/>
      <c r="Q1089" s="32"/>
      <c r="R1089" s="32"/>
      <c r="S1089" s="32"/>
      <c r="T1089" s="32"/>
      <c r="U1089" s="32"/>
      <c r="V1089" s="32"/>
      <c r="W1089" s="32"/>
      <c r="X1089" s="32"/>
      <c r="Y1089" s="32"/>
      <c r="Z1089" s="32"/>
      <c r="AA1089" s="32"/>
      <c r="AB1089" s="32"/>
    </row>
    <row r="1090" spans="1:28" ht="13" x14ac:dyDescent="0.15">
      <c r="A1090" s="32"/>
      <c r="B1090" s="32"/>
      <c r="C1090" s="32"/>
      <c r="D1090" s="32"/>
      <c r="E1090" s="32"/>
      <c r="F1090" s="32"/>
      <c r="G1090" s="32"/>
      <c r="H1090" s="32"/>
      <c r="I1090" s="32"/>
      <c r="J1090" s="32"/>
      <c r="K1090" s="32"/>
      <c r="L1090" s="32"/>
      <c r="M1090" s="23"/>
      <c r="N1090" s="32"/>
      <c r="O1090" s="32"/>
      <c r="P1090" s="32"/>
      <c r="Q1090" s="32"/>
      <c r="R1090" s="32"/>
      <c r="S1090" s="32"/>
      <c r="T1090" s="32"/>
      <c r="U1090" s="32"/>
      <c r="V1090" s="32"/>
      <c r="W1090" s="32"/>
      <c r="X1090" s="32"/>
      <c r="Y1090" s="32"/>
      <c r="Z1090" s="32"/>
      <c r="AA1090" s="32"/>
      <c r="AB1090" s="32"/>
    </row>
    <row r="1091" spans="1:28" ht="13" x14ac:dyDescent="0.15">
      <c r="A1091" s="32"/>
      <c r="B1091" s="32"/>
      <c r="C1091" s="32"/>
      <c r="D1091" s="32"/>
      <c r="E1091" s="32"/>
      <c r="F1091" s="32"/>
      <c r="G1091" s="32"/>
      <c r="H1091" s="32"/>
      <c r="I1091" s="32"/>
      <c r="J1091" s="32"/>
      <c r="K1091" s="32"/>
      <c r="L1091" s="32"/>
      <c r="M1091" s="23"/>
      <c r="N1091" s="32"/>
      <c r="O1091" s="32"/>
      <c r="P1091" s="32"/>
      <c r="Q1091" s="32"/>
      <c r="R1091" s="32"/>
      <c r="S1091" s="32"/>
      <c r="T1091" s="32"/>
      <c r="U1091" s="32"/>
      <c r="V1091" s="32"/>
      <c r="W1091" s="32"/>
      <c r="X1091" s="32"/>
      <c r="Y1091" s="32"/>
      <c r="Z1091" s="32"/>
      <c r="AA1091" s="32"/>
      <c r="AB1091" s="32"/>
    </row>
    <row r="1092" spans="1:28" ht="13" x14ac:dyDescent="0.15">
      <c r="A1092" s="32"/>
      <c r="B1092" s="32"/>
      <c r="C1092" s="32"/>
      <c r="D1092" s="32"/>
      <c r="E1092" s="32"/>
      <c r="F1092" s="32"/>
      <c r="G1092" s="32"/>
      <c r="H1092" s="32"/>
      <c r="I1092" s="32"/>
      <c r="J1092" s="32"/>
      <c r="K1092" s="32"/>
      <c r="L1092" s="32"/>
      <c r="M1092" s="23"/>
      <c r="N1092" s="32"/>
      <c r="O1092" s="32"/>
      <c r="P1092" s="32"/>
      <c r="Q1092" s="32"/>
      <c r="R1092" s="32"/>
      <c r="S1092" s="32"/>
      <c r="T1092" s="32"/>
      <c r="U1092" s="32"/>
      <c r="V1092" s="32"/>
      <c r="W1092" s="32"/>
      <c r="X1092" s="32"/>
      <c r="Y1092" s="32"/>
      <c r="Z1092" s="32"/>
      <c r="AA1092" s="32"/>
      <c r="AB1092" s="32"/>
    </row>
    <row r="1093" spans="1:28" ht="13" x14ac:dyDescent="0.15">
      <c r="A1093" s="32"/>
      <c r="B1093" s="32"/>
      <c r="C1093" s="32"/>
      <c r="D1093" s="32"/>
      <c r="E1093" s="32"/>
      <c r="F1093" s="32"/>
      <c r="G1093" s="32"/>
      <c r="H1093" s="32"/>
      <c r="I1093" s="32"/>
      <c r="J1093" s="32"/>
      <c r="K1093" s="32"/>
      <c r="L1093" s="32"/>
      <c r="M1093" s="23"/>
      <c r="N1093" s="32"/>
      <c r="O1093" s="32"/>
      <c r="P1093" s="32"/>
      <c r="Q1093" s="32"/>
      <c r="R1093" s="32"/>
      <c r="S1093" s="32"/>
      <c r="T1093" s="32"/>
      <c r="U1093" s="32"/>
      <c r="V1093" s="32"/>
      <c r="W1093" s="32"/>
      <c r="X1093" s="32"/>
      <c r="Y1093" s="32"/>
      <c r="Z1093" s="32"/>
      <c r="AA1093" s="32"/>
      <c r="AB1093" s="32"/>
    </row>
    <row r="1094" spans="1:28" ht="13" x14ac:dyDescent="0.15">
      <c r="A1094" s="32"/>
      <c r="B1094" s="32"/>
      <c r="C1094" s="32"/>
      <c r="D1094" s="32"/>
      <c r="E1094" s="32"/>
      <c r="F1094" s="32"/>
      <c r="G1094" s="32"/>
      <c r="H1094" s="32"/>
      <c r="I1094" s="32"/>
      <c r="J1094" s="32"/>
      <c r="K1094" s="32"/>
      <c r="L1094" s="32"/>
      <c r="M1094" s="23"/>
      <c r="N1094" s="32"/>
      <c r="O1094" s="32"/>
      <c r="P1094" s="32"/>
      <c r="Q1094" s="32"/>
      <c r="R1094" s="32"/>
      <c r="S1094" s="32"/>
      <c r="T1094" s="32"/>
      <c r="U1094" s="32"/>
      <c r="V1094" s="32"/>
      <c r="W1094" s="32"/>
      <c r="X1094" s="32"/>
      <c r="Y1094" s="32"/>
      <c r="Z1094" s="32"/>
      <c r="AA1094" s="32"/>
      <c r="AB1094" s="32"/>
    </row>
    <row r="1095" spans="1:28" ht="13" x14ac:dyDescent="0.15">
      <c r="A1095" s="32"/>
      <c r="B1095" s="32"/>
      <c r="C1095" s="32"/>
      <c r="D1095" s="32"/>
      <c r="E1095" s="32"/>
      <c r="F1095" s="32"/>
      <c r="G1095" s="32"/>
      <c r="H1095" s="32"/>
      <c r="I1095" s="32"/>
      <c r="J1095" s="32"/>
      <c r="K1095" s="32"/>
      <c r="L1095" s="32"/>
      <c r="M1095" s="23"/>
      <c r="N1095" s="32"/>
      <c r="O1095" s="32"/>
      <c r="P1095" s="32"/>
      <c r="Q1095" s="32"/>
      <c r="R1095" s="32"/>
      <c r="S1095" s="32"/>
      <c r="T1095" s="32"/>
      <c r="U1095" s="32"/>
      <c r="V1095" s="32"/>
      <c r="W1095" s="32"/>
      <c r="X1095" s="32"/>
      <c r="Y1095" s="32"/>
      <c r="Z1095" s="32"/>
      <c r="AA1095" s="32"/>
      <c r="AB1095" s="32"/>
    </row>
    <row r="1096" spans="1:28" ht="13" x14ac:dyDescent="0.15">
      <c r="A1096" s="32"/>
      <c r="B1096" s="32"/>
      <c r="C1096" s="32"/>
      <c r="D1096" s="32"/>
      <c r="E1096" s="32"/>
      <c r="F1096" s="32"/>
      <c r="G1096" s="32"/>
      <c r="H1096" s="32"/>
      <c r="I1096" s="32"/>
      <c r="J1096" s="32"/>
      <c r="K1096" s="32"/>
      <c r="L1096" s="32"/>
      <c r="M1096" s="23"/>
      <c r="N1096" s="32"/>
      <c r="O1096" s="32"/>
      <c r="P1096" s="32"/>
      <c r="Q1096" s="32"/>
      <c r="R1096" s="32"/>
      <c r="S1096" s="32"/>
      <c r="T1096" s="32"/>
      <c r="U1096" s="32"/>
      <c r="V1096" s="32"/>
      <c r="W1096" s="32"/>
      <c r="X1096" s="32"/>
      <c r="Y1096" s="32"/>
      <c r="Z1096" s="32"/>
      <c r="AA1096" s="32"/>
      <c r="AB1096" s="32"/>
    </row>
    <row r="1097" spans="1:28" ht="13" x14ac:dyDescent="0.15">
      <c r="A1097" s="32"/>
      <c r="B1097" s="32"/>
      <c r="C1097" s="32"/>
      <c r="D1097" s="32"/>
      <c r="E1097" s="32"/>
      <c r="F1097" s="32"/>
      <c r="G1097" s="32"/>
      <c r="H1097" s="32"/>
      <c r="I1097" s="32"/>
      <c r="J1097" s="32"/>
      <c r="K1097" s="32"/>
      <c r="L1097" s="32"/>
      <c r="M1097" s="23"/>
      <c r="N1097" s="32"/>
      <c r="O1097" s="32"/>
      <c r="P1097" s="32"/>
      <c r="Q1097" s="32"/>
      <c r="R1097" s="32"/>
      <c r="S1097" s="32"/>
      <c r="T1097" s="32"/>
      <c r="U1097" s="32"/>
      <c r="V1097" s="32"/>
      <c r="W1097" s="32"/>
      <c r="X1097" s="32"/>
      <c r="Y1097" s="32"/>
      <c r="Z1097" s="32"/>
      <c r="AA1097" s="32"/>
      <c r="AB1097" s="32"/>
    </row>
    <row r="1098" spans="1:28" ht="13" x14ac:dyDescent="0.15">
      <c r="A1098" s="32"/>
      <c r="B1098" s="32"/>
      <c r="C1098" s="32"/>
      <c r="D1098" s="32"/>
      <c r="E1098" s="32"/>
      <c r="F1098" s="32"/>
      <c r="G1098" s="32"/>
      <c r="H1098" s="32"/>
      <c r="I1098" s="32"/>
      <c r="J1098" s="32"/>
      <c r="K1098" s="32"/>
      <c r="L1098" s="32"/>
      <c r="M1098" s="23"/>
      <c r="N1098" s="32"/>
      <c r="O1098" s="32"/>
      <c r="P1098" s="32"/>
      <c r="Q1098" s="32"/>
      <c r="R1098" s="32"/>
      <c r="S1098" s="32"/>
      <c r="T1098" s="32"/>
      <c r="U1098" s="32"/>
      <c r="V1098" s="32"/>
      <c r="W1098" s="32"/>
      <c r="X1098" s="32"/>
      <c r="Y1098" s="32"/>
      <c r="Z1098" s="32"/>
      <c r="AA1098" s="32"/>
      <c r="AB1098" s="32"/>
    </row>
    <row r="1099" spans="1:28" ht="13" x14ac:dyDescent="0.15">
      <c r="A1099" s="32"/>
      <c r="B1099" s="32"/>
      <c r="C1099" s="32"/>
      <c r="D1099" s="32"/>
      <c r="E1099" s="32"/>
      <c r="F1099" s="32"/>
      <c r="G1099" s="32"/>
      <c r="H1099" s="32"/>
      <c r="I1099" s="32"/>
      <c r="J1099" s="32"/>
      <c r="K1099" s="32"/>
      <c r="L1099" s="32"/>
      <c r="M1099" s="23"/>
      <c r="N1099" s="32"/>
      <c r="O1099" s="32"/>
      <c r="P1099" s="32"/>
      <c r="Q1099" s="32"/>
      <c r="R1099" s="32"/>
      <c r="S1099" s="32"/>
      <c r="T1099" s="32"/>
      <c r="U1099" s="32"/>
      <c r="V1099" s="32"/>
      <c r="W1099" s="32"/>
      <c r="X1099" s="32"/>
      <c r="Y1099" s="32"/>
      <c r="Z1099" s="32"/>
      <c r="AA1099" s="32"/>
      <c r="AB1099" s="32"/>
    </row>
    <row r="1100" spans="1:28" ht="13" x14ac:dyDescent="0.15">
      <c r="A1100" s="32"/>
      <c r="B1100" s="32"/>
      <c r="C1100" s="32"/>
      <c r="D1100" s="32"/>
      <c r="E1100" s="32"/>
      <c r="F1100" s="32"/>
      <c r="G1100" s="32"/>
      <c r="H1100" s="32"/>
      <c r="I1100" s="32"/>
      <c r="J1100" s="32"/>
      <c r="K1100" s="32"/>
      <c r="L1100" s="32"/>
      <c r="M1100" s="23"/>
      <c r="N1100" s="32"/>
      <c r="O1100" s="32"/>
      <c r="P1100" s="32"/>
      <c r="Q1100" s="32"/>
      <c r="R1100" s="32"/>
      <c r="S1100" s="32"/>
      <c r="T1100" s="32"/>
      <c r="U1100" s="32"/>
      <c r="V1100" s="32"/>
      <c r="W1100" s="32"/>
      <c r="X1100" s="32"/>
      <c r="Y1100" s="32"/>
      <c r="Z1100" s="32"/>
      <c r="AA1100" s="32"/>
      <c r="AB1100" s="32"/>
    </row>
    <row r="1101" spans="1:28" ht="13" x14ac:dyDescent="0.15">
      <c r="A1101" s="32"/>
      <c r="B1101" s="32"/>
      <c r="C1101" s="32"/>
      <c r="D1101" s="32"/>
      <c r="E1101" s="32"/>
      <c r="F1101" s="32"/>
      <c r="G1101" s="32"/>
      <c r="H1101" s="32"/>
      <c r="I1101" s="32"/>
      <c r="J1101" s="32"/>
      <c r="K1101" s="32"/>
      <c r="L1101" s="32"/>
      <c r="M1101" s="23"/>
      <c r="N1101" s="32"/>
      <c r="O1101" s="32"/>
      <c r="P1101" s="32"/>
      <c r="Q1101" s="32"/>
      <c r="R1101" s="32"/>
      <c r="S1101" s="32"/>
      <c r="T1101" s="32"/>
      <c r="U1101" s="32"/>
      <c r="V1101" s="32"/>
      <c r="W1101" s="32"/>
      <c r="X1101" s="32"/>
      <c r="Y1101" s="32"/>
      <c r="Z1101" s="32"/>
      <c r="AA1101" s="32"/>
      <c r="AB1101" s="32"/>
    </row>
    <row r="1102" spans="1:28" ht="13" x14ac:dyDescent="0.15">
      <c r="A1102" s="32"/>
      <c r="B1102" s="32"/>
      <c r="C1102" s="32"/>
      <c r="D1102" s="32"/>
      <c r="E1102" s="32"/>
      <c r="F1102" s="32"/>
      <c r="G1102" s="32"/>
      <c r="H1102" s="32"/>
      <c r="I1102" s="32"/>
      <c r="J1102" s="32"/>
      <c r="K1102" s="32"/>
      <c r="L1102" s="32"/>
      <c r="M1102" s="23"/>
      <c r="N1102" s="32"/>
      <c r="O1102" s="32"/>
      <c r="P1102" s="32"/>
      <c r="Q1102" s="32"/>
      <c r="R1102" s="32"/>
      <c r="S1102" s="32"/>
      <c r="T1102" s="32"/>
      <c r="U1102" s="32"/>
      <c r="V1102" s="32"/>
      <c r="W1102" s="32"/>
      <c r="X1102" s="32"/>
      <c r="Y1102" s="32"/>
      <c r="Z1102" s="32"/>
      <c r="AA1102" s="32"/>
      <c r="AB1102" s="32"/>
    </row>
    <row r="1103" spans="1:28" ht="13" x14ac:dyDescent="0.15">
      <c r="A1103" s="32"/>
      <c r="B1103" s="32"/>
      <c r="C1103" s="32"/>
      <c r="D1103" s="32"/>
      <c r="E1103" s="32"/>
      <c r="F1103" s="32"/>
      <c r="G1103" s="32"/>
      <c r="H1103" s="32"/>
      <c r="I1103" s="32"/>
      <c r="J1103" s="32"/>
      <c r="K1103" s="32"/>
      <c r="L1103" s="32"/>
      <c r="M1103" s="23"/>
      <c r="N1103" s="32"/>
      <c r="O1103" s="32"/>
      <c r="P1103" s="32"/>
      <c r="Q1103" s="32"/>
      <c r="R1103" s="32"/>
      <c r="S1103" s="32"/>
      <c r="T1103" s="32"/>
      <c r="U1103" s="32"/>
      <c r="V1103" s="32"/>
      <c r="W1103" s="32"/>
      <c r="X1103" s="32"/>
      <c r="Y1103" s="32"/>
      <c r="Z1103" s="32"/>
      <c r="AA1103" s="32"/>
      <c r="AB1103" s="32"/>
    </row>
    <row r="1104" spans="1:28" ht="13" x14ac:dyDescent="0.15">
      <c r="A1104" s="32"/>
      <c r="B1104" s="32"/>
      <c r="C1104" s="32"/>
      <c r="D1104" s="32"/>
      <c r="E1104" s="32"/>
      <c r="F1104" s="32"/>
      <c r="G1104" s="32"/>
      <c r="H1104" s="32"/>
      <c r="I1104" s="32"/>
      <c r="J1104" s="32"/>
      <c r="K1104" s="32"/>
      <c r="L1104" s="32"/>
      <c r="M1104" s="23"/>
      <c r="N1104" s="32"/>
      <c r="O1104" s="32"/>
      <c r="P1104" s="32"/>
      <c r="Q1104" s="32"/>
      <c r="R1104" s="32"/>
      <c r="S1104" s="32"/>
      <c r="T1104" s="32"/>
      <c r="U1104" s="32"/>
      <c r="V1104" s="32"/>
      <c r="W1104" s="32"/>
      <c r="X1104" s="32"/>
      <c r="Y1104" s="32"/>
      <c r="Z1104" s="32"/>
      <c r="AA1104" s="32"/>
      <c r="AB1104" s="32"/>
    </row>
    <row r="1105" spans="1:28" ht="13" x14ac:dyDescent="0.15">
      <c r="A1105" s="32"/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  <c r="M1105" s="23"/>
      <c r="N1105" s="32"/>
      <c r="O1105" s="32"/>
      <c r="P1105" s="32"/>
      <c r="Q1105" s="32"/>
      <c r="R1105" s="32"/>
      <c r="S1105" s="32"/>
      <c r="T1105" s="32"/>
      <c r="U1105" s="32"/>
      <c r="V1105" s="32"/>
      <c r="W1105" s="32"/>
      <c r="X1105" s="32"/>
      <c r="Y1105" s="32"/>
      <c r="Z1105" s="32"/>
      <c r="AA1105" s="32"/>
      <c r="AB1105" s="32"/>
    </row>
    <row r="1106" spans="1:28" ht="13" x14ac:dyDescent="0.15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23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  <c r="Z1106" s="32"/>
      <c r="AA1106" s="32"/>
      <c r="AB1106" s="32"/>
    </row>
    <row r="1107" spans="1:28" ht="13" x14ac:dyDescent="0.15">
      <c r="A1107" s="32"/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  <c r="M1107" s="23"/>
      <c r="N1107" s="32"/>
      <c r="O1107" s="32"/>
      <c r="P1107" s="32"/>
      <c r="Q1107" s="32"/>
      <c r="R1107" s="32"/>
      <c r="S1107" s="32"/>
      <c r="T1107" s="32"/>
      <c r="U1107" s="32"/>
      <c r="V1107" s="32"/>
      <c r="W1107" s="32"/>
      <c r="X1107" s="32"/>
      <c r="Y1107" s="32"/>
      <c r="Z1107" s="32"/>
      <c r="AA1107" s="32"/>
      <c r="AB1107" s="32"/>
    </row>
    <row r="1108" spans="1:28" ht="13" x14ac:dyDescent="0.15">
      <c r="A1108" s="32"/>
      <c r="B1108" s="32"/>
      <c r="C1108" s="32"/>
      <c r="D1108" s="32"/>
      <c r="E1108" s="32"/>
      <c r="F1108" s="32"/>
      <c r="G1108" s="32"/>
      <c r="H1108" s="32"/>
      <c r="I1108" s="32"/>
      <c r="J1108" s="32"/>
      <c r="K1108" s="32"/>
      <c r="L1108" s="32"/>
      <c r="M1108" s="23"/>
      <c r="N1108" s="32"/>
      <c r="O1108" s="32"/>
      <c r="P1108" s="32"/>
      <c r="Q1108" s="32"/>
      <c r="R1108" s="32"/>
      <c r="S1108" s="32"/>
      <c r="T1108" s="32"/>
      <c r="U1108" s="32"/>
      <c r="V1108" s="32"/>
      <c r="W1108" s="32"/>
      <c r="X1108" s="32"/>
      <c r="Y1108" s="32"/>
      <c r="Z1108" s="32"/>
      <c r="AA1108" s="32"/>
      <c r="AB1108" s="32"/>
    </row>
    <row r="1109" spans="1:28" ht="13" x14ac:dyDescent="0.15">
      <c r="A1109" s="32"/>
      <c r="B1109" s="32"/>
      <c r="C1109" s="32"/>
      <c r="D1109" s="32"/>
      <c r="E1109" s="32"/>
      <c r="F1109" s="32"/>
      <c r="G1109" s="32"/>
      <c r="H1109" s="32"/>
      <c r="I1109" s="32"/>
      <c r="J1109" s="32"/>
      <c r="K1109" s="32"/>
      <c r="L1109" s="32"/>
      <c r="M1109" s="23"/>
      <c r="N1109" s="32"/>
      <c r="O1109" s="32"/>
      <c r="P1109" s="32"/>
      <c r="Q1109" s="32"/>
      <c r="R1109" s="32"/>
      <c r="S1109" s="32"/>
      <c r="T1109" s="32"/>
      <c r="U1109" s="32"/>
      <c r="V1109" s="32"/>
      <c r="W1109" s="32"/>
      <c r="X1109" s="32"/>
      <c r="Y1109" s="32"/>
      <c r="Z1109" s="32"/>
      <c r="AA1109" s="32"/>
      <c r="AB1109" s="32"/>
    </row>
    <row r="1110" spans="1:28" ht="13" x14ac:dyDescent="0.15">
      <c r="A1110" s="32"/>
      <c r="B1110" s="32"/>
      <c r="C1110" s="32"/>
      <c r="D1110" s="32"/>
      <c r="E1110" s="32"/>
      <c r="F1110" s="32"/>
      <c r="G1110" s="32"/>
      <c r="H1110" s="32"/>
      <c r="I1110" s="32"/>
      <c r="J1110" s="32"/>
      <c r="K1110" s="32"/>
      <c r="L1110" s="32"/>
      <c r="M1110" s="23"/>
      <c r="N1110" s="32"/>
      <c r="O1110" s="32"/>
      <c r="P1110" s="32"/>
      <c r="Q1110" s="32"/>
      <c r="R1110" s="32"/>
      <c r="S1110" s="32"/>
      <c r="T1110" s="32"/>
      <c r="U1110" s="32"/>
      <c r="V1110" s="32"/>
      <c r="W1110" s="32"/>
      <c r="X1110" s="32"/>
      <c r="Y1110" s="32"/>
      <c r="Z1110" s="32"/>
      <c r="AA1110" s="32"/>
      <c r="AB1110" s="32"/>
    </row>
    <row r="1111" spans="1:28" ht="13" x14ac:dyDescent="0.15">
      <c r="A1111" s="32"/>
      <c r="B1111" s="32"/>
      <c r="C1111" s="32"/>
      <c r="D1111" s="32"/>
      <c r="E1111" s="32"/>
      <c r="F1111" s="32"/>
      <c r="G1111" s="32"/>
      <c r="H1111" s="32"/>
      <c r="I1111" s="32"/>
      <c r="J1111" s="32"/>
      <c r="K1111" s="32"/>
      <c r="L1111" s="32"/>
      <c r="M1111" s="23"/>
      <c r="N1111" s="32"/>
      <c r="O1111" s="32"/>
      <c r="P1111" s="32"/>
      <c r="Q1111" s="32"/>
      <c r="R1111" s="32"/>
      <c r="S1111" s="32"/>
      <c r="T1111" s="32"/>
      <c r="U1111" s="32"/>
      <c r="V1111" s="32"/>
      <c r="W1111" s="32"/>
      <c r="X1111" s="32"/>
      <c r="Y1111" s="32"/>
      <c r="Z1111" s="32"/>
      <c r="AA1111" s="32"/>
      <c r="AB1111" s="32"/>
    </row>
    <row r="1112" spans="1:28" ht="13" x14ac:dyDescent="0.15">
      <c r="A1112" s="32"/>
      <c r="B1112" s="32"/>
      <c r="C1112" s="32"/>
      <c r="D1112" s="32"/>
      <c r="E1112" s="32"/>
      <c r="F1112" s="32"/>
      <c r="G1112" s="32"/>
      <c r="H1112" s="32"/>
      <c r="I1112" s="32"/>
      <c r="J1112" s="32"/>
      <c r="K1112" s="32"/>
      <c r="L1112" s="32"/>
      <c r="M1112" s="23"/>
      <c r="N1112" s="32"/>
      <c r="O1112" s="32"/>
      <c r="P1112" s="32"/>
      <c r="Q1112" s="32"/>
      <c r="R1112" s="32"/>
      <c r="S1112" s="32"/>
      <c r="T1112" s="32"/>
      <c r="U1112" s="32"/>
      <c r="V1112" s="32"/>
      <c r="W1112" s="32"/>
      <c r="X1112" s="32"/>
      <c r="Y1112" s="32"/>
      <c r="Z1112" s="32"/>
      <c r="AA1112" s="32"/>
      <c r="AB1112" s="32"/>
    </row>
    <row r="1113" spans="1:28" ht="13" x14ac:dyDescent="0.15">
      <c r="A1113" s="32"/>
      <c r="B1113" s="32"/>
      <c r="C1113" s="32"/>
      <c r="D1113" s="32"/>
      <c r="E1113" s="32"/>
      <c r="F1113" s="32"/>
      <c r="G1113" s="32"/>
      <c r="H1113" s="32"/>
      <c r="I1113" s="32"/>
      <c r="J1113" s="32"/>
      <c r="K1113" s="32"/>
      <c r="L1113" s="32"/>
      <c r="M1113" s="23"/>
      <c r="N1113" s="32"/>
      <c r="O1113" s="32"/>
      <c r="P1113" s="32"/>
      <c r="Q1113" s="32"/>
      <c r="R1113" s="32"/>
      <c r="S1113" s="32"/>
      <c r="T1113" s="32"/>
      <c r="U1113" s="32"/>
      <c r="V1113" s="32"/>
      <c r="W1113" s="32"/>
      <c r="X1113" s="32"/>
      <c r="Y1113" s="32"/>
      <c r="Z1113" s="32"/>
      <c r="AA1113" s="32"/>
      <c r="AB1113" s="32"/>
    </row>
    <row r="1114" spans="1:28" ht="13" x14ac:dyDescent="0.15">
      <c r="A1114" s="32"/>
      <c r="B1114" s="32"/>
      <c r="C1114" s="32"/>
      <c r="D1114" s="32"/>
      <c r="E1114" s="32"/>
      <c r="F1114" s="32"/>
      <c r="G1114" s="32"/>
      <c r="H1114" s="32"/>
      <c r="I1114" s="32"/>
      <c r="J1114" s="32"/>
      <c r="K1114" s="32"/>
      <c r="L1114" s="32"/>
      <c r="M1114" s="23"/>
      <c r="N1114" s="32"/>
      <c r="O1114" s="32"/>
      <c r="P1114" s="32"/>
      <c r="Q1114" s="32"/>
      <c r="R1114" s="32"/>
      <c r="S1114" s="32"/>
      <c r="T1114" s="32"/>
      <c r="U1114" s="32"/>
      <c r="V1114" s="32"/>
      <c r="W1114" s="32"/>
      <c r="X1114" s="32"/>
      <c r="Y1114" s="32"/>
      <c r="Z1114" s="32"/>
      <c r="AA1114" s="32"/>
      <c r="AB1114" s="32"/>
    </row>
    <row r="1115" spans="1:28" ht="13" x14ac:dyDescent="0.15">
      <c r="A1115" s="32"/>
      <c r="B1115" s="32"/>
      <c r="C1115" s="32"/>
      <c r="D1115" s="32"/>
      <c r="E1115" s="32"/>
      <c r="F1115" s="32"/>
      <c r="G1115" s="32"/>
      <c r="H1115" s="32"/>
      <c r="I1115" s="32"/>
      <c r="J1115" s="32"/>
      <c r="K1115" s="32"/>
      <c r="L1115" s="32"/>
      <c r="M1115" s="23"/>
      <c r="N1115" s="32"/>
      <c r="O1115" s="32"/>
      <c r="P1115" s="32"/>
      <c r="Q1115" s="32"/>
      <c r="R1115" s="32"/>
      <c r="S1115" s="32"/>
      <c r="T1115" s="32"/>
      <c r="U1115" s="32"/>
      <c r="V1115" s="32"/>
      <c r="W1115" s="32"/>
      <c r="X1115" s="32"/>
      <c r="Y1115" s="32"/>
      <c r="Z1115" s="32"/>
      <c r="AA1115" s="32"/>
      <c r="AB1115" s="32"/>
    </row>
    <row r="1116" spans="1:28" ht="13" x14ac:dyDescent="0.15">
      <c r="A1116" s="32"/>
      <c r="B1116" s="32"/>
      <c r="C1116" s="32"/>
      <c r="D1116" s="32"/>
      <c r="E1116" s="32"/>
      <c r="F1116" s="32"/>
      <c r="G1116" s="32"/>
      <c r="H1116" s="32"/>
      <c r="I1116" s="32"/>
      <c r="J1116" s="32"/>
      <c r="K1116" s="32"/>
      <c r="L1116" s="32"/>
      <c r="M1116" s="23"/>
      <c r="N1116" s="32"/>
      <c r="O1116" s="32"/>
      <c r="P1116" s="32"/>
      <c r="Q1116" s="32"/>
      <c r="R1116" s="32"/>
      <c r="S1116" s="32"/>
      <c r="T1116" s="32"/>
      <c r="U1116" s="32"/>
      <c r="V1116" s="32"/>
      <c r="W1116" s="32"/>
      <c r="X1116" s="32"/>
      <c r="Y1116" s="32"/>
      <c r="Z1116" s="32"/>
      <c r="AA1116" s="32"/>
      <c r="AB1116" s="32"/>
    </row>
    <row r="1117" spans="1:28" ht="13" x14ac:dyDescent="0.15">
      <c r="A1117" s="32"/>
      <c r="B1117" s="32"/>
      <c r="C1117" s="32"/>
      <c r="D1117" s="32"/>
      <c r="E1117" s="32"/>
      <c r="F1117" s="32"/>
      <c r="G1117" s="32"/>
      <c r="H1117" s="32"/>
      <c r="I1117" s="32"/>
      <c r="J1117" s="32"/>
      <c r="K1117" s="32"/>
      <c r="L1117" s="32"/>
      <c r="M1117" s="23"/>
      <c r="N1117" s="32"/>
      <c r="O1117" s="32"/>
      <c r="P1117" s="32"/>
      <c r="Q1117" s="32"/>
      <c r="R1117" s="32"/>
      <c r="S1117" s="32"/>
      <c r="T1117" s="32"/>
      <c r="U1117" s="32"/>
      <c r="V1117" s="32"/>
      <c r="W1117" s="32"/>
      <c r="X1117" s="32"/>
      <c r="Y1117" s="32"/>
      <c r="Z1117" s="32"/>
      <c r="AA1117" s="32"/>
      <c r="AB1117" s="32"/>
    </row>
    <row r="1118" spans="1:28" ht="13" x14ac:dyDescent="0.15">
      <c r="A1118" s="32"/>
      <c r="B1118" s="32"/>
      <c r="C1118" s="32"/>
      <c r="D1118" s="32"/>
      <c r="E1118" s="32"/>
      <c r="F1118" s="32"/>
      <c r="G1118" s="32"/>
      <c r="H1118" s="32"/>
      <c r="I1118" s="32"/>
      <c r="J1118" s="32"/>
      <c r="K1118" s="32"/>
      <c r="L1118" s="32"/>
      <c r="M1118" s="23"/>
      <c r="N1118" s="32"/>
      <c r="O1118" s="32"/>
      <c r="P1118" s="32"/>
      <c r="Q1118" s="32"/>
      <c r="R1118" s="32"/>
      <c r="S1118" s="32"/>
      <c r="T1118" s="32"/>
      <c r="U1118" s="32"/>
      <c r="V1118" s="32"/>
      <c r="W1118" s="32"/>
      <c r="X1118" s="32"/>
      <c r="Y1118" s="32"/>
      <c r="Z1118" s="32"/>
      <c r="AA1118" s="32"/>
      <c r="AB1118" s="32"/>
    </row>
    <row r="1119" spans="1:28" ht="13" x14ac:dyDescent="0.15">
      <c r="A1119" s="32"/>
      <c r="B1119" s="32"/>
      <c r="C1119" s="32"/>
      <c r="D1119" s="32"/>
      <c r="E1119" s="32"/>
      <c r="F1119" s="32"/>
      <c r="G1119" s="32"/>
      <c r="H1119" s="32"/>
      <c r="I1119" s="32"/>
      <c r="J1119" s="32"/>
      <c r="K1119" s="32"/>
      <c r="L1119" s="32"/>
      <c r="M1119" s="23"/>
      <c r="N1119" s="32"/>
      <c r="O1119" s="32"/>
      <c r="P1119" s="32"/>
      <c r="Q1119" s="32"/>
      <c r="R1119" s="32"/>
      <c r="S1119" s="32"/>
      <c r="T1119" s="32"/>
      <c r="U1119" s="32"/>
      <c r="V1119" s="32"/>
      <c r="W1119" s="32"/>
      <c r="X1119" s="32"/>
      <c r="Y1119" s="32"/>
      <c r="Z1119" s="32"/>
      <c r="AA1119" s="32"/>
      <c r="AB1119" s="32"/>
    </row>
    <row r="1120" spans="1:28" ht="13" x14ac:dyDescent="0.15">
      <c r="A1120" s="32"/>
      <c r="B1120" s="32"/>
      <c r="C1120" s="32"/>
      <c r="D1120" s="32"/>
      <c r="E1120" s="32"/>
      <c r="F1120" s="32"/>
      <c r="G1120" s="32"/>
      <c r="H1120" s="32"/>
      <c r="I1120" s="32"/>
      <c r="J1120" s="32"/>
      <c r="K1120" s="32"/>
      <c r="L1120" s="32"/>
      <c r="M1120" s="23"/>
      <c r="N1120" s="32"/>
      <c r="O1120" s="32"/>
      <c r="P1120" s="32"/>
      <c r="Q1120" s="32"/>
      <c r="R1120" s="32"/>
      <c r="S1120" s="32"/>
      <c r="T1120" s="32"/>
      <c r="U1120" s="32"/>
      <c r="V1120" s="32"/>
      <c r="W1120" s="32"/>
      <c r="X1120" s="32"/>
      <c r="Y1120" s="32"/>
      <c r="Z1120" s="32"/>
      <c r="AA1120" s="32"/>
      <c r="AB1120" s="32"/>
    </row>
    <row r="1121" spans="1:28" ht="13" x14ac:dyDescent="0.15">
      <c r="A1121" s="32"/>
      <c r="B1121" s="32"/>
      <c r="C1121" s="32"/>
      <c r="D1121" s="32"/>
      <c r="E1121" s="32"/>
      <c r="F1121" s="32"/>
      <c r="G1121" s="32"/>
      <c r="H1121" s="32"/>
      <c r="I1121" s="32"/>
      <c r="J1121" s="32"/>
      <c r="K1121" s="32"/>
      <c r="L1121" s="32"/>
      <c r="M1121" s="23"/>
      <c r="N1121" s="32"/>
      <c r="O1121" s="32"/>
      <c r="P1121" s="32"/>
      <c r="Q1121" s="32"/>
      <c r="R1121" s="32"/>
      <c r="S1121" s="32"/>
      <c r="T1121" s="32"/>
      <c r="U1121" s="32"/>
      <c r="V1121" s="32"/>
      <c r="W1121" s="32"/>
      <c r="X1121" s="32"/>
      <c r="Y1121" s="32"/>
      <c r="Z1121" s="32"/>
      <c r="AA1121" s="32"/>
      <c r="AB1121" s="32"/>
    </row>
    <row r="1122" spans="1:28" ht="13" x14ac:dyDescent="0.15">
      <c r="A1122" s="32"/>
      <c r="B1122" s="32"/>
      <c r="C1122" s="32"/>
      <c r="D1122" s="32"/>
      <c r="E1122" s="32"/>
      <c r="F1122" s="32"/>
      <c r="G1122" s="32"/>
      <c r="H1122" s="32"/>
      <c r="I1122" s="32"/>
      <c r="J1122" s="32"/>
      <c r="K1122" s="32"/>
      <c r="L1122" s="32"/>
      <c r="M1122" s="23"/>
      <c r="N1122" s="32"/>
      <c r="O1122" s="32"/>
      <c r="P1122" s="32"/>
      <c r="Q1122" s="32"/>
      <c r="R1122" s="32"/>
      <c r="S1122" s="32"/>
      <c r="T1122" s="32"/>
      <c r="U1122" s="32"/>
      <c r="V1122" s="32"/>
      <c r="W1122" s="32"/>
      <c r="X1122" s="32"/>
      <c r="Y1122" s="32"/>
      <c r="Z1122" s="32"/>
      <c r="AA1122" s="32"/>
      <c r="AB1122" s="32"/>
    </row>
    <row r="1123" spans="1:28" ht="13" x14ac:dyDescent="0.15">
      <c r="A1123" s="32"/>
      <c r="B1123" s="32"/>
      <c r="C1123" s="32"/>
      <c r="D1123" s="32"/>
      <c r="E1123" s="32"/>
      <c r="F1123" s="32"/>
      <c r="G1123" s="32"/>
      <c r="H1123" s="32"/>
      <c r="I1123" s="32"/>
      <c r="J1123" s="32"/>
      <c r="K1123" s="32"/>
      <c r="L1123" s="32"/>
      <c r="M1123" s="23"/>
      <c r="N1123" s="32"/>
      <c r="O1123" s="32"/>
      <c r="P1123" s="32"/>
      <c r="Q1123" s="32"/>
      <c r="R1123" s="32"/>
      <c r="S1123" s="32"/>
      <c r="T1123" s="32"/>
      <c r="U1123" s="32"/>
      <c r="V1123" s="32"/>
      <c r="W1123" s="32"/>
      <c r="X1123" s="32"/>
      <c r="Y1123" s="32"/>
      <c r="Z1123" s="32"/>
      <c r="AA1123" s="32"/>
      <c r="AB1123" s="32"/>
    </row>
    <row r="1124" spans="1:28" ht="13" x14ac:dyDescent="0.15">
      <c r="A1124" s="32"/>
      <c r="B1124" s="32"/>
      <c r="C1124" s="32"/>
      <c r="D1124" s="32"/>
      <c r="E1124" s="32"/>
      <c r="F1124" s="32"/>
      <c r="G1124" s="32"/>
      <c r="H1124" s="32"/>
      <c r="I1124" s="32"/>
      <c r="J1124" s="32"/>
      <c r="K1124" s="32"/>
      <c r="L1124" s="32"/>
      <c r="M1124" s="23"/>
      <c r="N1124" s="32"/>
      <c r="O1124" s="32"/>
      <c r="P1124" s="32"/>
      <c r="Q1124" s="32"/>
      <c r="R1124" s="32"/>
      <c r="S1124" s="32"/>
      <c r="T1124" s="32"/>
      <c r="U1124" s="32"/>
      <c r="V1124" s="32"/>
      <c r="W1124" s="32"/>
      <c r="X1124" s="32"/>
      <c r="Y1124" s="32"/>
      <c r="Z1124" s="32"/>
      <c r="AA1124" s="32"/>
      <c r="AB1124" s="32"/>
    </row>
    <row r="1125" spans="1:28" ht="13" x14ac:dyDescent="0.15">
      <c r="A1125" s="32"/>
      <c r="B1125" s="32"/>
      <c r="C1125" s="32"/>
      <c r="D1125" s="32"/>
      <c r="E1125" s="32"/>
      <c r="F1125" s="32"/>
      <c r="G1125" s="32"/>
      <c r="H1125" s="32"/>
      <c r="I1125" s="32"/>
      <c r="J1125" s="32"/>
      <c r="K1125" s="32"/>
      <c r="L1125" s="32"/>
      <c r="M1125" s="23"/>
      <c r="N1125" s="32"/>
      <c r="O1125" s="32"/>
      <c r="P1125" s="32"/>
      <c r="Q1125" s="32"/>
      <c r="R1125" s="32"/>
      <c r="S1125" s="32"/>
      <c r="T1125" s="32"/>
      <c r="U1125" s="32"/>
      <c r="V1125" s="32"/>
      <c r="W1125" s="32"/>
      <c r="X1125" s="32"/>
      <c r="Y1125" s="32"/>
      <c r="Z1125" s="32"/>
      <c r="AA1125" s="32"/>
      <c r="AB1125" s="32"/>
    </row>
    <row r="1126" spans="1:28" ht="13" x14ac:dyDescent="0.15">
      <c r="A1126" s="32"/>
      <c r="B1126" s="32"/>
      <c r="C1126" s="32"/>
      <c r="D1126" s="32"/>
      <c r="E1126" s="32"/>
      <c r="F1126" s="32"/>
      <c r="G1126" s="32"/>
      <c r="H1126" s="32"/>
      <c r="I1126" s="32"/>
      <c r="J1126" s="32"/>
      <c r="K1126" s="32"/>
      <c r="L1126" s="32"/>
      <c r="M1126" s="23"/>
      <c r="N1126" s="32"/>
      <c r="O1126" s="32"/>
      <c r="P1126" s="32"/>
      <c r="Q1126" s="32"/>
      <c r="R1126" s="32"/>
      <c r="S1126" s="32"/>
      <c r="T1126" s="32"/>
      <c r="U1126" s="32"/>
      <c r="V1126" s="32"/>
      <c r="W1126" s="32"/>
      <c r="X1126" s="32"/>
      <c r="Y1126" s="32"/>
      <c r="Z1126" s="32"/>
      <c r="AA1126" s="32"/>
      <c r="AB1126" s="32"/>
    </row>
    <row r="1127" spans="1:28" ht="13" x14ac:dyDescent="0.15">
      <c r="A1127" s="32"/>
      <c r="B1127" s="32"/>
      <c r="C1127" s="32"/>
      <c r="D1127" s="32"/>
      <c r="E1127" s="32"/>
      <c r="F1127" s="32"/>
      <c r="G1127" s="32"/>
      <c r="H1127" s="32"/>
      <c r="I1127" s="32"/>
      <c r="J1127" s="32"/>
      <c r="K1127" s="32"/>
      <c r="L1127" s="32"/>
      <c r="M1127" s="23"/>
      <c r="N1127" s="32"/>
      <c r="O1127" s="32"/>
      <c r="P1127" s="32"/>
      <c r="Q1127" s="32"/>
      <c r="R1127" s="32"/>
      <c r="S1127" s="32"/>
      <c r="T1127" s="32"/>
      <c r="U1127" s="32"/>
      <c r="V1127" s="32"/>
      <c r="W1127" s="32"/>
      <c r="X1127" s="32"/>
      <c r="Y1127" s="32"/>
      <c r="Z1127" s="32"/>
      <c r="AA1127" s="32"/>
      <c r="AB1127" s="32"/>
    </row>
    <row r="1128" spans="1:28" ht="13" x14ac:dyDescent="0.15">
      <c r="A1128" s="32"/>
      <c r="B1128" s="32"/>
      <c r="C1128" s="32"/>
      <c r="D1128" s="32"/>
      <c r="E1128" s="32"/>
      <c r="F1128" s="32"/>
      <c r="G1128" s="32"/>
      <c r="H1128" s="32"/>
      <c r="I1128" s="32"/>
      <c r="J1128" s="32"/>
      <c r="K1128" s="32"/>
      <c r="L1128" s="32"/>
      <c r="M1128" s="23"/>
      <c r="N1128" s="32"/>
      <c r="O1128" s="32"/>
      <c r="P1128" s="32"/>
      <c r="Q1128" s="32"/>
      <c r="R1128" s="32"/>
      <c r="S1128" s="32"/>
      <c r="T1128" s="32"/>
      <c r="U1128" s="32"/>
      <c r="V1128" s="32"/>
      <c r="W1128" s="32"/>
      <c r="X1128" s="32"/>
      <c r="Y1128" s="32"/>
      <c r="Z1128" s="32"/>
      <c r="AA1128" s="32"/>
      <c r="AB1128" s="32"/>
    </row>
    <row r="1129" spans="1:28" ht="13" x14ac:dyDescent="0.15">
      <c r="A1129" s="32"/>
      <c r="B1129" s="32"/>
      <c r="C1129" s="32"/>
      <c r="D1129" s="32"/>
      <c r="E1129" s="32"/>
      <c r="F1129" s="32"/>
      <c r="G1129" s="32"/>
      <c r="H1129" s="32"/>
      <c r="I1129" s="32"/>
      <c r="J1129" s="32"/>
      <c r="K1129" s="32"/>
      <c r="L1129" s="32"/>
      <c r="M1129" s="23"/>
      <c r="N1129" s="32"/>
      <c r="O1129" s="32"/>
      <c r="P1129" s="32"/>
      <c r="Q1129" s="32"/>
      <c r="R1129" s="32"/>
      <c r="S1129" s="32"/>
      <c r="T1129" s="32"/>
      <c r="U1129" s="32"/>
      <c r="V1129" s="32"/>
      <c r="W1129" s="32"/>
      <c r="X1129" s="32"/>
      <c r="Y1129" s="32"/>
      <c r="Z1129" s="32"/>
      <c r="AA1129" s="32"/>
      <c r="AB1129" s="32"/>
    </row>
    <row r="1130" spans="1:28" ht="13" x14ac:dyDescent="0.15">
      <c r="A1130" s="32"/>
      <c r="B1130" s="32"/>
      <c r="C1130" s="32"/>
      <c r="D1130" s="32"/>
      <c r="E1130" s="32"/>
      <c r="F1130" s="32"/>
      <c r="G1130" s="32"/>
      <c r="H1130" s="32"/>
      <c r="I1130" s="32"/>
      <c r="J1130" s="32"/>
      <c r="K1130" s="32"/>
      <c r="L1130" s="32"/>
      <c r="M1130" s="23"/>
      <c r="N1130" s="32"/>
      <c r="O1130" s="32"/>
      <c r="P1130" s="32"/>
      <c r="Q1130" s="32"/>
      <c r="R1130" s="32"/>
      <c r="S1130" s="32"/>
      <c r="T1130" s="32"/>
      <c r="U1130" s="32"/>
      <c r="V1130" s="32"/>
      <c r="W1130" s="32"/>
      <c r="X1130" s="32"/>
      <c r="Y1130" s="32"/>
      <c r="Z1130" s="32"/>
      <c r="AA1130" s="32"/>
      <c r="AB1130" s="32"/>
    </row>
    <row r="1131" spans="1:28" ht="13" x14ac:dyDescent="0.15">
      <c r="A1131" s="32"/>
      <c r="B1131" s="32"/>
      <c r="C1131" s="32"/>
      <c r="D1131" s="32"/>
      <c r="E1131" s="32"/>
      <c r="F1131" s="32"/>
      <c r="G1131" s="32"/>
      <c r="H1131" s="32"/>
      <c r="I1131" s="32"/>
      <c r="J1131" s="32"/>
      <c r="K1131" s="32"/>
      <c r="L1131" s="32"/>
      <c r="M1131" s="23"/>
      <c r="N1131" s="32"/>
      <c r="O1131" s="32"/>
      <c r="P1131" s="32"/>
      <c r="Q1131" s="32"/>
      <c r="R1131" s="32"/>
      <c r="S1131" s="32"/>
      <c r="T1131" s="32"/>
      <c r="U1131" s="32"/>
      <c r="V1131" s="32"/>
      <c r="W1131" s="32"/>
      <c r="X1131" s="32"/>
      <c r="Y1131" s="32"/>
      <c r="Z1131" s="32"/>
      <c r="AA1131" s="32"/>
      <c r="AB1131" s="32"/>
    </row>
    <row r="1132" spans="1:28" ht="13" x14ac:dyDescent="0.15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23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</row>
    <row r="1133" spans="1:28" ht="13" x14ac:dyDescent="0.15">
      <c r="A1133" s="32"/>
      <c r="B1133" s="32"/>
      <c r="C1133" s="32"/>
      <c r="D1133" s="32"/>
      <c r="E1133" s="32"/>
      <c r="F1133" s="32"/>
      <c r="G1133" s="32"/>
      <c r="H1133" s="32"/>
      <c r="I1133" s="32"/>
      <c r="J1133" s="32"/>
      <c r="K1133" s="32"/>
      <c r="L1133" s="32"/>
      <c r="M1133" s="23"/>
      <c r="N1133" s="32"/>
      <c r="O1133" s="32"/>
      <c r="P1133" s="32"/>
      <c r="Q1133" s="32"/>
      <c r="R1133" s="32"/>
      <c r="S1133" s="32"/>
      <c r="T1133" s="32"/>
      <c r="U1133" s="32"/>
      <c r="V1133" s="32"/>
      <c r="W1133" s="32"/>
      <c r="X1133" s="32"/>
      <c r="Y1133" s="32"/>
      <c r="Z1133" s="32"/>
      <c r="AA1133" s="32"/>
      <c r="AB1133" s="32"/>
    </row>
    <row r="1134" spans="1:28" ht="13" x14ac:dyDescent="0.15">
      <c r="A1134" s="32"/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  <c r="M1134" s="23"/>
      <c r="N1134" s="32"/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</row>
    <row r="1135" spans="1:28" ht="13" x14ac:dyDescent="0.15">
      <c r="A1135" s="32"/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  <c r="M1135" s="23"/>
      <c r="N1135" s="32"/>
      <c r="O1135" s="32"/>
      <c r="P1135" s="32"/>
      <c r="Q1135" s="32"/>
      <c r="R1135" s="32"/>
      <c r="S1135" s="32"/>
      <c r="T1135" s="32"/>
      <c r="U1135" s="32"/>
      <c r="V1135" s="32"/>
      <c r="W1135" s="32"/>
      <c r="X1135" s="32"/>
      <c r="Y1135" s="32"/>
      <c r="Z1135" s="32"/>
      <c r="AA1135" s="32"/>
      <c r="AB1135" s="32"/>
    </row>
    <row r="1136" spans="1:28" ht="13" x14ac:dyDescent="0.15">
      <c r="A1136" s="32"/>
      <c r="B1136" s="32"/>
      <c r="C1136" s="32"/>
      <c r="D1136" s="32"/>
      <c r="E1136" s="32"/>
      <c r="F1136" s="32"/>
      <c r="G1136" s="32"/>
      <c r="H1136" s="32"/>
      <c r="I1136" s="32"/>
      <c r="J1136" s="32"/>
      <c r="K1136" s="32"/>
      <c r="L1136" s="32"/>
      <c r="M1136" s="23"/>
      <c r="N1136" s="32"/>
      <c r="O1136" s="32"/>
      <c r="P1136" s="32"/>
      <c r="Q1136" s="32"/>
      <c r="R1136" s="32"/>
      <c r="S1136" s="32"/>
      <c r="T1136" s="32"/>
      <c r="U1136" s="32"/>
      <c r="V1136" s="32"/>
      <c r="W1136" s="32"/>
      <c r="X1136" s="32"/>
      <c r="Y1136" s="32"/>
      <c r="Z1136" s="32"/>
      <c r="AA1136" s="32"/>
      <c r="AB1136" s="32"/>
    </row>
    <row r="1137" spans="1:28" ht="13" x14ac:dyDescent="0.15">
      <c r="A1137" s="32"/>
      <c r="B1137" s="32"/>
      <c r="C1137" s="32"/>
      <c r="D1137" s="32"/>
      <c r="E1137" s="32"/>
      <c r="F1137" s="32"/>
      <c r="G1137" s="32"/>
      <c r="H1137" s="32"/>
      <c r="I1137" s="32"/>
      <c r="J1137" s="32"/>
      <c r="K1137" s="32"/>
      <c r="L1137" s="32"/>
      <c r="M1137" s="23"/>
      <c r="N1137" s="32"/>
      <c r="O1137" s="32"/>
      <c r="P1137" s="32"/>
      <c r="Q1137" s="32"/>
      <c r="R1137" s="32"/>
      <c r="S1137" s="32"/>
      <c r="T1137" s="32"/>
      <c r="U1137" s="32"/>
      <c r="V1137" s="32"/>
      <c r="W1137" s="32"/>
      <c r="X1137" s="32"/>
      <c r="Y1137" s="32"/>
      <c r="Z1137" s="32"/>
      <c r="AA1137" s="32"/>
      <c r="AB1137" s="32"/>
    </row>
    <row r="1138" spans="1:28" ht="13" x14ac:dyDescent="0.15">
      <c r="A1138" s="32"/>
      <c r="B1138" s="32"/>
      <c r="C1138" s="32"/>
      <c r="D1138" s="32"/>
      <c r="E1138" s="32"/>
      <c r="F1138" s="32"/>
      <c r="G1138" s="32"/>
      <c r="H1138" s="32"/>
      <c r="I1138" s="32"/>
      <c r="J1138" s="32"/>
      <c r="K1138" s="32"/>
      <c r="L1138" s="32"/>
      <c r="M1138" s="23"/>
      <c r="N1138" s="32"/>
      <c r="O1138" s="32"/>
      <c r="P1138" s="32"/>
      <c r="Q1138" s="32"/>
      <c r="R1138" s="32"/>
      <c r="S1138" s="32"/>
      <c r="T1138" s="32"/>
      <c r="U1138" s="32"/>
      <c r="V1138" s="32"/>
      <c r="W1138" s="32"/>
      <c r="X1138" s="32"/>
      <c r="Y1138" s="32"/>
      <c r="Z1138" s="32"/>
      <c r="AA1138" s="32"/>
      <c r="AB1138" s="32"/>
    </row>
    <row r="1139" spans="1:28" ht="13" x14ac:dyDescent="0.15">
      <c r="A1139" s="32"/>
      <c r="B1139" s="32"/>
      <c r="C1139" s="32"/>
      <c r="D1139" s="32"/>
      <c r="E1139" s="32"/>
      <c r="F1139" s="32"/>
      <c r="G1139" s="32"/>
      <c r="H1139" s="32"/>
      <c r="I1139" s="32"/>
      <c r="J1139" s="32"/>
      <c r="K1139" s="32"/>
      <c r="L1139" s="32"/>
      <c r="M1139" s="23"/>
      <c r="N1139" s="32"/>
      <c r="O1139" s="32"/>
      <c r="P1139" s="32"/>
      <c r="Q1139" s="32"/>
      <c r="R1139" s="32"/>
      <c r="S1139" s="32"/>
      <c r="T1139" s="32"/>
      <c r="U1139" s="32"/>
      <c r="V1139" s="32"/>
      <c r="W1139" s="32"/>
      <c r="X1139" s="32"/>
      <c r="Y1139" s="32"/>
      <c r="Z1139" s="32"/>
      <c r="AA1139" s="32"/>
      <c r="AB1139" s="32"/>
    </row>
    <row r="1140" spans="1:28" ht="13" x14ac:dyDescent="0.15">
      <c r="A1140" s="32"/>
      <c r="B1140" s="32"/>
      <c r="C1140" s="32"/>
      <c r="D1140" s="32"/>
      <c r="E1140" s="32"/>
      <c r="F1140" s="32"/>
      <c r="G1140" s="32"/>
      <c r="H1140" s="32"/>
      <c r="I1140" s="32"/>
      <c r="J1140" s="32"/>
      <c r="K1140" s="32"/>
      <c r="L1140" s="32"/>
      <c r="M1140" s="23"/>
      <c r="N1140" s="32"/>
      <c r="O1140" s="32"/>
      <c r="P1140" s="32"/>
      <c r="Q1140" s="32"/>
      <c r="R1140" s="32"/>
      <c r="S1140" s="32"/>
      <c r="T1140" s="32"/>
      <c r="U1140" s="32"/>
      <c r="V1140" s="32"/>
      <c r="W1140" s="32"/>
      <c r="X1140" s="32"/>
      <c r="Y1140" s="32"/>
      <c r="Z1140" s="32"/>
      <c r="AA1140" s="32"/>
      <c r="AB1140" s="32"/>
    </row>
    <row r="1141" spans="1:28" ht="13" x14ac:dyDescent="0.15">
      <c r="A1141" s="32"/>
      <c r="B1141" s="32"/>
      <c r="C1141" s="32"/>
      <c r="D1141" s="32"/>
      <c r="E1141" s="32"/>
      <c r="F1141" s="32"/>
      <c r="G1141" s="32"/>
      <c r="H1141" s="32"/>
      <c r="I1141" s="32"/>
      <c r="J1141" s="32"/>
      <c r="K1141" s="32"/>
      <c r="L1141" s="32"/>
      <c r="M1141" s="23"/>
      <c r="N1141" s="32"/>
      <c r="O1141" s="32"/>
      <c r="P1141" s="32"/>
      <c r="Q1141" s="32"/>
      <c r="R1141" s="32"/>
      <c r="S1141" s="32"/>
      <c r="T1141" s="32"/>
      <c r="U1141" s="32"/>
      <c r="V1141" s="32"/>
      <c r="W1141" s="32"/>
      <c r="X1141" s="32"/>
      <c r="Y1141" s="32"/>
      <c r="Z1141" s="32"/>
      <c r="AA1141" s="32"/>
      <c r="AB1141" s="32"/>
    </row>
    <row r="1142" spans="1:28" ht="13" x14ac:dyDescent="0.15">
      <c r="A1142" s="32"/>
      <c r="B1142" s="32"/>
      <c r="C1142" s="32"/>
      <c r="D1142" s="32"/>
      <c r="E1142" s="32"/>
      <c r="F1142" s="32"/>
      <c r="G1142" s="32"/>
      <c r="H1142" s="32"/>
      <c r="I1142" s="32"/>
      <c r="J1142" s="32"/>
      <c r="K1142" s="32"/>
      <c r="L1142" s="32"/>
      <c r="M1142" s="23"/>
      <c r="N1142" s="32"/>
      <c r="O1142" s="32"/>
      <c r="P1142" s="32"/>
      <c r="Q1142" s="32"/>
      <c r="R1142" s="32"/>
      <c r="S1142" s="32"/>
      <c r="T1142" s="32"/>
      <c r="U1142" s="32"/>
      <c r="V1142" s="32"/>
      <c r="W1142" s="32"/>
      <c r="X1142" s="32"/>
      <c r="Y1142" s="32"/>
      <c r="Z1142" s="32"/>
      <c r="AA1142" s="32"/>
      <c r="AB1142" s="32"/>
    </row>
    <row r="1143" spans="1:28" ht="13" x14ac:dyDescent="0.15">
      <c r="A1143" s="32"/>
      <c r="B1143" s="32"/>
      <c r="C1143" s="32"/>
      <c r="D1143" s="32"/>
      <c r="E1143" s="32"/>
      <c r="F1143" s="32"/>
      <c r="G1143" s="32"/>
      <c r="H1143" s="32"/>
      <c r="I1143" s="32"/>
      <c r="J1143" s="32"/>
      <c r="K1143" s="32"/>
      <c r="L1143" s="32"/>
      <c r="M1143" s="23"/>
      <c r="N1143" s="32"/>
      <c r="O1143" s="32"/>
      <c r="P1143" s="32"/>
      <c r="Q1143" s="32"/>
      <c r="R1143" s="32"/>
      <c r="S1143" s="32"/>
      <c r="T1143" s="32"/>
      <c r="U1143" s="32"/>
      <c r="V1143" s="32"/>
      <c r="W1143" s="32"/>
      <c r="X1143" s="32"/>
      <c r="Y1143" s="32"/>
      <c r="Z1143" s="32"/>
      <c r="AA1143" s="32"/>
      <c r="AB1143" s="32"/>
    </row>
    <row r="1144" spans="1:28" ht="13" x14ac:dyDescent="0.15">
      <c r="A1144" s="32"/>
      <c r="B1144" s="32"/>
      <c r="C1144" s="32"/>
      <c r="D1144" s="32"/>
      <c r="E1144" s="32"/>
      <c r="F1144" s="32"/>
      <c r="G1144" s="32"/>
      <c r="H1144" s="32"/>
      <c r="I1144" s="32"/>
      <c r="J1144" s="32"/>
      <c r="K1144" s="32"/>
      <c r="L1144" s="32"/>
      <c r="M1144" s="23"/>
      <c r="N1144" s="32"/>
      <c r="O1144" s="32"/>
      <c r="P1144" s="32"/>
      <c r="Q1144" s="32"/>
      <c r="R1144" s="32"/>
      <c r="S1144" s="32"/>
      <c r="T1144" s="32"/>
      <c r="U1144" s="32"/>
      <c r="V1144" s="32"/>
      <c r="W1144" s="32"/>
      <c r="X1144" s="32"/>
      <c r="Y1144" s="32"/>
      <c r="Z1144" s="32"/>
      <c r="AA1144" s="32"/>
      <c r="AB1144" s="32"/>
    </row>
    <row r="1145" spans="1:28" ht="13" x14ac:dyDescent="0.15">
      <c r="A1145" s="32"/>
      <c r="B1145" s="32"/>
      <c r="C1145" s="32"/>
      <c r="D1145" s="32"/>
      <c r="E1145" s="32"/>
      <c r="F1145" s="32"/>
      <c r="G1145" s="32"/>
      <c r="H1145" s="32"/>
      <c r="I1145" s="32"/>
      <c r="J1145" s="32"/>
      <c r="K1145" s="32"/>
      <c r="L1145" s="32"/>
      <c r="M1145" s="23"/>
      <c r="N1145" s="32"/>
      <c r="O1145" s="32"/>
      <c r="P1145" s="32"/>
      <c r="Q1145" s="32"/>
      <c r="R1145" s="32"/>
      <c r="S1145" s="32"/>
      <c r="T1145" s="32"/>
      <c r="U1145" s="32"/>
      <c r="V1145" s="32"/>
      <c r="W1145" s="32"/>
      <c r="X1145" s="32"/>
      <c r="Y1145" s="32"/>
      <c r="Z1145" s="32"/>
      <c r="AA1145" s="32"/>
      <c r="AB1145" s="32"/>
    </row>
    <row r="1146" spans="1:28" ht="13" x14ac:dyDescent="0.15">
      <c r="A1146" s="32"/>
      <c r="B1146" s="32"/>
      <c r="C1146" s="32"/>
      <c r="D1146" s="32"/>
      <c r="E1146" s="32"/>
      <c r="F1146" s="32"/>
      <c r="G1146" s="32"/>
      <c r="H1146" s="32"/>
      <c r="I1146" s="32"/>
      <c r="J1146" s="32"/>
      <c r="K1146" s="32"/>
      <c r="L1146" s="32"/>
      <c r="M1146" s="23"/>
      <c r="N1146" s="32"/>
      <c r="O1146" s="32"/>
      <c r="P1146" s="32"/>
      <c r="Q1146" s="32"/>
      <c r="R1146" s="32"/>
      <c r="S1146" s="32"/>
      <c r="T1146" s="32"/>
      <c r="U1146" s="32"/>
      <c r="V1146" s="32"/>
      <c r="W1146" s="32"/>
      <c r="X1146" s="32"/>
      <c r="Y1146" s="32"/>
      <c r="Z1146" s="32"/>
      <c r="AA1146" s="32"/>
      <c r="AB1146" s="32"/>
    </row>
    <row r="1147" spans="1:28" ht="13" x14ac:dyDescent="0.15">
      <c r="A1147" s="32"/>
      <c r="B1147" s="32"/>
      <c r="C1147" s="32"/>
      <c r="D1147" s="32"/>
      <c r="E1147" s="32"/>
      <c r="F1147" s="32"/>
      <c r="G1147" s="32"/>
      <c r="H1147" s="32"/>
      <c r="I1147" s="32"/>
      <c r="J1147" s="32"/>
      <c r="K1147" s="32"/>
      <c r="L1147" s="32"/>
      <c r="M1147" s="23"/>
      <c r="N1147" s="32"/>
      <c r="O1147" s="32"/>
      <c r="P1147" s="32"/>
      <c r="Q1147" s="32"/>
      <c r="R1147" s="32"/>
      <c r="S1147" s="32"/>
      <c r="T1147" s="32"/>
      <c r="U1147" s="32"/>
      <c r="V1147" s="32"/>
      <c r="W1147" s="32"/>
      <c r="X1147" s="32"/>
      <c r="Y1147" s="32"/>
      <c r="Z1147" s="32"/>
      <c r="AA1147" s="32"/>
      <c r="AB1147" s="32"/>
    </row>
    <row r="1148" spans="1:28" ht="13" x14ac:dyDescent="0.15">
      <c r="A1148" s="32"/>
      <c r="B1148" s="32"/>
      <c r="C1148" s="32"/>
      <c r="D1148" s="32"/>
      <c r="E1148" s="32"/>
      <c r="F1148" s="32"/>
      <c r="G1148" s="32"/>
      <c r="H1148" s="32"/>
      <c r="I1148" s="32"/>
      <c r="J1148" s="32"/>
      <c r="K1148" s="32"/>
      <c r="L1148" s="32"/>
      <c r="M1148" s="23"/>
      <c r="N1148" s="32"/>
      <c r="O1148" s="32"/>
      <c r="P1148" s="32"/>
      <c r="Q1148" s="32"/>
      <c r="R1148" s="32"/>
      <c r="S1148" s="32"/>
      <c r="T1148" s="32"/>
      <c r="U1148" s="32"/>
      <c r="V1148" s="32"/>
      <c r="W1148" s="32"/>
      <c r="X1148" s="32"/>
      <c r="Y1148" s="32"/>
      <c r="Z1148" s="32"/>
      <c r="AA1148" s="32"/>
      <c r="AB1148" s="32"/>
    </row>
    <row r="1149" spans="1:28" ht="13" x14ac:dyDescent="0.15">
      <c r="A1149" s="32"/>
      <c r="B1149" s="32"/>
      <c r="C1149" s="32"/>
      <c r="D1149" s="32"/>
      <c r="E1149" s="32"/>
      <c r="F1149" s="32"/>
      <c r="G1149" s="32"/>
      <c r="H1149" s="32"/>
      <c r="I1149" s="32"/>
      <c r="J1149" s="32"/>
      <c r="K1149" s="32"/>
      <c r="L1149" s="32"/>
      <c r="M1149" s="23"/>
      <c r="N1149" s="32"/>
      <c r="O1149" s="32"/>
      <c r="P1149" s="32"/>
      <c r="Q1149" s="32"/>
      <c r="R1149" s="32"/>
      <c r="S1149" s="32"/>
      <c r="T1149" s="32"/>
      <c r="U1149" s="32"/>
      <c r="V1149" s="32"/>
      <c r="W1149" s="32"/>
      <c r="X1149" s="32"/>
      <c r="Y1149" s="32"/>
      <c r="Z1149" s="32"/>
      <c r="AA1149" s="32"/>
      <c r="AB1149" s="32"/>
    </row>
    <row r="1150" spans="1:28" ht="13" x14ac:dyDescent="0.15">
      <c r="A1150" s="32"/>
      <c r="B1150" s="32"/>
      <c r="C1150" s="32"/>
      <c r="D1150" s="32"/>
      <c r="E1150" s="32"/>
      <c r="F1150" s="32"/>
      <c r="G1150" s="32"/>
      <c r="H1150" s="32"/>
      <c r="I1150" s="32"/>
      <c r="J1150" s="32"/>
      <c r="K1150" s="32"/>
      <c r="L1150" s="32"/>
      <c r="M1150" s="23"/>
      <c r="N1150" s="32"/>
      <c r="O1150" s="32"/>
      <c r="P1150" s="32"/>
      <c r="Q1150" s="32"/>
      <c r="R1150" s="32"/>
      <c r="S1150" s="32"/>
      <c r="T1150" s="32"/>
      <c r="U1150" s="32"/>
      <c r="V1150" s="32"/>
      <c r="W1150" s="32"/>
      <c r="X1150" s="32"/>
      <c r="Y1150" s="32"/>
      <c r="Z1150" s="32"/>
      <c r="AA1150" s="32"/>
      <c r="AB1150" s="32"/>
    </row>
    <row r="1151" spans="1:28" ht="13" x14ac:dyDescent="0.15">
      <c r="A1151" s="32"/>
      <c r="B1151" s="32"/>
      <c r="C1151" s="32"/>
      <c r="D1151" s="32"/>
      <c r="E1151" s="32"/>
      <c r="F1151" s="32"/>
      <c r="G1151" s="32"/>
      <c r="H1151" s="32"/>
      <c r="I1151" s="32"/>
      <c r="J1151" s="32"/>
      <c r="K1151" s="32"/>
      <c r="L1151" s="32"/>
      <c r="M1151" s="23"/>
      <c r="N1151" s="32"/>
      <c r="O1151" s="32"/>
      <c r="P1151" s="32"/>
      <c r="Q1151" s="32"/>
      <c r="R1151" s="32"/>
      <c r="S1151" s="32"/>
      <c r="T1151" s="32"/>
      <c r="U1151" s="32"/>
      <c r="V1151" s="32"/>
      <c r="W1151" s="32"/>
      <c r="X1151" s="32"/>
      <c r="Y1151" s="32"/>
      <c r="Z1151" s="32"/>
      <c r="AA1151" s="32"/>
      <c r="AB1151" s="32"/>
    </row>
    <row r="1152" spans="1:28" ht="13" x14ac:dyDescent="0.15">
      <c r="A1152" s="32"/>
      <c r="B1152" s="32"/>
      <c r="C1152" s="32"/>
      <c r="D1152" s="32"/>
      <c r="E1152" s="32"/>
      <c r="F1152" s="32"/>
      <c r="G1152" s="32"/>
      <c r="H1152" s="32"/>
      <c r="I1152" s="32"/>
      <c r="J1152" s="32"/>
      <c r="K1152" s="32"/>
      <c r="L1152" s="32"/>
      <c r="M1152" s="23"/>
      <c r="N1152" s="32"/>
      <c r="O1152" s="32"/>
      <c r="P1152" s="32"/>
      <c r="Q1152" s="32"/>
      <c r="R1152" s="32"/>
      <c r="S1152" s="32"/>
      <c r="T1152" s="32"/>
      <c r="U1152" s="32"/>
      <c r="V1152" s="32"/>
      <c r="W1152" s="32"/>
      <c r="X1152" s="32"/>
      <c r="Y1152" s="32"/>
      <c r="Z1152" s="32"/>
      <c r="AA1152" s="32"/>
      <c r="AB1152" s="32"/>
    </row>
    <row r="1153" spans="1:28" ht="13" x14ac:dyDescent="0.15">
      <c r="A1153" s="32"/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  <c r="M1153" s="23"/>
      <c r="N1153" s="32"/>
      <c r="O1153" s="32"/>
      <c r="P1153" s="32"/>
      <c r="Q1153" s="32"/>
      <c r="R1153" s="32"/>
      <c r="S1153" s="32"/>
      <c r="T1153" s="32"/>
      <c r="U1153" s="32"/>
      <c r="V1153" s="32"/>
      <c r="W1153" s="32"/>
      <c r="X1153" s="32"/>
      <c r="Y1153" s="32"/>
      <c r="Z1153" s="32"/>
      <c r="AA1153" s="32"/>
      <c r="AB1153" s="32"/>
    </row>
    <row r="1154" spans="1:28" ht="13" x14ac:dyDescent="0.15">
      <c r="A1154" s="32"/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  <c r="M1154" s="23"/>
      <c r="N1154" s="32"/>
      <c r="O1154" s="32"/>
      <c r="P1154" s="32"/>
      <c r="Q1154" s="32"/>
      <c r="R1154" s="32"/>
      <c r="S1154" s="32"/>
      <c r="T1154" s="32"/>
      <c r="U1154" s="32"/>
      <c r="V1154" s="32"/>
      <c r="W1154" s="32"/>
      <c r="X1154" s="32"/>
      <c r="Y1154" s="32"/>
      <c r="Z1154" s="32"/>
      <c r="AA1154" s="32"/>
      <c r="AB1154" s="32"/>
    </row>
    <row r="1155" spans="1:28" ht="13" x14ac:dyDescent="0.15">
      <c r="A1155" s="32"/>
      <c r="B1155" s="32"/>
      <c r="C1155" s="32"/>
      <c r="D1155" s="32"/>
      <c r="E1155" s="32"/>
      <c r="F1155" s="32"/>
      <c r="G1155" s="32"/>
      <c r="H1155" s="32"/>
      <c r="I1155" s="32"/>
      <c r="J1155" s="32"/>
      <c r="K1155" s="32"/>
      <c r="L1155" s="32"/>
      <c r="M1155" s="23"/>
      <c r="N1155" s="32"/>
      <c r="O1155" s="32"/>
      <c r="P1155" s="32"/>
      <c r="Q1155" s="32"/>
      <c r="R1155" s="32"/>
      <c r="S1155" s="32"/>
      <c r="T1155" s="32"/>
      <c r="U1155" s="32"/>
      <c r="V1155" s="32"/>
      <c r="W1155" s="32"/>
      <c r="X1155" s="32"/>
      <c r="Y1155" s="32"/>
      <c r="Z1155" s="32"/>
      <c r="AA1155" s="32"/>
      <c r="AB1155" s="32"/>
    </row>
    <row r="1156" spans="1:28" ht="13" x14ac:dyDescent="0.15">
      <c r="A1156" s="32"/>
      <c r="B1156" s="32"/>
      <c r="C1156" s="32"/>
      <c r="D1156" s="32"/>
      <c r="E1156" s="32"/>
      <c r="F1156" s="32"/>
      <c r="G1156" s="32"/>
      <c r="H1156" s="32"/>
      <c r="I1156" s="32"/>
      <c r="J1156" s="32"/>
      <c r="K1156" s="32"/>
      <c r="L1156" s="32"/>
      <c r="M1156" s="23"/>
      <c r="N1156" s="32"/>
      <c r="O1156" s="32"/>
      <c r="P1156" s="32"/>
      <c r="Q1156" s="32"/>
      <c r="R1156" s="32"/>
      <c r="S1156" s="32"/>
      <c r="T1156" s="32"/>
      <c r="U1156" s="32"/>
      <c r="V1156" s="32"/>
      <c r="W1156" s="32"/>
      <c r="X1156" s="32"/>
      <c r="Y1156" s="32"/>
      <c r="Z1156" s="32"/>
      <c r="AA1156" s="32"/>
      <c r="AB1156" s="32"/>
    </row>
    <row r="1157" spans="1:28" ht="13" x14ac:dyDescent="0.15">
      <c r="A1157" s="32"/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  <c r="M1157" s="23"/>
      <c r="N1157" s="32"/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</row>
    <row r="1158" spans="1:28" ht="13" x14ac:dyDescent="0.15">
      <c r="A1158" s="32"/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  <c r="M1158" s="23"/>
      <c r="N1158" s="32"/>
      <c r="O1158" s="32"/>
      <c r="P1158" s="32"/>
      <c r="Q1158" s="32"/>
      <c r="R1158" s="32"/>
      <c r="S1158" s="32"/>
      <c r="T1158" s="32"/>
      <c r="U1158" s="32"/>
      <c r="V1158" s="32"/>
      <c r="W1158" s="32"/>
      <c r="X1158" s="32"/>
      <c r="Y1158" s="32"/>
      <c r="Z1158" s="32"/>
      <c r="AA1158" s="32"/>
      <c r="AB1158" s="32"/>
    </row>
    <row r="1159" spans="1:28" ht="13" x14ac:dyDescent="0.15">
      <c r="A1159" s="32"/>
      <c r="B1159" s="32"/>
      <c r="C1159" s="32"/>
      <c r="D1159" s="32"/>
      <c r="E1159" s="32"/>
      <c r="F1159" s="32"/>
      <c r="G1159" s="32"/>
      <c r="H1159" s="32"/>
      <c r="I1159" s="32"/>
      <c r="J1159" s="32"/>
      <c r="K1159" s="32"/>
      <c r="L1159" s="32"/>
      <c r="M1159" s="23"/>
      <c r="N1159" s="32"/>
      <c r="O1159" s="32"/>
      <c r="P1159" s="32"/>
      <c r="Q1159" s="32"/>
      <c r="R1159" s="32"/>
      <c r="S1159" s="32"/>
      <c r="T1159" s="32"/>
      <c r="U1159" s="32"/>
      <c r="V1159" s="32"/>
      <c r="W1159" s="32"/>
      <c r="X1159" s="32"/>
      <c r="Y1159" s="32"/>
      <c r="Z1159" s="32"/>
      <c r="AA1159" s="32"/>
      <c r="AB1159" s="32"/>
    </row>
    <row r="1160" spans="1:28" ht="13" x14ac:dyDescent="0.15">
      <c r="A1160" s="32"/>
      <c r="B1160" s="32"/>
      <c r="C1160" s="32"/>
      <c r="D1160" s="32"/>
      <c r="E1160" s="32"/>
      <c r="F1160" s="32"/>
      <c r="G1160" s="32"/>
      <c r="H1160" s="32"/>
      <c r="I1160" s="32"/>
      <c r="J1160" s="32"/>
      <c r="K1160" s="32"/>
      <c r="L1160" s="32"/>
      <c r="M1160" s="23"/>
      <c r="N1160" s="32"/>
      <c r="O1160" s="32"/>
      <c r="P1160" s="32"/>
      <c r="Q1160" s="32"/>
      <c r="R1160" s="32"/>
      <c r="S1160" s="32"/>
      <c r="T1160" s="32"/>
      <c r="U1160" s="32"/>
      <c r="V1160" s="32"/>
      <c r="W1160" s="32"/>
      <c r="X1160" s="32"/>
      <c r="Y1160" s="32"/>
      <c r="Z1160" s="32"/>
      <c r="AA1160" s="32"/>
      <c r="AB1160" s="32"/>
    </row>
    <row r="1161" spans="1:28" ht="13" x14ac:dyDescent="0.15">
      <c r="A1161" s="32"/>
      <c r="B1161" s="32"/>
      <c r="C1161" s="32"/>
      <c r="D1161" s="32"/>
      <c r="E1161" s="32"/>
      <c r="F1161" s="32"/>
      <c r="G1161" s="32"/>
      <c r="H1161" s="32"/>
      <c r="I1161" s="32"/>
      <c r="J1161" s="32"/>
      <c r="K1161" s="32"/>
      <c r="L1161" s="32"/>
      <c r="M1161" s="23"/>
      <c r="N1161" s="32"/>
      <c r="O1161" s="32"/>
      <c r="P1161" s="32"/>
      <c r="Q1161" s="32"/>
      <c r="R1161" s="32"/>
      <c r="S1161" s="32"/>
      <c r="T1161" s="32"/>
      <c r="U1161" s="32"/>
      <c r="V1161" s="32"/>
      <c r="W1161" s="32"/>
      <c r="X1161" s="32"/>
      <c r="Y1161" s="32"/>
      <c r="Z1161" s="32"/>
      <c r="AA1161" s="32"/>
      <c r="AB1161" s="32"/>
    </row>
    <row r="1162" spans="1:28" ht="13" x14ac:dyDescent="0.15">
      <c r="A1162" s="32"/>
      <c r="B1162" s="32"/>
      <c r="C1162" s="32"/>
      <c r="D1162" s="32"/>
      <c r="E1162" s="32"/>
      <c r="F1162" s="32"/>
      <c r="G1162" s="32"/>
      <c r="H1162" s="32"/>
      <c r="I1162" s="32"/>
      <c r="J1162" s="32"/>
      <c r="K1162" s="32"/>
      <c r="L1162" s="32"/>
      <c r="M1162" s="23"/>
      <c r="N1162" s="32"/>
      <c r="O1162" s="32"/>
      <c r="P1162" s="32"/>
      <c r="Q1162" s="32"/>
      <c r="R1162" s="32"/>
      <c r="S1162" s="32"/>
      <c r="T1162" s="32"/>
      <c r="U1162" s="32"/>
      <c r="V1162" s="32"/>
      <c r="W1162" s="32"/>
      <c r="X1162" s="32"/>
      <c r="Y1162" s="32"/>
      <c r="Z1162" s="32"/>
      <c r="AA1162" s="32"/>
      <c r="AB1162" s="32"/>
    </row>
    <row r="1163" spans="1:28" ht="13" x14ac:dyDescent="0.15">
      <c r="A1163" s="32"/>
      <c r="B1163" s="32"/>
      <c r="C1163" s="32"/>
      <c r="D1163" s="32"/>
      <c r="E1163" s="32"/>
      <c r="F1163" s="32"/>
      <c r="G1163" s="32"/>
      <c r="H1163" s="32"/>
      <c r="I1163" s="32"/>
      <c r="J1163" s="32"/>
      <c r="K1163" s="32"/>
      <c r="L1163" s="32"/>
      <c r="M1163" s="23"/>
      <c r="N1163" s="32"/>
      <c r="O1163" s="32"/>
      <c r="P1163" s="32"/>
      <c r="Q1163" s="32"/>
      <c r="R1163" s="32"/>
      <c r="S1163" s="32"/>
      <c r="T1163" s="32"/>
      <c r="U1163" s="32"/>
      <c r="V1163" s="32"/>
      <c r="W1163" s="32"/>
      <c r="X1163" s="32"/>
      <c r="Y1163" s="32"/>
      <c r="Z1163" s="32"/>
      <c r="AA1163" s="32"/>
      <c r="AB1163" s="32"/>
    </row>
    <row r="1164" spans="1:28" ht="13" x14ac:dyDescent="0.15">
      <c r="A1164" s="32"/>
      <c r="B1164" s="32"/>
      <c r="C1164" s="32"/>
      <c r="D1164" s="32"/>
      <c r="E1164" s="32"/>
      <c r="F1164" s="32"/>
      <c r="G1164" s="32"/>
      <c r="H1164" s="32"/>
      <c r="I1164" s="32"/>
      <c r="J1164" s="32"/>
      <c r="K1164" s="32"/>
      <c r="L1164" s="32"/>
      <c r="M1164" s="23"/>
      <c r="N1164" s="32"/>
      <c r="O1164" s="32"/>
      <c r="P1164" s="32"/>
      <c r="Q1164" s="32"/>
      <c r="R1164" s="32"/>
      <c r="S1164" s="32"/>
      <c r="T1164" s="32"/>
      <c r="U1164" s="32"/>
      <c r="V1164" s="32"/>
      <c r="W1164" s="32"/>
      <c r="X1164" s="32"/>
      <c r="Y1164" s="32"/>
      <c r="Z1164" s="32"/>
      <c r="AA1164" s="32"/>
      <c r="AB1164" s="32"/>
    </row>
    <row r="1165" spans="1:28" ht="13" x14ac:dyDescent="0.15">
      <c r="A1165" s="32"/>
      <c r="B1165" s="32"/>
      <c r="C1165" s="32"/>
      <c r="D1165" s="32"/>
      <c r="E1165" s="32"/>
      <c r="F1165" s="32"/>
      <c r="G1165" s="32"/>
      <c r="H1165" s="32"/>
      <c r="I1165" s="32"/>
      <c r="J1165" s="32"/>
      <c r="K1165" s="32"/>
      <c r="L1165" s="32"/>
      <c r="M1165" s="23"/>
      <c r="N1165" s="32"/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</row>
    <row r="1166" spans="1:28" ht="13" x14ac:dyDescent="0.15">
      <c r="A1166" s="32"/>
      <c r="B1166" s="32"/>
      <c r="C1166" s="32"/>
      <c r="D1166" s="32"/>
      <c r="E1166" s="32"/>
      <c r="F1166" s="32"/>
      <c r="G1166" s="32"/>
      <c r="H1166" s="32"/>
      <c r="I1166" s="32"/>
      <c r="J1166" s="32"/>
      <c r="K1166" s="32"/>
      <c r="L1166" s="32"/>
      <c r="M1166" s="23"/>
      <c r="N1166" s="32"/>
      <c r="O1166" s="32"/>
      <c r="P1166" s="32"/>
      <c r="Q1166" s="32"/>
      <c r="R1166" s="32"/>
      <c r="S1166" s="32"/>
      <c r="T1166" s="32"/>
      <c r="U1166" s="32"/>
      <c r="V1166" s="32"/>
      <c r="W1166" s="32"/>
      <c r="X1166" s="32"/>
      <c r="Y1166" s="32"/>
      <c r="Z1166" s="32"/>
      <c r="AA1166" s="32"/>
      <c r="AB1166" s="32"/>
    </row>
    <row r="1167" spans="1:28" ht="13" x14ac:dyDescent="0.15">
      <c r="A1167" s="32"/>
      <c r="B1167" s="32"/>
      <c r="C1167" s="32"/>
      <c r="D1167" s="32"/>
      <c r="E1167" s="32"/>
      <c r="F1167" s="32"/>
      <c r="G1167" s="32"/>
      <c r="H1167" s="32"/>
      <c r="I1167" s="32"/>
      <c r="J1167" s="32"/>
      <c r="K1167" s="32"/>
      <c r="L1167" s="32"/>
      <c r="M1167" s="23"/>
      <c r="N1167" s="32"/>
      <c r="O1167" s="32"/>
      <c r="P1167" s="32"/>
      <c r="Q1167" s="32"/>
      <c r="R1167" s="32"/>
      <c r="S1167" s="32"/>
      <c r="T1167" s="32"/>
      <c r="U1167" s="32"/>
      <c r="V1167" s="32"/>
      <c r="W1167" s="32"/>
      <c r="X1167" s="32"/>
      <c r="Y1167" s="32"/>
      <c r="Z1167" s="32"/>
      <c r="AA1167" s="32"/>
      <c r="AB1167" s="32"/>
    </row>
    <row r="1168" spans="1:28" ht="13" x14ac:dyDescent="0.15">
      <c r="A1168" s="32"/>
      <c r="B1168" s="32"/>
      <c r="C1168" s="32"/>
      <c r="D1168" s="32"/>
      <c r="E1168" s="32"/>
      <c r="F1168" s="32"/>
      <c r="G1168" s="32"/>
      <c r="H1168" s="32"/>
      <c r="I1168" s="32"/>
      <c r="J1168" s="32"/>
      <c r="K1168" s="32"/>
      <c r="L1168" s="32"/>
      <c r="M1168" s="23"/>
      <c r="N1168" s="32"/>
      <c r="O1168" s="32"/>
      <c r="P1168" s="32"/>
      <c r="Q1168" s="32"/>
      <c r="R1168" s="32"/>
      <c r="S1168" s="32"/>
      <c r="T1168" s="32"/>
      <c r="U1168" s="32"/>
      <c r="V1168" s="32"/>
      <c r="W1168" s="32"/>
      <c r="X1168" s="32"/>
      <c r="Y1168" s="32"/>
      <c r="Z1168" s="32"/>
      <c r="AA1168" s="32"/>
      <c r="AB1168" s="32"/>
    </row>
    <row r="1169" spans="1:28" ht="13" x14ac:dyDescent="0.15">
      <c r="A1169" s="32"/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  <c r="M1169" s="23"/>
      <c r="N1169" s="32"/>
      <c r="O1169" s="32"/>
      <c r="P1169" s="32"/>
      <c r="Q1169" s="32"/>
      <c r="R1169" s="32"/>
      <c r="S1169" s="32"/>
      <c r="T1169" s="32"/>
      <c r="U1169" s="32"/>
      <c r="V1169" s="32"/>
      <c r="W1169" s="32"/>
      <c r="X1169" s="32"/>
      <c r="Y1169" s="32"/>
      <c r="Z1169" s="32"/>
      <c r="AA1169" s="32"/>
      <c r="AB1169" s="32"/>
    </row>
    <row r="1170" spans="1:28" ht="13" x14ac:dyDescent="0.15">
      <c r="A1170" s="32"/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  <c r="M1170" s="23"/>
      <c r="N1170" s="32"/>
      <c r="O1170" s="32"/>
      <c r="P1170" s="32"/>
      <c r="Q1170" s="32"/>
      <c r="R1170" s="32"/>
      <c r="S1170" s="32"/>
      <c r="T1170" s="32"/>
      <c r="U1170" s="32"/>
      <c r="V1170" s="32"/>
      <c r="W1170" s="32"/>
      <c r="X1170" s="32"/>
      <c r="Y1170" s="32"/>
      <c r="Z1170" s="32"/>
      <c r="AA1170" s="32"/>
      <c r="AB1170" s="32"/>
    </row>
    <row r="1171" spans="1:28" ht="13" x14ac:dyDescent="0.15">
      <c r="A1171" s="32"/>
      <c r="B1171" s="32"/>
      <c r="C1171" s="32"/>
      <c r="D1171" s="32"/>
      <c r="E1171" s="32"/>
      <c r="F1171" s="32"/>
      <c r="G1171" s="32"/>
      <c r="H1171" s="32"/>
      <c r="I1171" s="32"/>
      <c r="J1171" s="32"/>
      <c r="K1171" s="32"/>
      <c r="L1171" s="32"/>
      <c r="M1171" s="23"/>
      <c r="N1171" s="32"/>
      <c r="O1171" s="32"/>
      <c r="P1171" s="32"/>
      <c r="Q1171" s="32"/>
      <c r="R1171" s="32"/>
      <c r="S1171" s="32"/>
      <c r="T1171" s="32"/>
      <c r="U1171" s="32"/>
      <c r="V1171" s="32"/>
      <c r="W1171" s="32"/>
      <c r="X1171" s="32"/>
      <c r="Y1171" s="32"/>
      <c r="Z1171" s="32"/>
      <c r="AA1171" s="32"/>
      <c r="AB1171" s="32"/>
    </row>
    <row r="1172" spans="1:28" ht="13" x14ac:dyDescent="0.15">
      <c r="A1172" s="32"/>
      <c r="B1172" s="32"/>
      <c r="C1172" s="32"/>
      <c r="D1172" s="32"/>
      <c r="E1172" s="32"/>
      <c r="F1172" s="32"/>
      <c r="G1172" s="32"/>
      <c r="H1172" s="32"/>
      <c r="I1172" s="32"/>
      <c r="J1172" s="32"/>
      <c r="K1172" s="32"/>
      <c r="L1172" s="32"/>
      <c r="M1172" s="23"/>
      <c r="N1172" s="32"/>
      <c r="O1172" s="32"/>
      <c r="P1172" s="32"/>
      <c r="Q1172" s="32"/>
      <c r="R1172" s="32"/>
      <c r="S1172" s="32"/>
      <c r="T1172" s="32"/>
      <c r="U1172" s="32"/>
      <c r="V1172" s="32"/>
      <c r="W1172" s="32"/>
      <c r="X1172" s="32"/>
      <c r="Y1172" s="32"/>
      <c r="Z1172" s="32"/>
      <c r="AA1172" s="32"/>
      <c r="AB1172" s="32"/>
    </row>
    <row r="1173" spans="1:28" ht="13" x14ac:dyDescent="0.15">
      <c r="A1173" s="32"/>
      <c r="B1173" s="32"/>
      <c r="C1173" s="32"/>
      <c r="D1173" s="32"/>
      <c r="E1173" s="32"/>
      <c r="F1173" s="32"/>
      <c r="G1173" s="32"/>
      <c r="H1173" s="32"/>
      <c r="I1173" s="32"/>
      <c r="J1173" s="32"/>
      <c r="K1173" s="32"/>
      <c r="L1173" s="32"/>
      <c r="M1173" s="23"/>
      <c r="N1173" s="32"/>
      <c r="O1173" s="32"/>
      <c r="P1173" s="32"/>
      <c r="Q1173" s="32"/>
      <c r="R1173" s="32"/>
      <c r="S1173" s="32"/>
      <c r="T1173" s="32"/>
      <c r="U1173" s="32"/>
      <c r="V1173" s="32"/>
      <c r="W1173" s="32"/>
      <c r="X1173" s="32"/>
      <c r="Y1173" s="32"/>
      <c r="Z1173" s="32"/>
      <c r="AA1173" s="32"/>
      <c r="AB1173" s="32"/>
    </row>
    <row r="1174" spans="1:28" ht="13" x14ac:dyDescent="0.15">
      <c r="A1174" s="32"/>
      <c r="B1174" s="32"/>
      <c r="C1174" s="32"/>
      <c r="D1174" s="32"/>
      <c r="E1174" s="32"/>
      <c r="F1174" s="32"/>
      <c r="G1174" s="32"/>
      <c r="H1174" s="32"/>
      <c r="I1174" s="32"/>
      <c r="J1174" s="32"/>
      <c r="K1174" s="32"/>
      <c r="L1174" s="32"/>
      <c r="M1174" s="23"/>
      <c r="N1174" s="32"/>
      <c r="O1174" s="32"/>
      <c r="P1174" s="32"/>
      <c r="Q1174" s="32"/>
      <c r="R1174" s="32"/>
      <c r="S1174" s="32"/>
      <c r="T1174" s="32"/>
      <c r="U1174" s="32"/>
      <c r="V1174" s="32"/>
      <c r="W1174" s="32"/>
      <c r="X1174" s="32"/>
      <c r="Y1174" s="32"/>
      <c r="Z1174" s="32"/>
      <c r="AA1174" s="32"/>
      <c r="AB1174" s="32"/>
    </row>
    <row r="1175" spans="1:28" ht="13" x14ac:dyDescent="0.15">
      <c r="A1175" s="32"/>
      <c r="B1175" s="32"/>
      <c r="C1175" s="32"/>
      <c r="D1175" s="32"/>
      <c r="E1175" s="32"/>
      <c r="F1175" s="32"/>
      <c r="G1175" s="32"/>
      <c r="H1175" s="32"/>
      <c r="I1175" s="32"/>
      <c r="J1175" s="32"/>
      <c r="K1175" s="32"/>
      <c r="L1175" s="32"/>
      <c r="M1175" s="23"/>
      <c r="N1175" s="32"/>
      <c r="O1175" s="32"/>
      <c r="P1175" s="32"/>
      <c r="Q1175" s="32"/>
      <c r="R1175" s="32"/>
      <c r="S1175" s="32"/>
      <c r="T1175" s="32"/>
      <c r="U1175" s="32"/>
      <c r="V1175" s="32"/>
      <c r="W1175" s="32"/>
      <c r="X1175" s="32"/>
      <c r="Y1175" s="32"/>
      <c r="Z1175" s="32"/>
      <c r="AA1175" s="32"/>
      <c r="AB1175" s="32"/>
    </row>
    <row r="1176" spans="1:28" ht="13" x14ac:dyDescent="0.15">
      <c r="A1176" s="32"/>
      <c r="B1176" s="32"/>
      <c r="C1176" s="32"/>
      <c r="D1176" s="32"/>
      <c r="E1176" s="32"/>
      <c r="F1176" s="32"/>
      <c r="G1176" s="32"/>
      <c r="H1176" s="32"/>
      <c r="I1176" s="32"/>
      <c r="J1176" s="32"/>
      <c r="K1176" s="32"/>
      <c r="L1176" s="32"/>
      <c r="M1176" s="23"/>
      <c r="N1176" s="32"/>
      <c r="O1176" s="32"/>
      <c r="P1176" s="32"/>
      <c r="Q1176" s="32"/>
      <c r="R1176" s="32"/>
      <c r="S1176" s="32"/>
      <c r="T1176" s="32"/>
      <c r="U1176" s="32"/>
      <c r="V1176" s="32"/>
      <c r="W1176" s="32"/>
      <c r="X1176" s="32"/>
      <c r="Y1176" s="32"/>
      <c r="Z1176" s="32"/>
      <c r="AA1176" s="32"/>
      <c r="AB1176" s="32"/>
    </row>
    <row r="1177" spans="1:28" ht="13" x14ac:dyDescent="0.15">
      <c r="A1177" s="32"/>
      <c r="B1177" s="32"/>
      <c r="C1177" s="32"/>
      <c r="D1177" s="32"/>
      <c r="E1177" s="32"/>
      <c r="F1177" s="32"/>
      <c r="G1177" s="32"/>
      <c r="H1177" s="32"/>
      <c r="I1177" s="32"/>
      <c r="J1177" s="32"/>
      <c r="K1177" s="32"/>
      <c r="L1177" s="32"/>
      <c r="M1177" s="23"/>
      <c r="N1177" s="32"/>
      <c r="O1177" s="32"/>
      <c r="P1177" s="32"/>
      <c r="Q1177" s="32"/>
      <c r="R1177" s="32"/>
      <c r="S1177" s="32"/>
      <c r="T1177" s="32"/>
      <c r="U1177" s="32"/>
      <c r="V1177" s="32"/>
      <c r="W1177" s="32"/>
      <c r="X1177" s="32"/>
      <c r="Y1177" s="32"/>
      <c r="Z1177" s="32"/>
      <c r="AA1177" s="32"/>
      <c r="AB1177" s="32"/>
    </row>
    <row r="1178" spans="1:28" ht="13" x14ac:dyDescent="0.15">
      <c r="A1178" s="32"/>
      <c r="B1178" s="32"/>
      <c r="C1178" s="32"/>
      <c r="D1178" s="32"/>
      <c r="E1178" s="32"/>
      <c r="F1178" s="32"/>
      <c r="G1178" s="32"/>
      <c r="H1178" s="32"/>
      <c r="I1178" s="32"/>
      <c r="J1178" s="32"/>
      <c r="K1178" s="32"/>
      <c r="L1178" s="32"/>
      <c r="M1178" s="23"/>
      <c r="N1178" s="32"/>
      <c r="O1178" s="32"/>
      <c r="P1178" s="32"/>
      <c r="Q1178" s="32"/>
      <c r="R1178" s="32"/>
      <c r="S1178" s="32"/>
      <c r="T1178" s="32"/>
      <c r="U1178" s="32"/>
      <c r="V1178" s="32"/>
      <c r="W1178" s="32"/>
      <c r="X1178" s="32"/>
      <c r="Y1178" s="32"/>
      <c r="Z1178" s="32"/>
      <c r="AA1178" s="32"/>
      <c r="AB1178" s="32"/>
    </row>
    <row r="1179" spans="1:28" ht="13" x14ac:dyDescent="0.15">
      <c r="A1179" s="32"/>
      <c r="B1179" s="32"/>
      <c r="C1179" s="32"/>
      <c r="D1179" s="32"/>
      <c r="E1179" s="32"/>
      <c r="F1179" s="32"/>
      <c r="G1179" s="32"/>
      <c r="H1179" s="32"/>
      <c r="I1179" s="32"/>
      <c r="J1179" s="32"/>
      <c r="K1179" s="32"/>
      <c r="L1179" s="32"/>
      <c r="M1179" s="23"/>
      <c r="N1179" s="32"/>
      <c r="O1179" s="32"/>
      <c r="P1179" s="32"/>
      <c r="Q1179" s="32"/>
      <c r="R1179" s="32"/>
      <c r="S1179" s="32"/>
      <c r="T1179" s="32"/>
      <c r="U1179" s="32"/>
      <c r="V1179" s="32"/>
      <c r="W1179" s="32"/>
      <c r="X1179" s="32"/>
      <c r="Y1179" s="32"/>
      <c r="Z1179" s="32"/>
      <c r="AA1179" s="32"/>
      <c r="AB1179" s="32"/>
    </row>
    <row r="1180" spans="1:28" ht="13" x14ac:dyDescent="0.15">
      <c r="A1180" s="32"/>
      <c r="B1180" s="32"/>
      <c r="C1180" s="32"/>
      <c r="D1180" s="32"/>
      <c r="E1180" s="32"/>
      <c r="F1180" s="32"/>
      <c r="G1180" s="32"/>
      <c r="H1180" s="32"/>
      <c r="I1180" s="32"/>
      <c r="J1180" s="32"/>
      <c r="K1180" s="32"/>
      <c r="L1180" s="32"/>
      <c r="M1180" s="23"/>
      <c r="N1180" s="32"/>
      <c r="O1180" s="32"/>
      <c r="P1180" s="32"/>
      <c r="Q1180" s="32"/>
      <c r="R1180" s="32"/>
      <c r="S1180" s="32"/>
      <c r="T1180" s="32"/>
      <c r="U1180" s="32"/>
      <c r="V1180" s="32"/>
      <c r="W1180" s="32"/>
      <c r="X1180" s="32"/>
      <c r="Y1180" s="32"/>
      <c r="Z1180" s="32"/>
      <c r="AA1180" s="32"/>
      <c r="AB1180" s="32"/>
    </row>
    <row r="1181" spans="1:28" ht="13" x14ac:dyDescent="0.15">
      <c r="A1181" s="32"/>
      <c r="B1181" s="32"/>
      <c r="C1181" s="32"/>
      <c r="D1181" s="32"/>
      <c r="E1181" s="32"/>
      <c r="F1181" s="32"/>
      <c r="G1181" s="32"/>
      <c r="H1181" s="32"/>
      <c r="I1181" s="32"/>
      <c r="J1181" s="32"/>
      <c r="K1181" s="32"/>
      <c r="L1181" s="32"/>
      <c r="M1181" s="23"/>
      <c r="N1181" s="32"/>
      <c r="O1181" s="32"/>
      <c r="P1181" s="32"/>
      <c r="Q1181" s="32"/>
      <c r="R1181" s="32"/>
      <c r="S1181" s="32"/>
      <c r="T1181" s="32"/>
      <c r="U1181" s="32"/>
      <c r="V1181" s="32"/>
      <c r="W1181" s="32"/>
      <c r="X1181" s="32"/>
      <c r="Y1181" s="32"/>
      <c r="Z1181" s="32"/>
      <c r="AA1181" s="32"/>
      <c r="AB1181" s="32"/>
    </row>
    <row r="1182" spans="1:28" ht="13" x14ac:dyDescent="0.15">
      <c r="A1182" s="32"/>
      <c r="B1182" s="32"/>
      <c r="C1182" s="32"/>
      <c r="D1182" s="32"/>
      <c r="E1182" s="32"/>
      <c r="F1182" s="32"/>
      <c r="G1182" s="32"/>
      <c r="H1182" s="32"/>
      <c r="I1182" s="32"/>
      <c r="J1182" s="32"/>
      <c r="K1182" s="32"/>
      <c r="L1182" s="32"/>
      <c r="M1182" s="23"/>
      <c r="N1182" s="32"/>
      <c r="O1182" s="32"/>
      <c r="P1182" s="32"/>
      <c r="Q1182" s="32"/>
      <c r="R1182" s="32"/>
      <c r="S1182" s="32"/>
      <c r="T1182" s="32"/>
      <c r="U1182" s="32"/>
      <c r="V1182" s="32"/>
      <c r="W1182" s="32"/>
      <c r="X1182" s="32"/>
      <c r="Y1182" s="32"/>
      <c r="Z1182" s="32"/>
      <c r="AA1182" s="32"/>
      <c r="AB1182" s="32"/>
    </row>
    <row r="1183" spans="1:28" ht="13" x14ac:dyDescent="0.15">
      <c r="A1183" s="32"/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23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</row>
    <row r="1184" spans="1:28" ht="13" x14ac:dyDescent="0.15">
      <c r="A1184" s="32"/>
      <c r="B1184" s="32"/>
      <c r="C1184" s="32"/>
      <c r="D1184" s="32"/>
      <c r="E1184" s="32"/>
      <c r="F1184" s="32"/>
      <c r="G1184" s="32"/>
      <c r="H1184" s="32"/>
      <c r="I1184" s="32"/>
      <c r="J1184" s="32"/>
      <c r="K1184" s="32"/>
      <c r="L1184" s="32"/>
      <c r="M1184" s="23"/>
      <c r="N1184" s="32"/>
      <c r="O1184" s="32"/>
      <c r="P1184" s="32"/>
      <c r="Q1184" s="32"/>
      <c r="R1184" s="32"/>
      <c r="S1184" s="32"/>
      <c r="T1184" s="32"/>
      <c r="U1184" s="32"/>
      <c r="V1184" s="32"/>
      <c r="W1184" s="32"/>
      <c r="X1184" s="32"/>
      <c r="Y1184" s="32"/>
      <c r="Z1184" s="32"/>
      <c r="AA1184" s="32"/>
      <c r="AB1184" s="32"/>
    </row>
    <row r="1185" spans="1:28" ht="13" x14ac:dyDescent="0.15">
      <c r="A1185" s="32"/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23"/>
      <c r="N1185" s="32"/>
      <c r="O1185" s="32"/>
      <c r="P1185" s="32"/>
      <c r="Q1185" s="32"/>
      <c r="R1185" s="32"/>
      <c r="S1185" s="32"/>
      <c r="T1185" s="32"/>
      <c r="U1185" s="32"/>
      <c r="V1185" s="32"/>
      <c r="W1185" s="32"/>
      <c r="X1185" s="32"/>
      <c r="Y1185" s="32"/>
      <c r="Z1185" s="32"/>
      <c r="AA1185" s="32"/>
      <c r="AB1185" s="32"/>
    </row>
    <row r="1186" spans="1:28" ht="13" x14ac:dyDescent="0.15">
      <c r="A1186" s="32"/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  <c r="M1186" s="23"/>
      <c r="N1186" s="32"/>
      <c r="O1186" s="32"/>
      <c r="P1186" s="32"/>
      <c r="Q1186" s="32"/>
      <c r="R1186" s="32"/>
      <c r="S1186" s="32"/>
      <c r="T1186" s="32"/>
      <c r="U1186" s="32"/>
      <c r="V1186" s="32"/>
      <c r="W1186" s="32"/>
      <c r="X1186" s="32"/>
      <c r="Y1186" s="32"/>
      <c r="Z1186" s="32"/>
      <c r="AA1186" s="32"/>
      <c r="AB1186" s="32"/>
    </row>
    <row r="1187" spans="1:28" ht="13" x14ac:dyDescent="0.15">
      <c r="A1187" s="32"/>
      <c r="B1187" s="32"/>
      <c r="C1187" s="32"/>
      <c r="D1187" s="32"/>
      <c r="E1187" s="32"/>
      <c r="F1187" s="32"/>
      <c r="G1187" s="32"/>
      <c r="H1187" s="32"/>
      <c r="I1187" s="32"/>
      <c r="J1187" s="32"/>
      <c r="K1187" s="32"/>
      <c r="L1187" s="32"/>
      <c r="M1187" s="23"/>
      <c r="N1187" s="32"/>
      <c r="O1187" s="32"/>
      <c r="P1187" s="32"/>
      <c r="Q1187" s="32"/>
      <c r="R1187" s="32"/>
      <c r="S1187" s="32"/>
      <c r="T1187" s="32"/>
      <c r="U1187" s="32"/>
      <c r="V1187" s="32"/>
      <c r="W1187" s="32"/>
      <c r="X1187" s="32"/>
      <c r="Y1187" s="32"/>
      <c r="Z1187" s="32"/>
      <c r="AA1187" s="32"/>
      <c r="AB1187" s="32"/>
    </row>
    <row r="1188" spans="1:28" ht="13" x14ac:dyDescent="0.15">
      <c r="A1188" s="32"/>
      <c r="B1188" s="32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  <c r="M1188" s="23"/>
      <c r="N1188" s="32"/>
      <c r="O1188" s="32"/>
      <c r="P1188" s="32"/>
      <c r="Q1188" s="32"/>
      <c r="R1188" s="32"/>
      <c r="S1188" s="32"/>
      <c r="T1188" s="32"/>
      <c r="U1188" s="32"/>
      <c r="V1188" s="32"/>
      <c r="W1188" s="32"/>
      <c r="X1188" s="32"/>
      <c r="Y1188" s="32"/>
      <c r="Z1188" s="32"/>
      <c r="AA1188" s="32"/>
      <c r="AB1188" s="32"/>
    </row>
    <row r="1189" spans="1:28" ht="13" x14ac:dyDescent="0.15">
      <c r="A1189" s="32"/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  <c r="M1189" s="23"/>
      <c r="N1189" s="32"/>
      <c r="O1189" s="32"/>
      <c r="P1189" s="32"/>
      <c r="Q1189" s="32"/>
      <c r="R1189" s="32"/>
      <c r="S1189" s="32"/>
      <c r="T1189" s="32"/>
      <c r="U1189" s="32"/>
      <c r="V1189" s="32"/>
      <c r="W1189" s="32"/>
      <c r="X1189" s="32"/>
      <c r="Y1189" s="32"/>
      <c r="Z1189" s="32"/>
      <c r="AA1189" s="32"/>
      <c r="AB1189" s="32"/>
    </row>
    <row r="1190" spans="1:28" ht="13" x14ac:dyDescent="0.15">
      <c r="A1190" s="32"/>
      <c r="B1190" s="32"/>
      <c r="C1190" s="32"/>
      <c r="D1190" s="32"/>
      <c r="E1190" s="32"/>
      <c r="F1190" s="32"/>
      <c r="G1190" s="32"/>
      <c r="H1190" s="32"/>
      <c r="I1190" s="32"/>
      <c r="J1190" s="32"/>
      <c r="K1190" s="32"/>
      <c r="L1190" s="32"/>
      <c r="M1190" s="23"/>
      <c r="N1190" s="32"/>
      <c r="O1190" s="32"/>
      <c r="P1190" s="32"/>
      <c r="Q1190" s="32"/>
      <c r="R1190" s="32"/>
      <c r="S1190" s="32"/>
      <c r="T1190" s="32"/>
      <c r="U1190" s="32"/>
      <c r="V1190" s="32"/>
      <c r="W1190" s="32"/>
      <c r="X1190" s="32"/>
      <c r="Y1190" s="32"/>
      <c r="Z1190" s="32"/>
      <c r="AA1190" s="32"/>
      <c r="AB1190" s="32"/>
    </row>
    <row r="1191" spans="1:28" ht="13" x14ac:dyDescent="0.15">
      <c r="A1191" s="32"/>
      <c r="B1191" s="32"/>
      <c r="C1191" s="32"/>
      <c r="D1191" s="32"/>
      <c r="E1191" s="32"/>
      <c r="F1191" s="32"/>
      <c r="G1191" s="32"/>
      <c r="H1191" s="32"/>
      <c r="I1191" s="32"/>
      <c r="J1191" s="32"/>
      <c r="K1191" s="32"/>
      <c r="L1191" s="32"/>
      <c r="M1191" s="23"/>
      <c r="N1191" s="32"/>
      <c r="O1191" s="32"/>
      <c r="P1191" s="32"/>
      <c r="Q1191" s="32"/>
      <c r="R1191" s="32"/>
      <c r="S1191" s="32"/>
      <c r="T1191" s="32"/>
      <c r="U1191" s="32"/>
      <c r="V1191" s="32"/>
      <c r="W1191" s="32"/>
      <c r="X1191" s="32"/>
      <c r="Y1191" s="32"/>
      <c r="Z1191" s="32"/>
      <c r="AA1191" s="32"/>
      <c r="AB1191" s="32"/>
    </row>
    <row r="1192" spans="1:28" ht="13" x14ac:dyDescent="0.15">
      <c r="A1192" s="32"/>
      <c r="B1192" s="32"/>
      <c r="C1192" s="32"/>
      <c r="D1192" s="32"/>
      <c r="E1192" s="32"/>
      <c r="F1192" s="32"/>
      <c r="G1192" s="32"/>
      <c r="H1192" s="32"/>
      <c r="I1192" s="32"/>
      <c r="J1192" s="32"/>
      <c r="K1192" s="32"/>
      <c r="L1192" s="32"/>
      <c r="M1192" s="23"/>
      <c r="N1192" s="32"/>
      <c r="O1192" s="32"/>
      <c r="P1192" s="32"/>
      <c r="Q1192" s="32"/>
      <c r="R1192" s="32"/>
      <c r="S1192" s="32"/>
      <c r="T1192" s="32"/>
      <c r="U1192" s="32"/>
      <c r="V1192" s="32"/>
      <c r="W1192" s="32"/>
      <c r="X1192" s="32"/>
      <c r="Y1192" s="32"/>
      <c r="Z1192" s="32"/>
      <c r="AA1192" s="32"/>
      <c r="AB1192" s="32"/>
    </row>
    <row r="1193" spans="1:28" ht="13" x14ac:dyDescent="0.15">
      <c r="A1193" s="32"/>
      <c r="B1193" s="32"/>
      <c r="C1193" s="32"/>
      <c r="D1193" s="32"/>
      <c r="E1193" s="32"/>
      <c r="F1193" s="32"/>
      <c r="G1193" s="32"/>
      <c r="H1193" s="32"/>
      <c r="I1193" s="32"/>
      <c r="J1193" s="32"/>
      <c r="K1193" s="32"/>
      <c r="L1193" s="32"/>
      <c r="M1193" s="23"/>
      <c r="N1193" s="32"/>
      <c r="O1193" s="32"/>
      <c r="P1193" s="32"/>
      <c r="Q1193" s="32"/>
      <c r="R1193" s="32"/>
      <c r="S1193" s="32"/>
      <c r="T1193" s="32"/>
      <c r="U1193" s="32"/>
      <c r="V1193" s="32"/>
      <c r="W1193" s="32"/>
      <c r="X1193" s="32"/>
      <c r="Y1193" s="32"/>
      <c r="Z1193" s="32"/>
      <c r="AA1193" s="32"/>
      <c r="AB1193" s="32"/>
    </row>
    <row r="1194" spans="1:28" ht="13" x14ac:dyDescent="0.15">
      <c r="A1194" s="32"/>
      <c r="B1194" s="32"/>
      <c r="C1194" s="32"/>
      <c r="D1194" s="32"/>
      <c r="E1194" s="32"/>
      <c r="F1194" s="32"/>
      <c r="G1194" s="32"/>
      <c r="H1194" s="32"/>
      <c r="I1194" s="32"/>
      <c r="J1194" s="32"/>
      <c r="K1194" s="32"/>
      <c r="L1194" s="32"/>
      <c r="M1194" s="23"/>
      <c r="N1194" s="32"/>
      <c r="O1194" s="32"/>
      <c r="P1194" s="32"/>
      <c r="Q1194" s="32"/>
      <c r="R1194" s="32"/>
      <c r="S1194" s="32"/>
      <c r="T1194" s="32"/>
      <c r="U1194" s="32"/>
      <c r="V1194" s="32"/>
      <c r="W1194" s="32"/>
      <c r="X1194" s="32"/>
      <c r="Y1194" s="32"/>
      <c r="Z1194" s="32"/>
      <c r="AA1194" s="32"/>
      <c r="AB1194" s="32"/>
    </row>
    <row r="1195" spans="1:28" ht="13" x14ac:dyDescent="0.15">
      <c r="A1195" s="32"/>
      <c r="B1195" s="32"/>
      <c r="C1195" s="32"/>
      <c r="D1195" s="32"/>
      <c r="E1195" s="32"/>
      <c r="F1195" s="32"/>
      <c r="G1195" s="32"/>
      <c r="H1195" s="32"/>
      <c r="I1195" s="32"/>
      <c r="J1195" s="32"/>
      <c r="K1195" s="32"/>
      <c r="L1195" s="32"/>
      <c r="M1195" s="23"/>
      <c r="N1195" s="32"/>
      <c r="O1195" s="32"/>
      <c r="P1195" s="32"/>
      <c r="Q1195" s="32"/>
      <c r="R1195" s="32"/>
      <c r="S1195" s="32"/>
      <c r="T1195" s="32"/>
      <c r="U1195" s="32"/>
      <c r="V1195" s="32"/>
      <c r="W1195" s="32"/>
      <c r="X1195" s="32"/>
      <c r="Y1195" s="32"/>
      <c r="Z1195" s="32"/>
      <c r="AA1195" s="32"/>
      <c r="AB1195" s="32"/>
    </row>
    <row r="1196" spans="1:28" ht="13" x14ac:dyDescent="0.15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23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</row>
    <row r="1197" spans="1:28" ht="13" x14ac:dyDescent="0.15">
      <c r="A1197" s="32"/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  <c r="M1197" s="23"/>
      <c r="N1197" s="32"/>
      <c r="O1197" s="32"/>
      <c r="P1197" s="32"/>
      <c r="Q1197" s="32"/>
      <c r="R1197" s="32"/>
      <c r="S1197" s="32"/>
      <c r="T1197" s="32"/>
      <c r="U1197" s="32"/>
      <c r="V1197" s="32"/>
      <c r="W1197" s="32"/>
      <c r="X1197" s="32"/>
      <c r="Y1197" s="32"/>
      <c r="Z1197" s="32"/>
      <c r="AA1197" s="32"/>
      <c r="AB1197" s="32"/>
    </row>
    <row r="1198" spans="1:28" ht="13" x14ac:dyDescent="0.15">
      <c r="A1198" s="32"/>
      <c r="B1198" s="32"/>
      <c r="C1198" s="32"/>
      <c r="D1198" s="32"/>
      <c r="E1198" s="32"/>
      <c r="F1198" s="32"/>
      <c r="G1198" s="32"/>
      <c r="H1198" s="32"/>
      <c r="I1198" s="32"/>
      <c r="J1198" s="32"/>
      <c r="K1198" s="32"/>
      <c r="L1198" s="32"/>
      <c r="M1198" s="23"/>
      <c r="N1198" s="32"/>
      <c r="O1198" s="32"/>
      <c r="P1198" s="32"/>
      <c r="Q1198" s="32"/>
      <c r="R1198" s="32"/>
      <c r="S1198" s="32"/>
      <c r="T1198" s="32"/>
      <c r="U1198" s="32"/>
      <c r="V1198" s="32"/>
      <c r="W1198" s="32"/>
      <c r="X1198" s="32"/>
      <c r="Y1198" s="32"/>
      <c r="Z1198" s="32"/>
      <c r="AA1198" s="32"/>
      <c r="AB1198" s="32"/>
    </row>
    <row r="1199" spans="1:28" ht="13" x14ac:dyDescent="0.15">
      <c r="A1199" s="32"/>
      <c r="B1199" s="32"/>
      <c r="C1199" s="32"/>
      <c r="D1199" s="32"/>
      <c r="E1199" s="32"/>
      <c r="F1199" s="32"/>
      <c r="G1199" s="32"/>
      <c r="H1199" s="32"/>
      <c r="I1199" s="32"/>
      <c r="J1199" s="32"/>
      <c r="K1199" s="32"/>
      <c r="L1199" s="32"/>
      <c r="M1199" s="23"/>
      <c r="N1199" s="32"/>
      <c r="O1199" s="32"/>
      <c r="P1199" s="32"/>
      <c r="Q1199" s="32"/>
      <c r="R1199" s="32"/>
      <c r="S1199" s="32"/>
      <c r="T1199" s="32"/>
      <c r="U1199" s="32"/>
      <c r="V1199" s="32"/>
      <c r="W1199" s="32"/>
      <c r="X1199" s="32"/>
      <c r="Y1199" s="32"/>
      <c r="Z1199" s="32"/>
      <c r="AA1199" s="32"/>
      <c r="AB1199" s="32"/>
    </row>
    <row r="1200" spans="1:28" ht="13" x14ac:dyDescent="0.15">
      <c r="A1200" s="32"/>
      <c r="B1200" s="32"/>
      <c r="C1200" s="32"/>
      <c r="D1200" s="32"/>
      <c r="E1200" s="32"/>
      <c r="F1200" s="32"/>
      <c r="G1200" s="32"/>
      <c r="H1200" s="32"/>
      <c r="I1200" s="32"/>
      <c r="J1200" s="32"/>
      <c r="K1200" s="32"/>
      <c r="L1200" s="32"/>
      <c r="M1200" s="23"/>
      <c r="N1200" s="32"/>
      <c r="O1200" s="32"/>
      <c r="P1200" s="32"/>
      <c r="Q1200" s="32"/>
      <c r="R1200" s="32"/>
      <c r="S1200" s="32"/>
      <c r="T1200" s="32"/>
      <c r="U1200" s="32"/>
      <c r="V1200" s="32"/>
      <c r="W1200" s="32"/>
      <c r="X1200" s="32"/>
      <c r="Y1200" s="32"/>
      <c r="Z1200" s="32"/>
      <c r="AA1200" s="32"/>
      <c r="AB1200" s="32"/>
    </row>
    <row r="1201" spans="1:28" ht="13" x14ac:dyDescent="0.15">
      <c r="A1201" s="32"/>
      <c r="B1201" s="32"/>
      <c r="C1201" s="32"/>
      <c r="D1201" s="32"/>
      <c r="E1201" s="32"/>
      <c r="F1201" s="32"/>
      <c r="G1201" s="32"/>
      <c r="H1201" s="32"/>
      <c r="I1201" s="32"/>
      <c r="J1201" s="32"/>
      <c r="K1201" s="32"/>
      <c r="L1201" s="32"/>
      <c r="M1201" s="23"/>
      <c r="N1201" s="32"/>
      <c r="O1201" s="32"/>
      <c r="P1201" s="32"/>
      <c r="Q1201" s="32"/>
      <c r="R1201" s="32"/>
      <c r="S1201" s="32"/>
      <c r="T1201" s="32"/>
      <c r="U1201" s="32"/>
      <c r="V1201" s="32"/>
      <c r="W1201" s="32"/>
      <c r="X1201" s="32"/>
      <c r="Y1201" s="32"/>
      <c r="Z1201" s="32"/>
      <c r="AA1201" s="32"/>
      <c r="AB1201" s="32"/>
    </row>
    <row r="1202" spans="1:28" ht="13" x14ac:dyDescent="0.15">
      <c r="A1202" s="32"/>
      <c r="B1202" s="32"/>
      <c r="C1202" s="32"/>
      <c r="D1202" s="32"/>
      <c r="E1202" s="32"/>
      <c r="F1202" s="32"/>
      <c r="G1202" s="32"/>
      <c r="H1202" s="32"/>
      <c r="I1202" s="32"/>
      <c r="J1202" s="32"/>
      <c r="K1202" s="32"/>
      <c r="L1202" s="32"/>
      <c r="M1202" s="23"/>
      <c r="N1202" s="32"/>
      <c r="O1202" s="32"/>
      <c r="P1202" s="32"/>
      <c r="Q1202" s="32"/>
      <c r="R1202" s="32"/>
      <c r="S1202" s="32"/>
      <c r="T1202" s="32"/>
      <c r="U1202" s="32"/>
      <c r="V1202" s="32"/>
      <c r="W1202" s="32"/>
      <c r="X1202" s="32"/>
      <c r="Y1202" s="32"/>
      <c r="Z1202" s="32"/>
      <c r="AA1202" s="32"/>
      <c r="AB1202" s="32"/>
    </row>
    <row r="1203" spans="1:28" ht="13" x14ac:dyDescent="0.15">
      <c r="A1203" s="32"/>
      <c r="B1203" s="32"/>
      <c r="C1203" s="32"/>
      <c r="D1203" s="32"/>
      <c r="E1203" s="32"/>
      <c r="F1203" s="32"/>
      <c r="G1203" s="32"/>
      <c r="H1203" s="32"/>
      <c r="I1203" s="32"/>
      <c r="J1203" s="32"/>
      <c r="K1203" s="32"/>
      <c r="L1203" s="32"/>
      <c r="M1203" s="23"/>
      <c r="N1203" s="32"/>
      <c r="O1203" s="32"/>
      <c r="P1203" s="32"/>
      <c r="Q1203" s="32"/>
      <c r="R1203" s="32"/>
      <c r="S1203" s="32"/>
      <c r="T1203" s="32"/>
      <c r="U1203" s="32"/>
      <c r="V1203" s="32"/>
      <c r="W1203" s="32"/>
      <c r="X1203" s="32"/>
      <c r="Y1203" s="32"/>
      <c r="Z1203" s="32"/>
      <c r="AA1203" s="32"/>
      <c r="AB1203" s="32"/>
    </row>
    <row r="1204" spans="1:28" ht="13" x14ac:dyDescent="0.15">
      <c r="A1204" s="32"/>
      <c r="B1204" s="32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  <c r="M1204" s="23"/>
      <c r="N1204" s="32"/>
      <c r="O1204" s="32"/>
      <c r="P1204" s="32"/>
      <c r="Q1204" s="32"/>
      <c r="R1204" s="32"/>
      <c r="S1204" s="32"/>
      <c r="T1204" s="32"/>
      <c r="U1204" s="32"/>
      <c r="V1204" s="32"/>
      <c r="W1204" s="32"/>
      <c r="X1204" s="32"/>
      <c r="Y1204" s="32"/>
      <c r="Z1204" s="32"/>
      <c r="AA1204" s="32"/>
      <c r="AB1204" s="32"/>
    </row>
    <row r="1205" spans="1:28" ht="13" x14ac:dyDescent="0.15">
      <c r="A1205" s="32"/>
      <c r="B1205" s="32"/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  <c r="M1205" s="23"/>
      <c r="N1205" s="32"/>
      <c r="O1205" s="32"/>
      <c r="P1205" s="32"/>
      <c r="Q1205" s="32"/>
      <c r="R1205" s="32"/>
      <c r="S1205" s="32"/>
      <c r="T1205" s="32"/>
      <c r="U1205" s="32"/>
      <c r="V1205" s="32"/>
      <c r="W1205" s="32"/>
      <c r="X1205" s="32"/>
      <c r="Y1205" s="32"/>
      <c r="Z1205" s="32"/>
      <c r="AA1205" s="32"/>
      <c r="AB1205" s="32"/>
    </row>
    <row r="1206" spans="1:28" ht="13" x14ac:dyDescent="0.15">
      <c r="A1206" s="32"/>
      <c r="B1206" s="32"/>
      <c r="C1206" s="32"/>
      <c r="D1206" s="32"/>
      <c r="E1206" s="32"/>
      <c r="F1206" s="32"/>
      <c r="G1206" s="32"/>
      <c r="H1206" s="32"/>
      <c r="I1206" s="32"/>
      <c r="J1206" s="32"/>
      <c r="K1206" s="32"/>
      <c r="L1206" s="32"/>
      <c r="M1206" s="23"/>
      <c r="N1206" s="32"/>
      <c r="O1206" s="32"/>
      <c r="P1206" s="32"/>
      <c r="Q1206" s="32"/>
      <c r="R1206" s="32"/>
      <c r="S1206" s="32"/>
      <c r="T1206" s="32"/>
      <c r="U1206" s="32"/>
      <c r="V1206" s="32"/>
      <c r="W1206" s="32"/>
      <c r="X1206" s="32"/>
      <c r="Y1206" s="32"/>
      <c r="Z1206" s="32"/>
      <c r="AA1206" s="32"/>
      <c r="AB1206" s="32"/>
    </row>
    <row r="1207" spans="1:28" ht="13" x14ac:dyDescent="0.15">
      <c r="A1207" s="32"/>
      <c r="B1207" s="32"/>
      <c r="C1207" s="32"/>
      <c r="D1207" s="32"/>
      <c r="E1207" s="32"/>
      <c r="F1207" s="32"/>
      <c r="G1207" s="32"/>
      <c r="H1207" s="32"/>
      <c r="I1207" s="32"/>
      <c r="J1207" s="32"/>
      <c r="K1207" s="32"/>
      <c r="L1207" s="32"/>
      <c r="M1207" s="23"/>
      <c r="N1207" s="32"/>
      <c r="O1207" s="32"/>
      <c r="P1207" s="32"/>
      <c r="Q1207" s="32"/>
      <c r="R1207" s="32"/>
      <c r="S1207" s="32"/>
      <c r="T1207" s="32"/>
      <c r="U1207" s="32"/>
      <c r="V1207" s="32"/>
      <c r="W1207" s="32"/>
      <c r="X1207" s="32"/>
      <c r="Y1207" s="32"/>
      <c r="Z1207" s="32"/>
      <c r="AA1207" s="32"/>
      <c r="AB1207" s="32"/>
    </row>
    <row r="1208" spans="1:28" ht="13" x14ac:dyDescent="0.15">
      <c r="A1208" s="32"/>
      <c r="B1208" s="32"/>
      <c r="C1208" s="32"/>
      <c r="D1208" s="32"/>
      <c r="E1208" s="32"/>
      <c r="F1208" s="32"/>
      <c r="G1208" s="32"/>
      <c r="H1208" s="32"/>
      <c r="I1208" s="32"/>
      <c r="J1208" s="32"/>
      <c r="K1208" s="32"/>
      <c r="L1208" s="32"/>
      <c r="M1208" s="23"/>
      <c r="N1208" s="32"/>
      <c r="O1208" s="32"/>
      <c r="P1208" s="32"/>
      <c r="Q1208" s="32"/>
      <c r="R1208" s="32"/>
      <c r="S1208" s="32"/>
      <c r="T1208" s="32"/>
      <c r="U1208" s="32"/>
      <c r="V1208" s="32"/>
      <c r="W1208" s="32"/>
      <c r="X1208" s="32"/>
      <c r="Y1208" s="32"/>
      <c r="Z1208" s="32"/>
      <c r="AA1208" s="32"/>
      <c r="AB1208" s="32"/>
    </row>
    <row r="1209" spans="1:28" ht="13" x14ac:dyDescent="0.15">
      <c r="A1209" s="32"/>
      <c r="B1209" s="32"/>
      <c r="C1209" s="32"/>
      <c r="D1209" s="32"/>
      <c r="E1209" s="32"/>
      <c r="F1209" s="32"/>
      <c r="G1209" s="32"/>
      <c r="H1209" s="32"/>
      <c r="I1209" s="32"/>
      <c r="J1209" s="32"/>
      <c r="K1209" s="32"/>
      <c r="L1209" s="32"/>
      <c r="M1209" s="23"/>
      <c r="N1209" s="32"/>
      <c r="O1209" s="32"/>
      <c r="P1209" s="32"/>
      <c r="Q1209" s="32"/>
      <c r="R1209" s="32"/>
      <c r="S1209" s="32"/>
      <c r="T1209" s="32"/>
      <c r="U1209" s="32"/>
      <c r="V1209" s="32"/>
      <c r="W1209" s="32"/>
      <c r="X1209" s="32"/>
      <c r="Y1209" s="32"/>
      <c r="Z1209" s="32"/>
      <c r="AA1209" s="32"/>
      <c r="AB1209" s="32"/>
    </row>
    <row r="1210" spans="1:28" ht="13" x14ac:dyDescent="0.15">
      <c r="A1210" s="32"/>
      <c r="B1210" s="32"/>
      <c r="C1210" s="32"/>
      <c r="D1210" s="32"/>
      <c r="E1210" s="32"/>
      <c r="F1210" s="32"/>
      <c r="G1210" s="32"/>
      <c r="H1210" s="32"/>
      <c r="I1210" s="32"/>
      <c r="J1210" s="32"/>
      <c r="K1210" s="32"/>
      <c r="L1210" s="32"/>
      <c r="M1210" s="23"/>
      <c r="N1210" s="32"/>
      <c r="O1210" s="32"/>
      <c r="P1210" s="32"/>
      <c r="Q1210" s="32"/>
      <c r="R1210" s="32"/>
      <c r="S1210" s="32"/>
      <c r="T1210" s="32"/>
      <c r="U1210" s="32"/>
      <c r="V1210" s="32"/>
      <c r="W1210" s="32"/>
      <c r="X1210" s="32"/>
      <c r="Y1210" s="32"/>
      <c r="Z1210" s="32"/>
      <c r="AA1210" s="32"/>
      <c r="AB1210" s="32"/>
    </row>
    <row r="1211" spans="1:28" ht="13" x14ac:dyDescent="0.15">
      <c r="A1211" s="32"/>
      <c r="B1211" s="32"/>
      <c r="C1211" s="32"/>
      <c r="D1211" s="32"/>
      <c r="E1211" s="32"/>
      <c r="F1211" s="32"/>
      <c r="G1211" s="32"/>
      <c r="H1211" s="32"/>
      <c r="I1211" s="32"/>
      <c r="J1211" s="32"/>
      <c r="K1211" s="32"/>
      <c r="L1211" s="32"/>
      <c r="M1211" s="23"/>
      <c r="N1211" s="32"/>
      <c r="O1211" s="32"/>
      <c r="P1211" s="32"/>
      <c r="Q1211" s="32"/>
      <c r="R1211" s="32"/>
      <c r="S1211" s="32"/>
      <c r="T1211" s="32"/>
      <c r="U1211" s="32"/>
      <c r="V1211" s="32"/>
      <c r="W1211" s="32"/>
      <c r="X1211" s="32"/>
      <c r="Y1211" s="32"/>
      <c r="Z1211" s="32"/>
      <c r="AA1211" s="32"/>
      <c r="AB1211" s="32"/>
    </row>
    <row r="1212" spans="1:28" ht="13" x14ac:dyDescent="0.15">
      <c r="A1212" s="32"/>
      <c r="B1212" s="32"/>
      <c r="C1212" s="32"/>
      <c r="D1212" s="32"/>
      <c r="E1212" s="32"/>
      <c r="F1212" s="32"/>
      <c r="G1212" s="32"/>
      <c r="H1212" s="32"/>
      <c r="I1212" s="32"/>
      <c r="J1212" s="32"/>
      <c r="K1212" s="32"/>
      <c r="L1212" s="32"/>
      <c r="M1212" s="23"/>
      <c r="N1212" s="32"/>
      <c r="O1212" s="32"/>
      <c r="P1212" s="32"/>
      <c r="Q1212" s="32"/>
      <c r="R1212" s="32"/>
      <c r="S1212" s="32"/>
      <c r="T1212" s="32"/>
      <c r="U1212" s="32"/>
      <c r="V1212" s="32"/>
      <c r="W1212" s="32"/>
      <c r="X1212" s="32"/>
      <c r="Y1212" s="32"/>
      <c r="Z1212" s="32"/>
      <c r="AA1212" s="32"/>
      <c r="AB1212" s="32"/>
    </row>
    <row r="1213" spans="1:28" ht="13" x14ac:dyDescent="0.15">
      <c r="A1213" s="32"/>
      <c r="B1213" s="32"/>
      <c r="C1213" s="32"/>
      <c r="D1213" s="32"/>
      <c r="E1213" s="32"/>
      <c r="F1213" s="32"/>
      <c r="G1213" s="32"/>
      <c r="H1213" s="32"/>
      <c r="I1213" s="32"/>
      <c r="J1213" s="32"/>
      <c r="K1213" s="32"/>
      <c r="L1213" s="32"/>
      <c r="M1213" s="23"/>
      <c r="N1213" s="32"/>
      <c r="O1213" s="32"/>
      <c r="P1213" s="32"/>
      <c r="Q1213" s="32"/>
      <c r="R1213" s="32"/>
      <c r="S1213" s="32"/>
      <c r="T1213" s="32"/>
      <c r="U1213" s="32"/>
      <c r="V1213" s="32"/>
      <c r="W1213" s="32"/>
      <c r="X1213" s="32"/>
      <c r="Y1213" s="32"/>
      <c r="Z1213" s="32"/>
      <c r="AA1213" s="32"/>
      <c r="AB1213" s="32"/>
    </row>
    <row r="1214" spans="1:28" ht="13" x14ac:dyDescent="0.15">
      <c r="A1214" s="32"/>
      <c r="B1214" s="32"/>
      <c r="C1214" s="32"/>
      <c r="D1214" s="32"/>
      <c r="E1214" s="32"/>
      <c r="F1214" s="32"/>
      <c r="G1214" s="32"/>
      <c r="H1214" s="32"/>
      <c r="I1214" s="32"/>
      <c r="J1214" s="32"/>
      <c r="K1214" s="32"/>
      <c r="L1214" s="32"/>
      <c r="M1214" s="23"/>
      <c r="N1214" s="32"/>
      <c r="O1214" s="32"/>
      <c r="P1214" s="32"/>
      <c r="Q1214" s="32"/>
      <c r="R1214" s="32"/>
      <c r="S1214" s="32"/>
      <c r="T1214" s="32"/>
      <c r="U1214" s="32"/>
      <c r="V1214" s="32"/>
      <c r="W1214" s="32"/>
      <c r="X1214" s="32"/>
      <c r="Y1214" s="32"/>
      <c r="Z1214" s="32"/>
      <c r="AA1214" s="32"/>
      <c r="AB1214" s="32"/>
    </row>
    <row r="1215" spans="1:28" ht="13" x14ac:dyDescent="0.15">
      <c r="A1215" s="32"/>
      <c r="B1215" s="32"/>
      <c r="C1215" s="32"/>
      <c r="D1215" s="32"/>
      <c r="E1215" s="32"/>
      <c r="F1215" s="32"/>
      <c r="G1215" s="32"/>
      <c r="H1215" s="32"/>
      <c r="I1215" s="32"/>
      <c r="J1215" s="32"/>
      <c r="K1215" s="32"/>
      <c r="L1215" s="32"/>
      <c r="M1215" s="23"/>
      <c r="N1215" s="32"/>
      <c r="O1215" s="32"/>
      <c r="P1215" s="32"/>
      <c r="Q1215" s="32"/>
      <c r="R1215" s="32"/>
      <c r="S1215" s="32"/>
      <c r="T1215" s="32"/>
      <c r="U1215" s="32"/>
      <c r="V1215" s="32"/>
      <c r="W1215" s="32"/>
      <c r="X1215" s="32"/>
      <c r="Y1215" s="32"/>
      <c r="Z1215" s="32"/>
      <c r="AA1215" s="32"/>
      <c r="AB1215" s="32"/>
    </row>
    <row r="1216" spans="1:28" ht="13" x14ac:dyDescent="0.15">
      <c r="A1216" s="32"/>
      <c r="B1216" s="32"/>
      <c r="C1216" s="32"/>
      <c r="D1216" s="32"/>
      <c r="E1216" s="32"/>
      <c r="F1216" s="32"/>
      <c r="G1216" s="32"/>
      <c r="H1216" s="32"/>
      <c r="I1216" s="32"/>
      <c r="J1216" s="32"/>
      <c r="K1216" s="32"/>
      <c r="L1216" s="32"/>
      <c r="M1216" s="23"/>
      <c r="N1216" s="32"/>
      <c r="O1216" s="32"/>
      <c r="P1216" s="32"/>
      <c r="Q1216" s="32"/>
      <c r="R1216" s="32"/>
      <c r="S1216" s="32"/>
      <c r="T1216" s="32"/>
      <c r="U1216" s="32"/>
      <c r="V1216" s="32"/>
      <c r="W1216" s="32"/>
      <c r="X1216" s="32"/>
      <c r="Y1216" s="32"/>
      <c r="Z1216" s="32"/>
      <c r="AA1216" s="32"/>
      <c r="AB1216" s="32"/>
    </row>
    <row r="1217" spans="1:28" ht="13" x14ac:dyDescent="0.15">
      <c r="A1217" s="32"/>
      <c r="B1217" s="32"/>
      <c r="C1217" s="32"/>
      <c r="D1217" s="32"/>
      <c r="E1217" s="32"/>
      <c r="F1217" s="32"/>
      <c r="G1217" s="32"/>
      <c r="H1217" s="32"/>
      <c r="I1217" s="32"/>
      <c r="J1217" s="32"/>
      <c r="K1217" s="32"/>
      <c r="L1217" s="32"/>
      <c r="M1217" s="23"/>
      <c r="N1217" s="32"/>
      <c r="O1217" s="32"/>
      <c r="P1217" s="32"/>
      <c r="Q1217" s="32"/>
      <c r="R1217" s="32"/>
      <c r="S1217" s="32"/>
      <c r="T1217" s="32"/>
      <c r="U1217" s="32"/>
      <c r="V1217" s="32"/>
      <c r="W1217" s="32"/>
      <c r="X1217" s="32"/>
      <c r="Y1217" s="32"/>
      <c r="Z1217" s="32"/>
      <c r="AA1217" s="32"/>
      <c r="AB1217" s="32"/>
    </row>
    <row r="1218" spans="1:28" ht="13" x14ac:dyDescent="0.15">
      <c r="A1218" s="32"/>
      <c r="B1218" s="32"/>
      <c r="C1218" s="32"/>
      <c r="D1218" s="32"/>
      <c r="E1218" s="32"/>
      <c r="F1218" s="32"/>
      <c r="G1218" s="32"/>
      <c r="H1218" s="32"/>
      <c r="I1218" s="32"/>
      <c r="J1218" s="32"/>
      <c r="K1218" s="32"/>
      <c r="L1218" s="32"/>
      <c r="M1218" s="23"/>
      <c r="N1218" s="32"/>
      <c r="O1218" s="32"/>
      <c r="P1218" s="32"/>
      <c r="Q1218" s="32"/>
      <c r="R1218" s="32"/>
      <c r="S1218" s="32"/>
      <c r="T1218" s="32"/>
      <c r="U1218" s="32"/>
      <c r="V1218" s="32"/>
      <c r="W1218" s="32"/>
      <c r="X1218" s="32"/>
      <c r="Y1218" s="32"/>
      <c r="Z1218" s="32"/>
      <c r="AA1218" s="32"/>
      <c r="AB1218" s="32"/>
    </row>
    <row r="1219" spans="1:28" ht="13" x14ac:dyDescent="0.15">
      <c r="A1219" s="32"/>
      <c r="B1219" s="32"/>
      <c r="C1219" s="32"/>
      <c r="D1219" s="32"/>
      <c r="E1219" s="32"/>
      <c r="F1219" s="32"/>
      <c r="G1219" s="32"/>
      <c r="H1219" s="32"/>
      <c r="I1219" s="32"/>
      <c r="J1219" s="32"/>
      <c r="K1219" s="32"/>
      <c r="L1219" s="32"/>
      <c r="M1219" s="23"/>
      <c r="N1219" s="32"/>
      <c r="O1219" s="32"/>
      <c r="P1219" s="32"/>
      <c r="Q1219" s="32"/>
      <c r="R1219" s="32"/>
      <c r="S1219" s="32"/>
      <c r="T1219" s="32"/>
      <c r="U1219" s="32"/>
      <c r="V1219" s="32"/>
      <c r="W1219" s="32"/>
      <c r="X1219" s="32"/>
      <c r="Y1219" s="32"/>
      <c r="Z1219" s="32"/>
      <c r="AA1219" s="32"/>
      <c r="AB1219" s="32"/>
    </row>
    <row r="1220" spans="1:28" ht="13" x14ac:dyDescent="0.15">
      <c r="A1220" s="32"/>
      <c r="B1220" s="32"/>
      <c r="C1220" s="32"/>
      <c r="D1220" s="32"/>
      <c r="E1220" s="32"/>
      <c r="F1220" s="32"/>
      <c r="G1220" s="32"/>
      <c r="H1220" s="32"/>
      <c r="I1220" s="32"/>
      <c r="J1220" s="32"/>
      <c r="K1220" s="32"/>
      <c r="L1220" s="32"/>
      <c r="M1220" s="23"/>
      <c r="N1220" s="32"/>
      <c r="O1220" s="32"/>
      <c r="P1220" s="32"/>
      <c r="Q1220" s="32"/>
      <c r="R1220" s="32"/>
      <c r="S1220" s="32"/>
      <c r="T1220" s="32"/>
      <c r="U1220" s="32"/>
      <c r="V1220" s="32"/>
      <c r="W1220" s="32"/>
      <c r="X1220" s="32"/>
      <c r="Y1220" s="32"/>
      <c r="Z1220" s="32"/>
      <c r="AA1220" s="32"/>
      <c r="AB1220" s="32"/>
    </row>
    <row r="1221" spans="1:28" ht="13" x14ac:dyDescent="0.15">
      <c r="A1221" s="32"/>
      <c r="B1221" s="32"/>
      <c r="C1221" s="32"/>
      <c r="D1221" s="32"/>
      <c r="E1221" s="32"/>
      <c r="F1221" s="32"/>
      <c r="G1221" s="32"/>
      <c r="H1221" s="32"/>
      <c r="I1221" s="32"/>
      <c r="J1221" s="32"/>
      <c r="K1221" s="32"/>
      <c r="L1221" s="32"/>
      <c r="M1221" s="23"/>
      <c r="N1221" s="32"/>
      <c r="O1221" s="32"/>
      <c r="P1221" s="32"/>
      <c r="Q1221" s="32"/>
      <c r="R1221" s="32"/>
      <c r="S1221" s="32"/>
      <c r="T1221" s="32"/>
      <c r="U1221" s="32"/>
      <c r="V1221" s="32"/>
      <c r="W1221" s="32"/>
      <c r="X1221" s="32"/>
      <c r="Y1221" s="32"/>
      <c r="Z1221" s="32"/>
      <c r="AA1221" s="32"/>
      <c r="AB1221" s="32"/>
    </row>
    <row r="1222" spans="1:28" ht="13" x14ac:dyDescent="0.15">
      <c r="A1222" s="32"/>
      <c r="B1222" s="32"/>
      <c r="C1222" s="32"/>
      <c r="D1222" s="32"/>
      <c r="E1222" s="32"/>
      <c r="F1222" s="32"/>
      <c r="G1222" s="32"/>
      <c r="H1222" s="32"/>
      <c r="I1222" s="32"/>
      <c r="J1222" s="32"/>
      <c r="K1222" s="32"/>
      <c r="L1222" s="32"/>
      <c r="M1222" s="23"/>
      <c r="N1222" s="32"/>
      <c r="O1222" s="32"/>
      <c r="P1222" s="32"/>
      <c r="Q1222" s="32"/>
      <c r="R1222" s="32"/>
      <c r="S1222" s="32"/>
      <c r="T1222" s="32"/>
      <c r="U1222" s="32"/>
      <c r="V1222" s="32"/>
      <c r="W1222" s="32"/>
      <c r="X1222" s="32"/>
      <c r="Y1222" s="32"/>
      <c r="Z1222" s="32"/>
      <c r="AA1222" s="32"/>
      <c r="AB1222" s="32"/>
    </row>
    <row r="1223" spans="1:28" ht="13" x14ac:dyDescent="0.15">
      <c r="A1223" s="32"/>
      <c r="B1223" s="32"/>
      <c r="C1223" s="32"/>
      <c r="D1223" s="32"/>
      <c r="E1223" s="32"/>
      <c r="F1223" s="32"/>
      <c r="G1223" s="32"/>
      <c r="H1223" s="32"/>
      <c r="I1223" s="32"/>
      <c r="J1223" s="32"/>
      <c r="K1223" s="32"/>
      <c r="L1223" s="32"/>
      <c r="M1223" s="23"/>
      <c r="N1223" s="32"/>
      <c r="O1223" s="32"/>
      <c r="P1223" s="32"/>
      <c r="Q1223" s="32"/>
      <c r="R1223" s="32"/>
      <c r="S1223" s="32"/>
      <c r="T1223" s="32"/>
      <c r="U1223" s="32"/>
      <c r="V1223" s="32"/>
      <c r="W1223" s="32"/>
      <c r="X1223" s="32"/>
      <c r="Y1223" s="32"/>
      <c r="Z1223" s="32"/>
      <c r="AA1223" s="32"/>
      <c r="AB1223" s="32"/>
    </row>
    <row r="1224" spans="1:28" ht="13" x14ac:dyDescent="0.15">
      <c r="A1224" s="32"/>
      <c r="B1224" s="32"/>
      <c r="C1224" s="32"/>
      <c r="D1224" s="32"/>
      <c r="E1224" s="32"/>
      <c r="F1224" s="32"/>
      <c r="G1224" s="32"/>
      <c r="H1224" s="32"/>
      <c r="I1224" s="32"/>
      <c r="J1224" s="32"/>
      <c r="K1224" s="32"/>
      <c r="L1224" s="32"/>
      <c r="M1224" s="23"/>
      <c r="N1224" s="32"/>
      <c r="O1224" s="32"/>
      <c r="P1224" s="32"/>
      <c r="Q1224" s="32"/>
      <c r="R1224" s="32"/>
      <c r="S1224" s="32"/>
      <c r="T1224" s="32"/>
      <c r="U1224" s="32"/>
      <c r="V1224" s="32"/>
      <c r="W1224" s="32"/>
      <c r="X1224" s="32"/>
      <c r="Y1224" s="32"/>
      <c r="Z1224" s="32"/>
      <c r="AA1224" s="32"/>
      <c r="AB1224" s="32"/>
    </row>
    <row r="1225" spans="1:28" ht="13" x14ac:dyDescent="0.15">
      <c r="A1225" s="32"/>
      <c r="B1225" s="32"/>
      <c r="C1225" s="32"/>
      <c r="D1225" s="32"/>
      <c r="E1225" s="32"/>
      <c r="F1225" s="32"/>
      <c r="G1225" s="32"/>
      <c r="H1225" s="32"/>
      <c r="I1225" s="32"/>
      <c r="J1225" s="32"/>
      <c r="K1225" s="32"/>
      <c r="L1225" s="32"/>
      <c r="M1225" s="23"/>
      <c r="N1225" s="32"/>
      <c r="O1225" s="32"/>
      <c r="P1225" s="32"/>
      <c r="Q1225" s="32"/>
      <c r="R1225" s="32"/>
      <c r="S1225" s="32"/>
      <c r="T1225" s="32"/>
      <c r="U1225" s="32"/>
      <c r="V1225" s="32"/>
      <c r="W1225" s="32"/>
      <c r="X1225" s="32"/>
      <c r="Y1225" s="32"/>
      <c r="Z1225" s="32"/>
      <c r="AA1225" s="32"/>
      <c r="AB1225" s="32"/>
    </row>
    <row r="1226" spans="1:28" ht="13" x14ac:dyDescent="0.15">
      <c r="A1226" s="32"/>
      <c r="B1226" s="32"/>
      <c r="C1226" s="32"/>
      <c r="D1226" s="32"/>
      <c r="E1226" s="32"/>
      <c r="F1226" s="32"/>
      <c r="G1226" s="32"/>
      <c r="H1226" s="32"/>
      <c r="I1226" s="32"/>
      <c r="J1226" s="32"/>
      <c r="K1226" s="32"/>
      <c r="L1226" s="32"/>
      <c r="M1226" s="23"/>
      <c r="N1226" s="32"/>
      <c r="O1226" s="32"/>
      <c r="P1226" s="32"/>
      <c r="Q1226" s="32"/>
      <c r="R1226" s="32"/>
      <c r="S1226" s="32"/>
      <c r="T1226" s="32"/>
      <c r="U1226" s="32"/>
      <c r="V1226" s="32"/>
      <c r="W1226" s="32"/>
      <c r="X1226" s="32"/>
      <c r="Y1226" s="32"/>
      <c r="Z1226" s="32"/>
      <c r="AA1226" s="32"/>
      <c r="AB1226" s="32"/>
    </row>
    <row r="1227" spans="1:28" ht="13" x14ac:dyDescent="0.15">
      <c r="A1227" s="32"/>
      <c r="B1227" s="32"/>
      <c r="C1227" s="32"/>
      <c r="D1227" s="32"/>
      <c r="E1227" s="32"/>
      <c r="F1227" s="32"/>
      <c r="G1227" s="32"/>
      <c r="H1227" s="32"/>
      <c r="I1227" s="32"/>
      <c r="J1227" s="32"/>
      <c r="K1227" s="32"/>
      <c r="L1227" s="32"/>
      <c r="M1227" s="23"/>
      <c r="N1227" s="32"/>
      <c r="O1227" s="32"/>
      <c r="P1227" s="32"/>
      <c r="Q1227" s="32"/>
      <c r="R1227" s="32"/>
      <c r="S1227" s="32"/>
      <c r="T1227" s="32"/>
      <c r="U1227" s="32"/>
      <c r="V1227" s="32"/>
      <c r="W1227" s="32"/>
      <c r="X1227" s="32"/>
      <c r="Y1227" s="32"/>
      <c r="Z1227" s="32"/>
      <c r="AA1227" s="32"/>
      <c r="AB1227" s="32"/>
    </row>
    <row r="1228" spans="1:28" ht="13" x14ac:dyDescent="0.15">
      <c r="A1228" s="32"/>
      <c r="B1228" s="32"/>
      <c r="C1228" s="32"/>
      <c r="D1228" s="32"/>
      <c r="E1228" s="32"/>
      <c r="F1228" s="32"/>
      <c r="G1228" s="32"/>
      <c r="H1228" s="32"/>
      <c r="I1228" s="32"/>
      <c r="J1228" s="32"/>
      <c r="K1228" s="32"/>
      <c r="L1228" s="32"/>
      <c r="M1228" s="23"/>
      <c r="N1228" s="32"/>
      <c r="O1228" s="32"/>
      <c r="P1228" s="32"/>
      <c r="Q1228" s="32"/>
      <c r="R1228" s="32"/>
      <c r="S1228" s="32"/>
      <c r="T1228" s="32"/>
      <c r="U1228" s="32"/>
      <c r="V1228" s="32"/>
      <c r="W1228" s="32"/>
      <c r="X1228" s="32"/>
      <c r="Y1228" s="32"/>
      <c r="Z1228" s="32"/>
      <c r="AA1228" s="32"/>
      <c r="AB1228" s="32"/>
    </row>
    <row r="1229" spans="1:28" ht="13" x14ac:dyDescent="0.15">
      <c r="A1229" s="32"/>
      <c r="B1229" s="32"/>
      <c r="C1229" s="32"/>
      <c r="D1229" s="32"/>
      <c r="E1229" s="32"/>
      <c r="F1229" s="32"/>
      <c r="G1229" s="32"/>
      <c r="H1229" s="32"/>
      <c r="I1229" s="32"/>
      <c r="J1229" s="32"/>
      <c r="K1229" s="32"/>
      <c r="L1229" s="32"/>
      <c r="M1229" s="23"/>
      <c r="N1229" s="32"/>
      <c r="O1229" s="32"/>
      <c r="P1229" s="32"/>
      <c r="Q1229" s="32"/>
      <c r="R1229" s="32"/>
      <c r="S1229" s="32"/>
      <c r="T1229" s="32"/>
      <c r="U1229" s="32"/>
      <c r="V1229" s="32"/>
      <c r="W1229" s="32"/>
      <c r="X1229" s="32"/>
      <c r="Y1229" s="32"/>
      <c r="Z1229" s="32"/>
      <c r="AA1229" s="32"/>
      <c r="AB1229" s="32"/>
    </row>
    <row r="1230" spans="1:28" ht="13" x14ac:dyDescent="0.15">
      <c r="A1230" s="32"/>
      <c r="B1230" s="32"/>
      <c r="C1230" s="32"/>
      <c r="D1230" s="32"/>
      <c r="E1230" s="32"/>
      <c r="F1230" s="32"/>
      <c r="G1230" s="32"/>
      <c r="H1230" s="32"/>
      <c r="I1230" s="32"/>
      <c r="J1230" s="32"/>
      <c r="K1230" s="32"/>
      <c r="L1230" s="32"/>
      <c r="M1230" s="23"/>
      <c r="N1230" s="32"/>
      <c r="O1230" s="32"/>
      <c r="P1230" s="32"/>
      <c r="Q1230" s="32"/>
      <c r="R1230" s="32"/>
      <c r="S1230" s="32"/>
      <c r="T1230" s="32"/>
      <c r="U1230" s="32"/>
      <c r="V1230" s="32"/>
      <c r="W1230" s="32"/>
      <c r="X1230" s="32"/>
      <c r="Y1230" s="32"/>
      <c r="Z1230" s="32"/>
      <c r="AA1230" s="32"/>
      <c r="AB1230" s="32"/>
    </row>
    <row r="1231" spans="1:28" ht="13" x14ac:dyDescent="0.15">
      <c r="A1231" s="32"/>
      <c r="B1231" s="32"/>
      <c r="C1231" s="32"/>
      <c r="D1231" s="32"/>
      <c r="E1231" s="32"/>
      <c r="F1231" s="32"/>
      <c r="G1231" s="32"/>
      <c r="H1231" s="32"/>
      <c r="I1231" s="32"/>
      <c r="J1231" s="32"/>
      <c r="K1231" s="32"/>
      <c r="L1231" s="32"/>
      <c r="M1231" s="23"/>
      <c r="N1231" s="32"/>
      <c r="O1231" s="32"/>
      <c r="P1231" s="32"/>
      <c r="Q1231" s="32"/>
      <c r="R1231" s="32"/>
      <c r="S1231" s="32"/>
      <c r="T1231" s="32"/>
      <c r="U1231" s="32"/>
      <c r="V1231" s="32"/>
      <c r="W1231" s="32"/>
      <c r="X1231" s="32"/>
      <c r="Y1231" s="32"/>
      <c r="Z1231" s="32"/>
      <c r="AA1231" s="32"/>
      <c r="AB1231" s="32"/>
    </row>
    <row r="1232" spans="1:28" ht="13" x14ac:dyDescent="0.15">
      <c r="A1232" s="32"/>
      <c r="B1232" s="32"/>
      <c r="C1232" s="32"/>
      <c r="D1232" s="32"/>
      <c r="E1232" s="32"/>
      <c r="F1232" s="32"/>
      <c r="G1232" s="32"/>
      <c r="H1232" s="32"/>
      <c r="I1232" s="32"/>
      <c r="J1232" s="32"/>
      <c r="K1232" s="32"/>
      <c r="L1232" s="32"/>
      <c r="M1232" s="23"/>
      <c r="N1232" s="32"/>
      <c r="O1232" s="32"/>
      <c r="P1232" s="32"/>
      <c r="Q1232" s="32"/>
      <c r="R1232" s="32"/>
      <c r="S1232" s="32"/>
      <c r="T1232" s="32"/>
      <c r="U1232" s="32"/>
      <c r="V1232" s="32"/>
      <c r="W1232" s="32"/>
      <c r="X1232" s="32"/>
      <c r="Y1232" s="32"/>
      <c r="Z1232" s="32"/>
      <c r="AA1232" s="32"/>
      <c r="AB1232" s="32"/>
    </row>
    <row r="1233" spans="1:28" ht="13" x14ac:dyDescent="0.15">
      <c r="A1233" s="32"/>
      <c r="B1233" s="32"/>
      <c r="C1233" s="32"/>
      <c r="D1233" s="32"/>
      <c r="E1233" s="32"/>
      <c r="F1233" s="32"/>
      <c r="G1233" s="32"/>
      <c r="H1233" s="32"/>
      <c r="I1233" s="32"/>
      <c r="J1233" s="32"/>
      <c r="K1233" s="32"/>
      <c r="L1233" s="32"/>
      <c r="M1233" s="23"/>
      <c r="N1233" s="32"/>
      <c r="O1233" s="32"/>
      <c r="P1233" s="32"/>
      <c r="Q1233" s="32"/>
      <c r="R1233" s="32"/>
      <c r="S1233" s="32"/>
      <c r="T1233" s="32"/>
      <c r="U1233" s="32"/>
      <c r="V1233" s="32"/>
      <c r="W1233" s="32"/>
      <c r="X1233" s="32"/>
      <c r="Y1233" s="32"/>
      <c r="Z1233" s="32"/>
      <c r="AA1233" s="32"/>
      <c r="AB1233" s="32"/>
    </row>
    <row r="1234" spans="1:28" ht="13" x14ac:dyDescent="0.15">
      <c r="A1234" s="32"/>
      <c r="B1234" s="32"/>
      <c r="C1234" s="32"/>
      <c r="D1234" s="32"/>
      <c r="E1234" s="32"/>
      <c r="F1234" s="32"/>
      <c r="G1234" s="32"/>
      <c r="H1234" s="32"/>
      <c r="I1234" s="32"/>
      <c r="J1234" s="32"/>
      <c r="K1234" s="32"/>
      <c r="L1234" s="32"/>
      <c r="M1234" s="23"/>
      <c r="N1234" s="32"/>
      <c r="O1234" s="32"/>
      <c r="P1234" s="32"/>
      <c r="Q1234" s="32"/>
      <c r="R1234" s="32"/>
      <c r="S1234" s="32"/>
      <c r="T1234" s="32"/>
      <c r="U1234" s="32"/>
      <c r="V1234" s="32"/>
      <c r="W1234" s="32"/>
      <c r="X1234" s="32"/>
      <c r="Y1234" s="32"/>
      <c r="Z1234" s="32"/>
      <c r="AA1234" s="32"/>
      <c r="AB1234" s="32"/>
    </row>
    <row r="1235" spans="1:28" ht="13" x14ac:dyDescent="0.15">
      <c r="A1235" s="32"/>
      <c r="B1235" s="32"/>
      <c r="C1235" s="32"/>
      <c r="D1235" s="32"/>
      <c r="E1235" s="32"/>
      <c r="F1235" s="32"/>
      <c r="G1235" s="32"/>
      <c r="H1235" s="32"/>
      <c r="I1235" s="32"/>
      <c r="J1235" s="32"/>
      <c r="K1235" s="32"/>
      <c r="L1235" s="32"/>
      <c r="M1235" s="23"/>
      <c r="N1235" s="32"/>
      <c r="O1235" s="32"/>
      <c r="P1235" s="32"/>
      <c r="Q1235" s="32"/>
      <c r="R1235" s="32"/>
      <c r="S1235" s="32"/>
      <c r="T1235" s="32"/>
      <c r="U1235" s="32"/>
      <c r="V1235" s="32"/>
      <c r="W1235" s="32"/>
      <c r="X1235" s="32"/>
      <c r="Y1235" s="32"/>
      <c r="Z1235" s="32"/>
      <c r="AA1235" s="32"/>
      <c r="AB1235" s="32"/>
    </row>
    <row r="1236" spans="1:28" ht="13" x14ac:dyDescent="0.15">
      <c r="A1236" s="32"/>
      <c r="B1236" s="32"/>
      <c r="C1236" s="32"/>
      <c r="D1236" s="32"/>
      <c r="E1236" s="32"/>
      <c r="F1236" s="32"/>
      <c r="G1236" s="32"/>
      <c r="H1236" s="32"/>
      <c r="I1236" s="32"/>
      <c r="J1236" s="32"/>
      <c r="K1236" s="32"/>
      <c r="L1236" s="32"/>
      <c r="M1236" s="23"/>
      <c r="N1236" s="32"/>
      <c r="O1236" s="32"/>
      <c r="P1236" s="32"/>
      <c r="Q1236" s="32"/>
      <c r="R1236" s="32"/>
      <c r="S1236" s="32"/>
      <c r="T1236" s="32"/>
      <c r="U1236" s="32"/>
      <c r="V1236" s="32"/>
      <c r="W1236" s="32"/>
      <c r="X1236" s="32"/>
      <c r="Y1236" s="32"/>
      <c r="Z1236" s="32"/>
      <c r="AA1236" s="32"/>
      <c r="AB1236" s="32"/>
    </row>
    <row r="1237" spans="1:28" ht="13" x14ac:dyDescent="0.15">
      <c r="A1237" s="32"/>
      <c r="B1237" s="32"/>
      <c r="C1237" s="32"/>
      <c r="D1237" s="32"/>
      <c r="E1237" s="32"/>
      <c r="F1237" s="32"/>
      <c r="G1237" s="32"/>
      <c r="H1237" s="32"/>
      <c r="I1237" s="32"/>
      <c r="J1237" s="32"/>
      <c r="K1237" s="32"/>
      <c r="L1237" s="32"/>
      <c r="M1237" s="23"/>
      <c r="N1237" s="32"/>
      <c r="O1237" s="32"/>
      <c r="P1237" s="32"/>
      <c r="Q1237" s="32"/>
      <c r="R1237" s="32"/>
      <c r="S1237" s="32"/>
      <c r="T1237" s="32"/>
      <c r="U1237" s="32"/>
      <c r="V1237" s="32"/>
      <c r="W1237" s="32"/>
      <c r="X1237" s="32"/>
      <c r="Y1237" s="32"/>
      <c r="Z1237" s="32"/>
      <c r="AA1237" s="32"/>
      <c r="AB1237" s="32"/>
    </row>
    <row r="1238" spans="1:28" ht="13" x14ac:dyDescent="0.15">
      <c r="A1238" s="32"/>
      <c r="B1238" s="32"/>
      <c r="C1238" s="32"/>
      <c r="D1238" s="32"/>
      <c r="E1238" s="32"/>
      <c r="F1238" s="32"/>
      <c r="G1238" s="32"/>
      <c r="H1238" s="32"/>
      <c r="I1238" s="32"/>
      <c r="J1238" s="32"/>
      <c r="K1238" s="32"/>
      <c r="L1238" s="32"/>
      <c r="M1238" s="23"/>
      <c r="N1238" s="32"/>
      <c r="O1238" s="32"/>
      <c r="P1238" s="32"/>
      <c r="Q1238" s="32"/>
      <c r="R1238" s="32"/>
      <c r="S1238" s="32"/>
      <c r="T1238" s="32"/>
      <c r="U1238" s="32"/>
      <c r="V1238" s="32"/>
      <c r="W1238" s="32"/>
      <c r="X1238" s="32"/>
      <c r="Y1238" s="32"/>
      <c r="Z1238" s="32"/>
      <c r="AA1238" s="32"/>
      <c r="AB1238" s="32"/>
    </row>
    <row r="1239" spans="1:28" ht="13" x14ac:dyDescent="0.15">
      <c r="A1239" s="32"/>
      <c r="B1239" s="32"/>
      <c r="C1239" s="32"/>
      <c r="D1239" s="32"/>
      <c r="E1239" s="32"/>
      <c r="F1239" s="32"/>
      <c r="G1239" s="32"/>
      <c r="H1239" s="32"/>
      <c r="I1239" s="32"/>
      <c r="J1239" s="32"/>
      <c r="K1239" s="32"/>
      <c r="L1239" s="32"/>
      <c r="M1239" s="23"/>
      <c r="N1239" s="32"/>
      <c r="O1239" s="32"/>
      <c r="P1239" s="32"/>
      <c r="Q1239" s="32"/>
      <c r="R1239" s="32"/>
      <c r="S1239" s="32"/>
      <c r="T1239" s="32"/>
      <c r="U1239" s="32"/>
      <c r="V1239" s="32"/>
      <c r="W1239" s="32"/>
      <c r="X1239" s="32"/>
      <c r="Y1239" s="32"/>
      <c r="Z1239" s="32"/>
      <c r="AA1239" s="32"/>
      <c r="AB1239" s="32"/>
    </row>
    <row r="1240" spans="1:28" ht="13" x14ac:dyDescent="0.15">
      <c r="A1240" s="32"/>
      <c r="B1240" s="32"/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  <c r="M1240" s="23"/>
      <c r="N1240" s="32"/>
      <c r="O1240" s="32"/>
      <c r="P1240" s="32"/>
      <c r="Q1240" s="32"/>
      <c r="R1240" s="32"/>
      <c r="S1240" s="32"/>
      <c r="T1240" s="32"/>
      <c r="U1240" s="32"/>
      <c r="V1240" s="32"/>
      <c r="W1240" s="32"/>
      <c r="X1240" s="32"/>
      <c r="Y1240" s="32"/>
      <c r="Z1240" s="32"/>
      <c r="AA1240" s="32"/>
      <c r="AB1240" s="32"/>
    </row>
    <row r="1241" spans="1:28" ht="13" x14ac:dyDescent="0.15">
      <c r="A1241" s="32"/>
      <c r="B1241" s="32"/>
      <c r="C1241" s="32"/>
      <c r="D1241" s="32"/>
      <c r="E1241" s="32"/>
      <c r="F1241" s="32"/>
      <c r="G1241" s="32"/>
      <c r="H1241" s="32"/>
      <c r="I1241" s="32"/>
      <c r="J1241" s="32"/>
      <c r="K1241" s="32"/>
      <c r="L1241" s="32"/>
      <c r="M1241" s="23"/>
      <c r="N1241" s="32"/>
      <c r="O1241" s="32"/>
      <c r="P1241" s="32"/>
      <c r="Q1241" s="32"/>
      <c r="R1241" s="32"/>
      <c r="S1241" s="32"/>
      <c r="T1241" s="32"/>
      <c r="U1241" s="32"/>
      <c r="V1241" s="32"/>
      <c r="W1241" s="32"/>
      <c r="X1241" s="32"/>
      <c r="Y1241" s="32"/>
      <c r="Z1241" s="32"/>
      <c r="AA1241" s="32"/>
      <c r="AB1241" s="32"/>
    </row>
    <row r="1242" spans="1:28" ht="13" x14ac:dyDescent="0.15">
      <c r="A1242" s="32"/>
      <c r="B1242" s="32"/>
      <c r="C1242" s="32"/>
      <c r="D1242" s="32"/>
      <c r="E1242" s="32"/>
      <c r="F1242" s="32"/>
      <c r="G1242" s="32"/>
      <c r="H1242" s="32"/>
      <c r="I1242" s="32"/>
      <c r="J1242" s="32"/>
      <c r="K1242" s="32"/>
      <c r="L1242" s="32"/>
      <c r="M1242" s="23"/>
      <c r="N1242" s="32"/>
      <c r="O1242" s="32"/>
      <c r="P1242" s="32"/>
      <c r="Q1242" s="32"/>
      <c r="R1242" s="32"/>
      <c r="S1242" s="32"/>
      <c r="T1242" s="32"/>
      <c r="U1242" s="32"/>
      <c r="V1242" s="32"/>
      <c r="W1242" s="32"/>
      <c r="X1242" s="32"/>
      <c r="Y1242" s="32"/>
      <c r="Z1242" s="32"/>
      <c r="AA1242" s="32"/>
      <c r="AB1242" s="32"/>
    </row>
    <row r="1243" spans="1:28" ht="13" x14ac:dyDescent="0.15">
      <c r="A1243" s="32"/>
      <c r="B1243" s="32"/>
      <c r="C1243" s="32"/>
      <c r="D1243" s="32"/>
      <c r="E1243" s="32"/>
      <c r="F1243" s="32"/>
      <c r="G1243" s="32"/>
      <c r="H1243" s="32"/>
      <c r="I1243" s="32"/>
      <c r="J1243" s="32"/>
      <c r="K1243" s="32"/>
      <c r="L1243" s="32"/>
      <c r="M1243" s="23"/>
      <c r="N1243" s="32"/>
      <c r="O1243" s="32"/>
      <c r="P1243" s="32"/>
      <c r="Q1243" s="32"/>
      <c r="R1243" s="32"/>
      <c r="S1243" s="32"/>
      <c r="T1243" s="32"/>
      <c r="U1243" s="32"/>
      <c r="V1243" s="32"/>
      <c r="W1243" s="32"/>
      <c r="X1243" s="32"/>
      <c r="Y1243" s="32"/>
      <c r="Z1243" s="32"/>
      <c r="AA1243" s="32"/>
      <c r="AB1243" s="32"/>
    </row>
    <row r="1244" spans="1:28" ht="13" x14ac:dyDescent="0.15">
      <c r="A1244" s="32"/>
      <c r="B1244" s="32"/>
      <c r="C1244" s="32"/>
      <c r="D1244" s="32"/>
      <c r="E1244" s="32"/>
      <c r="F1244" s="32"/>
      <c r="G1244" s="32"/>
      <c r="H1244" s="32"/>
      <c r="I1244" s="32"/>
      <c r="J1244" s="32"/>
      <c r="K1244" s="32"/>
      <c r="L1244" s="32"/>
      <c r="M1244" s="23"/>
      <c r="N1244" s="32"/>
      <c r="O1244" s="32"/>
      <c r="P1244" s="32"/>
      <c r="Q1244" s="32"/>
      <c r="R1244" s="32"/>
      <c r="S1244" s="32"/>
      <c r="T1244" s="32"/>
      <c r="U1244" s="32"/>
      <c r="V1244" s="32"/>
      <c r="W1244" s="32"/>
      <c r="X1244" s="32"/>
      <c r="Y1244" s="32"/>
      <c r="Z1244" s="32"/>
      <c r="AA1244" s="32"/>
      <c r="AB1244" s="32"/>
    </row>
    <row r="1245" spans="1:28" ht="13" x14ac:dyDescent="0.15">
      <c r="A1245" s="32"/>
      <c r="B1245" s="32"/>
      <c r="C1245" s="32"/>
      <c r="D1245" s="32"/>
      <c r="E1245" s="32"/>
      <c r="F1245" s="32"/>
      <c r="G1245" s="32"/>
      <c r="H1245" s="32"/>
      <c r="I1245" s="32"/>
      <c r="J1245" s="32"/>
      <c r="K1245" s="32"/>
      <c r="L1245" s="32"/>
      <c r="M1245" s="23"/>
      <c r="N1245" s="32"/>
      <c r="O1245" s="32"/>
      <c r="P1245" s="32"/>
      <c r="Q1245" s="32"/>
      <c r="R1245" s="32"/>
      <c r="S1245" s="32"/>
      <c r="T1245" s="32"/>
      <c r="U1245" s="32"/>
      <c r="V1245" s="32"/>
      <c r="W1245" s="32"/>
      <c r="X1245" s="32"/>
      <c r="Y1245" s="32"/>
      <c r="Z1245" s="32"/>
      <c r="AA1245" s="32"/>
      <c r="AB1245" s="32"/>
    </row>
    <row r="1246" spans="1:28" ht="13" x14ac:dyDescent="0.15">
      <c r="A1246" s="32"/>
      <c r="B1246" s="32"/>
      <c r="C1246" s="32"/>
      <c r="D1246" s="32"/>
      <c r="E1246" s="32"/>
      <c r="F1246" s="32"/>
      <c r="G1246" s="32"/>
      <c r="H1246" s="32"/>
      <c r="I1246" s="32"/>
      <c r="J1246" s="32"/>
      <c r="K1246" s="32"/>
      <c r="L1246" s="32"/>
      <c r="M1246" s="23"/>
      <c r="N1246" s="32"/>
      <c r="O1246" s="32"/>
      <c r="P1246" s="32"/>
      <c r="Q1246" s="32"/>
      <c r="R1246" s="32"/>
      <c r="S1246" s="32"/>
      <c r="T1246" s="32"/>
      <c r="U1246" s="32"/>
      <c r="V1246" s="32"/>
      <c r="W1246" s="32"/>
      <c r="X1246" s="32"/>
      <c r="Y1246" s="32"/>
      <c r="Z1246" s="32"/>
      <c r="AA1246" s="32"/>
      <c r="AB1246" s="32"/>
    </row>
    <row r="1247" spans="1:28" ht="13" x14ac:dyDescent="0.15">
      <c r="A1247" s="32"/>
      <c r="B1247" s="32"/>
      <c r="C1247" s="32"/>
      <c r="D1247" s="32"/>
      <c r="E1247" s="32"/>
      <c r="F1247" s="32"/>
      <c r="G1247" s="32"/>
      <c r="H1247" s="32"/>
      <c r="I1247" s="32"/>
      <c r="J1247" s="32"/>
      <c r="K1247" s="32"/>
      <c r="L1247" s="32"/>
      <c r="M1247" s="23"/>
      <c r="N1247" s="32"/>
      <c r="O1247" s="32"/>
      <c r="P1247" s="32"/>
      <c r="Q1247" s="32"/>
      <c r="R1247" s="32"/>
      <c r="S1247" s="32"/>
      <c r="T1247" s="32"/>
      <c r="U1247" s="32"/>
      <c r="V1247" s="32"/>
      <c r="W1247" s="32"/>
      <c r="X1247" s="32"/>
      <c r="Y1247" s="32"/>
      <c r="Z1247" s="32"/>
      <c r="AA1247" s="32"/>
      <c r="AB1247" s="32"/>
    </row>
    <row r="1248" spans="1:28" ht="13" x14ac:dyDescent="0.15">
      <c r="A1248" s="32"/>
      <c r="B1248" s="32"/>
      <c r="C1248" s="32"/>
      <c r="D1248" s="32"/>
      <c r="E1248" s="32"/>
      <c r="F1248" s="32"/>
      <c r="G1248" s="32"/>
      <c r="H1248" s="32"/>
      <c r="I1248" s="32"/>
      <c r="J1248" s="32"/>
      <c r="K1248" s="32"/>
      <c r="L1248" s="32"/>
      <c r="M1248" s="23"/>
      <c r="N1248" s="32"/>
      <c r="O1248" s="32"/>
      <c r="P1248" s="32"/>
      <c r="Q1248" s="32"/>
      <c r="R1248" s="32"/>
      <c r="S1248" s="32"/>
      <c r="T1248" s="32"/>
      <c r="U1248" s="32"/>
      <c r="V1248" s="32"/>
      <c r="W1248" s="32"/>
      <c r="X1248" s="32"/>
      <c r="Y1248" s="32"/>
      <c r="Z1248" s="32"/>
      <c r="AA1248" s="32"/>
      <c r="AB1248" s="32"/>
    </row>
    <row r="1249" spans="1:28" ht="13" x14ac:dyDescent="0.15">
      <c r="A1249" s="32"/>
      <c r="B1249" s="32"/>
      <c r="C1249" s="32"/>
      <c r="D1249" s="32"/>
      <c r="E1249" s="32"/>
      <c r="F1249" s="32"/>
      <c r="G1249" s="32"/>
      <c r="H1249" s="32"/>
      <c r="I1249" s="32"/>
      <c r="J1249" s="32"/>
      <c r="K1249" s="32"/>
      <c r="L1249" s="32"/>
      <c r="M1249" s="23"/>
      <c r="N1249" s="32"/>
      <c r="O1249" s="32"/>
      <c r="P1249" s="32"/>
      <c r="Q1249" s="32"/>
      <c r="R1249" s="32"/>
      <c r="S1249" s="32"/>
      <c r="T1249" s="32"/>
      <c r="U1249" s="32"/>
      <c r="V1249" s="32"/>
      <c r="W1249" s="32"/>
      <c r="X1249" s="32"/>
      <c r="Y1249" s="32"/>
      <c r="Z1249" s="32"/>
      <c r="AA1249" s="32"/>
      <c r="AB1249" s="32"/>
    </row>
    <row r="1250" spans="1:28" ht="13" x14ac:dyDescent="0.15">
      <c r="A1250" s="32"/>
      <c r="B1250" s="32"/>
      <c r="C1250" s="32"/>
      <c r="D1250" s="32"/>
      <c r="E1250" s="32"/>
      <c r="F1250" s="32"/>
      <c r="G1250" s="32"/>
      <c r="H1250" s="32"/>
      <c r="I1250" s="32"/>
      <c r="J1250" s="32"/>
      <c r="K1250" s="32"/>
      <c r="L1250" s="32"/>
      <c r="M1250" s="23"/>
      <c r="N1250" s="32"/>
      <c r="O1250" s="32"/>
      <c r="P1250" s="32"/>
      <c r="Q1250" s="32"/>
      <c r="R1250" s="32"/>
      <c r="S1250" s="32"/>
      <c r="T1250" s="32"/>
      <c r="U1250" s="32"/>
      <c r="V1250" s="32"/>
      <c r="W1250" s="32"/>
      <c r="X1250" s="32"/>
      <c r="Y1250" s="32"/>
      <c r="Z1250" s="32"/>
      <c r="AA1250" s="32"/>
      <c r="AB1250" s="32"/>
    </row>
    <row r="1251" spans="1:28" ht="13" x14ac:dyDescent="0.15">
      <c r="A1251" s="32"/>
      <c r="B1251" s="32"/>
      <c r="C1251" s="32"/>
      <c r="D1251" s="32"/>
      <c r="E1251" s="32"/>
      <c r="F1251" s="32"/>
      <c r="G1251" s="32"/>
      <c r="H1251" s="32"/>
      <c r="I1251" s="32"/>
      <c r="J1251" s="32"/>
      <c r="K1251" s="32"/>
      <c r="L1251" s="32"/>
      <c r="M1251" s="23"/>
      <c r="N1251" s="32"/>
      <c r="O1251" s="32"/>
      <c r="P1251" s="32"/>
      <c r="Q1251" s="32"/>
      <c r="R1251" s="32"/>
      <c r="S1251" s="32"/>
      <c r="T1251" s="32"/>
      <c r="U1251" s="32"/>
      <c r="V1251" s="32"/>
      <c r="W1251" s="32"/>
      <c r="X1251" s="32"/>
      <c r="Y1251" s="32"/>
      <c r="Z1251" s="32"/>
      <c r="AA1251" s="32"/>
      <c r="AB1251" s="32"/>
    </row>
    <row r="1252" spans="1:28" ht="13" x14ac:dyDescent="0.15">
      <c r="A1252" s="32"/>
      <c r="B1252" s="32"/>
      <c r="C1252" s="32"/>
      <c r="D1252" s="32"/>
      <c r="E1252" s="32"/>
      <c r="F1252" s="32"/>
      <c r="G1252" s="32"/>
      <c r="H1252" s="32"/>
      <c r="I1252" s="32"/>
      <c r="J1252" s="32"/>
      <c r="K1252" s="32"/>
      <c r="L1252" s="32"/>
      <c r="M1252" s="23"/>
      <c r="N1252" s="32"/>
      <c r="O1252" s="32"/>
      <c r="P1252" s="32"/>
      <c r="Q1252" s="32"/>
      <c r="R1252" s="32"/>
      <c r="S1252" s="32"/>
      <c r="T1252" s="32"/>
      <c r="U1252" s="32"/>
      <c r="V1252" s="32"/>
      <c r="W1252" s="32"/>
      <c r="X1252" s="32"/>
      <c r="Y1252" s="32"/>
      <c r="Z1252" s="32"/>
      <c r="AA1252" s="32"/>
      <c r="AB1252" s="32"/>
    </row>
    <row r="1253" spans="1:28" ht="13" x14ac:dyDescent="0.15">
      <c r="A1253" s="32"/>
      <c r="B1253" s="32"/>
      <c r="C1253" s="32"/>
      <c r="D1253" s="32"/>
      <c r="E1253" s="32"/>
      <c r="F1253" s="32"/>
      <c r="G1253" s="32"/>
      <c r="H1253" s="32"/>
      <c r="I1253" s="32"/>
      <c r="J1253" s="32"/>
      <c r="K1253" s="32"/>
      <c r="L1253" s="32"/>
      <c r="M1253" s="23"/>
      <c r="N1253" s="32"/>
      <c r="O1253" s="32"/>
      <c r="P1253" s="32"/>
      <c r="Q1253" s="32"/>
      <c r="R1253" s="32"/>
      <c r="S1253" s="32"/>
      <c r="T1253" s="32"/>
      <c r="U1253" s="32"/>
      <c r="V1253" s="32"/>
      <c r="W1253" s="32"/>
      <c r="X1253" s="32"/>
      <c r="Y1253" s="32"/>
      <c r="Z1253" s="32"/>
      <c r="AA1253" s="32"/>
      <c r="AB1253" s="32"/>
    </row>
    <row r="1254" spans="1:28" ht="13" x14ac:dyDescent="0.15">
      <c r="A1254" s="32"/>
      <c r="B1254" s="32"/>
      <c r="C1254" s="32"/>
      <c r="D1254" s="32"/>
      <c r="E1254" s="32"/>
      <c r="F1254" s="32"/>
      <c r="G1254" s="32"/>
      <c r="H1254" s="32"/>
      <c r="I1254" s="32"/>
      <c r="J1254" s="32"/>
      <c r="K1254" s="32"/>
      <c r="L1254" s="32"/>
      <c r="M1254" s="23"/>
      <c r="N1254" s="32"/>
      <c r="O1254" s="32"/>
      <c r="P1254" s="32"/>
      <c r="Q1254" s="32"/>
      <c r="R1254" s="32"/>
      <c r="S1254" s="32"/>
      <c r="T1254" s="32"/>
      <c r="U1254" s="32"/>
      <c r="V1254" s="32"/>
      <c r="W1254" s="32"/>
      <c r="X1254" s="32"/>
      <c r="Y1254" s="32"/>
      <c r="Z1254" s="32"/>
      <c r="AA1254" s="32"/>
      <c r="AB1254" s="32"/>
    </row>
    <row r="1255" spans="1:28" ht="13" x14ac:dyDescent="0.15">
      <c r="A1255" s="32"/>
      <c r="B1255" s="32"/>
      <c r="C1255" s="32"/>
      <c r="D1255" s="32"/>
      <c r="E1255" s="32"/>
      <c r="F1255" s="32"/>
      <c r="G1255" s="32"/>
      <c r="H1255" s="32"/>
      <c r="I1255" s="32"/>
      <c r="J1255" s="32"/>
      <c r="K1255" s="32"/>
      <c r="L1255" s="32"/>
      <c r="M1255" s="23"/>
      <c r="N1255" s="32"/>
      <c r="O1255" s="32"/>
      <c r="P1255" s="32"/>
      <c r="Q1255" s="32"/>
      <c r="R1255" s="32"/>
      <c r="S1255" s="32"/>
      <c r="T1255" s="32"/>
      <c r="U1255" s="32"/>
      <c r="V1255" s="32"/>
      <c r="W1255" s="32"/>
      <c r="X1255" s="32"/>
      <c r="Y1255" s="32"/>
      <c r="Z1255" s="32"/>
      <c r="AA1255" s="32"/>
      <c r="AB1255" s="32"/>
    </row>
    <row r="1256" spans="1:28" ht="13" x14ac:dyDescent="0.15">
      <c r="A1256" s="32"/>
      <c r="B1256" s="32"/>
      <c r="C1256" s="32"/>
      <c r="D1256" s="32"/>
      <c r="E1256" s="32"/>
      <c r="F1256" s="32"/>
      <c r="G1256" s="32"/>
      <c r="H1256" s="32"/>
      <c r="I1256" s="32"/>
      <c r="J1256" s="32"/>
      <c r="K1256" s="32"/>
      <c r="L1256" s="32"/>
      <c r="M1256" s="23"/>
      <c r="N1256" s="32"/>
      <c r="O1256" s="32"/>
      <c r="P1256" s="32"/>
      <c r="Q1256" s="32"/>
      <c r="R1256" s="32"/>
      <c r="S1256" s="32"/>
      <c r="T1256" s="32"/>
      <c r="U1256" s="32"/>
      <c r="V1256" s="32"/>
      <c r="W1256" s="32"/>
      <c r="X1256" s="32"/>
      <c r="Y1256" s="32"/>
      <c r="Z1256" s="32"/>
      <c r="AA1256" s="32"/>
      <c r="AB1256" s="32"/>
    </row>
    <row r="1257" spans="1:28" ht="13" x14ac:dyDescent="0.15">
      <c r="A1257" s="32"/>
      <c r="B1257" s="32"/>
      <c r="C1257" s="32"/>
      <c r="D1257" s="32"/>
      <c r="E1257" s="32"/>
      <c r="F1257" s="32"/>
      <c r="G1257" s="32"/>
      <c r="H1257" s="32"/>
      <c r="I1257" s="32"/>
      <c r="J1257" s="32"/>
      <c r="K1257" s="32"/>
      <c r="L1257" s="32"/>
      <c r="M1257" s="23"/>
      <c r="N1257" s="32"/>
      <c r="O1257" s="32"/>
      <c r="P1257" s="32"/>
      <c r="Q1257" s="32"/>
      <c r="R1257" s="32"/>
      <c r="S1257" s="32"/>
      <c r="T1257" s="32"/>
      <c r="U1257" s="32"/>
      <c r="V1257" s="32"/>
      <c r="W1257" s="32"/>
      <c r="X1257" s="32"/>
      <c r="Y1257" s="32"/>
      <c r="Z1257" s="32"/>
      <c r="AA1257" s="32"/>
      <c r="AB1257" s="32"/>
    </row>
    <row r="1258" spans="1:28" ht="13" x14ac:dyDescent="0.15">
      <c r="A1258" s="32"/>
      <c r="B1258" s="32"/>
      <c r="C1258" s="32"/>
      <c r="D1258" s="32"/>
      <c r="E1258" s="32"/>
      <c r="F1258" s="32"/>
      <c r="G1258" s="32"/>
      <c r="H1258" s="32"/>
      <c r="I1258" s="32"/>
      <c r="J1258" s="32"/>
      <c r="K1258" s="32"/>
      <c r="L1258" s="32"/>
      <c r="M1258" s="23"/>
      <c r="N1258" s="32"/>
      <c r="O1258" s="32"/>
      <c r="P1258" s="32"/>
      <c r="Q1258" s="32"/>
      <c r="R1258" s="32"/>
      <c r="S1258" s="32"/>
      <c r="T1258" s="32"/>
      <c r="U1258" s="32"/>
      <c r="V1258" s="32"/>
      <c r="W1258" s="32"/>
      <c r="X1258" s="32"/>
      <c r="Y1258" s="32"/>
      <c r="Z1258" s="32"/>
      <c r="AA1258" s="32"/>
      <c r="AB1258" s="32"/>
    </row>
    <row r="1259" spans="1:28" ht="13" x14ac:dyDescent="0.15">
      <c r="A1259" s="32"/>
      <c r="B1259" s="32"/>
      <c r="C1259" s="32"/>
      <c r="D1259" s="32"/>
      <c r="E1259" s="32"/>
      <c r="F1259" s="32"/>
      <c r="G1259" s="32"/>
      <c r="H1259" s="32"/>
      <c r="I1259" s="32"/>
      <c r="J1259" s="32"/>
      <c r="K1259" s="32"/>
      <c r="L1259" s="32"/>
      <c r="M1259" s="23"/>
      <c r="N1259" s="32"/>
      <c r="O1259" s="32"/>
      <c r="P1259" s="32"/>
      <c r="Q1259" s="32"/>
      <c r="R1259" s="32"/>
      <c r="S1259" s="32"/>
      <c r="T1259" s="32"/>
      <c r="U1259" s="32"/>
      <c r="V1259" s="32"/>
      <c r="W1259" s="32"/>
      <c r="X1259" s="32"/>
      <c r="Y1259" s="32"/>
      <c r="Z1259" s="32"/>
      <c r="AA1259" s="32"/>
      <c r="AB1259" s="32"/>
    </row>
    <row r="1260" spans="1:28" ht="13" x14ac:dyDescent="0.15">
      <c r="A1260" s="32"/>
      <c r="B1260" s="32"/>
      <c r="C1260" s="32"/>
      <c r="D1260" s="32"/>
      <c r="E1260" s="32"/>
      <c r="F1260" s="32"/>
      <c r="G1260" s="32"/>
      <c r="H1260" s="32"/>
      <c r="I1260" s="32"/>
      <c r="J1260" s="32"/>
      <c r="K1260" s="32"/>
      <c r="L1260" s="32"/>
      <c r="M1260" s="23"/>
      <c r="N1260" s="32"/>
      <c r="O1260" s="32"/>
      <c r="P1260" s="32"/>
      <c r="Q1260" s="32"/>
      <c r="R1260" s="32"/>
      <c r="S1260" s="32"/>
      <c r="T1260" s="32"/>
      <c r="U1260" s="32"/>
      <c r="V1260" s="32"/>
      <c r="W1260" s="32"/>
      <c r="X1260" s="32"/>
      <c r="Y1260" s="32"/>
      <c r="Z1260" s="32"/>
      <c r="AA1260" s="32"/>
      <c r="AB1260" s="32"/>
    </row>
    <row r="1261" spans="1:28" ht="13" x14ac:dyDescent="0.15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23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</row>
    <row r="1262" spans="1:28" ht="13" x14ac:dyDescent="0.15">
      <c r="A1262" s="32"/>
      <c r="B1262" s="32"/>
      <c r="C1262" s="32"/>
      <c r="D1262" s="32"/>
      <c r="E1262" s="32"/>
      <c r="F1262" s="32"/>
      <c r="G1262" s="32"/>
      <c r="H1262" s="32"/>
      <c r="I1262" s="32"/>
      <c r="J1262" s="32"/>
      <c r="K1262" s="32"/>
      <c r="L1262" s="32"/>
      <c r="M1262" s="23"/>
      <c r="N1262" s="32"/>
      <c r="O1262" s="32"/>
      <c r="P1262" s="32"/>
      <c r="Q1262" s="32"/>
      <c r="R1262" s="32"/>
      <c r="S1262" s="32"/>
      <c r="T1262" s="32"/>
      <c r="U1262" s="32"/>
      <c r="V1262" s="32"/>
      <c r="W1262" s="32"/>
      <c r="X1262" s="32"/>
      <c r="Y1262" s="32"/>
      <c r="Z1262" s="32"/>
      <c r="AA1262" s="32"/>
      <c r="AB1262" s="32"/>
    </row>
    <row r="1263" spans="1:28" ht="13" x14ac:dyDescent="0.15">
      <c r="A1263" s="32"/>
      <c r="B1263" s="32"/>
      <c r="C1263" s="32"/>
      <c r="D1263" s="32"/>
      <c r="E1263" s="32"/>
      <c r="F1263" s="32"/>
      <c r="G1263" s="32"/>
      <c r="H1263" s="32"/>
      <c r="I1263" s="32"/>
      <c r="J1263" s="32"/>
      <c r="K1263" s="32"/>
      <c r="L1263" s="32"/>
      <c r="M1263" s="23"/>
      <c r="N1263" s="32"/>
      <c r="O1263" s="32"/>
      <c r="P1263" s="32"/>
      <c r="Q1263" s="32"/>
      <c r="R1263" s="32"/>
      <c r="S1263" s="32"/>
      <c r="T1263" s="32"/>
      <c r="U1263" s="32"/>
      <c r="V1263" s="32"/>
      <c r="W1263" s="32"/>
      <c r="X1263" s="32"/>
      <c r="Y1263" s="32"/>
      <c r="Z1263" s="32"/>
      <c r="AA1263" s="32"/>
      <c r="AB1263" s="32"/>
    </row>
    <row r="1264" spans="1:28" ht="13" x14ac:dyDescent="0.15">
      <c r="A1264" s="32"/>
      <c r="B1264" s="32"/>
      <c r="C1264" s="32"/>
      <c r="D1264" s="32"/>
      <c r="E1264" s="32"/>
      <c r="F1264" s="32"/>
      <c r="G1264" s="32"/>
      <c r="H1264" s="32"/>
      <c r="I1264" s="32"/>
      <c r="J1264" s="32"/>
      <c r="K1264" s="32"/>
      <c r="L1264" s="32"/>
      <c r="M1264" s="23"/>
      <c r="N1264" s="32"/>
      <c r="O1264" s="32"/>
      <c r="P1264" s="32"/>
      <c r="Q1264" s="32"/>
      <c r="R1264" s="32"/>
      <c r="S1264" s="32"/>
      <c r="T1264" s="32"/>
      <c r="U1264" s="32"/>
      <c r="V1264" s="32"/>
      <c r="W1264" s="32"/>
      <c r="X1264" s="32"/>
      <c r="Y1264" s="32"/>
      <c r="Z1264" s="32"/>
      <c r="AA1264" s="32"/>
      <c r="AB1264" s="32"/>
    </row>
    <row r="1265" spans="1:28" ht="13" x14ac:dyDescent="0.15">
      <c r="A1265" s="32"/>
      <c r="B1265" s="32"/>
      <c r="C1265" s="32"/>
      <c r="D1265" s="32"/>
      <c r="E1265" s="32"/>
      <c r="F1265" s="32"/>
      <c r="G1265" s="32"/>
      <c r="H1265" s="32"/>
      <c r="I1265" s="32"/>
      <c r="J1265" s="32"/>
      <c r="K1265" s="32"/>
      <c r="L1265" s="32"/>
      <c r="M1265" s="23"/>
      <c r="N1265" s="32"/>
      <c r="O1265" s="32"/>
      <c r="P1265" s="32"/>
      <c r="Q1265" s="32"/>
      <c r="R1265" s="32"/>
      <c r="S1265" s="32"/>
      <c r="T1265" s="32"/>
      <c r="U1265" s="32"/>
      <c r="V1265" s="32"/>
      <c r="W1265" s="32"/>
      <c r="X1265" s="32"/>
      <c r="Y1265" s="32"/>
      <c r="Z1265" s="32"/>
      <c r="AA1265" s="32"/>
      <c r="AB1265" s="32"/>
    </row>
    <row r="1266" spans="1:28" ht="13" x14ac:dyDescent="0.15">
      <c r="A1266" s="32"/>
      <c r="B1266" s="32"/>
      <c r="C1266" s="32"/>
      <c r="D1266" s="32"/>
      <c r="E1266" s="32"/>
      <c r="F1266" s="32"/>
      <c r="G1266" s="32"/>
      <c r="H1266" s="32"/>
      <c r="I1266" s="32"/>
      <c r="J1266" s="32"/>
      <c r="K1266" s="32"/>
      <c r="L1266" s="32"/>
      <c r="M1266" s="23"/>
      <c r="N1266" s="32"/>
      <c r="O1266" s="32"/>
      <c r="P1266" s="32"/>
      <c r="Q1266" s="32"/>
      <c r="R1266" s="32"/>
      <c r="S1266" s="32"/>
      <c r="T1266" s="32"/>
      <c r="U1266" s="32"/>
      <c r="V1266" s="32"/>
      <c r="W1266" s="32"/>
      <c r="X1266" s="32"/>
      <c r="Y1266" s="32"/>
      <c r="Z1266" s="32"/>
      <c r="AA1266" s="32"/>
      <c r="AB1266" s="32"/>
    </row>
    <row r="1267" spans="1:28" ht="13" x14ac:dyDescent="0.15">
      <c r="A1267" s="32"/>
      <c r="B1267" s="32"/>
      <c r="C1267" s="32"/>
      <c r="D1267" s="32"/>
      <c r="E1267" s="32"/>
      <c r="F1267" s="32"/>
      <c r="G1267" s="32"/>
      <c r="H1267" s="32"/>
      <c r="I1267" s="32"/>
      <c r="J1267" s="32"/>
      <c r="K1267" s="32"/>
      <c r="L1267" s="32"/>
      <c r="M1267" s="23"/>
      <c r="N1267" s="32"/>
      <c r="O1267" s="32"/>
      <c r="P1267" s="32"/>
      <c r="Q1267" s="32"/>
      <c r="R1267" s="32"/>
      <c r="S1267" s="32"/>
      <c r="T1267" s="32"/>
      <c r="U1267" s="32"/>
      <c r="V1267" s="32"/>
      <c r="W1267" s="32"/>
      <c r="X1267" s="32"/>
      <c r="Y1267" s="32"/>
      <c r="Z1267" s="32"/>
      <c r="AA1267" s="32"/>
      <c r="AB1267" s="32"/>
    </row>
    <row r="1268" spans="1:28" ht="13" x14ac:dyDescent="0.15">
      <c r="A1268" s="32"/>
      <c r="B1268" s="32"/>
      <c r="C1268" s="32"/>
      <c r="D1268" s="32"/>
      <c r="E1268" s="32"/>
      <c r="F1268" s="32"/>
      <c r="G1268" s="32"/>
      <c r="H1268" s="32"/>
      <c r="I1268" s="32"/>
      <c r="J1268" s="32"/>
      <c r="K1268" s="32"/>
      <c r="L1268" s="32"/>
      <c r="M1268" s="23"/>
      <c r="N1268" s="32"/>
      <c r="O1268" s="32"/>
      <c r="P1268" s="32"/>
      <c r="Q1268" s="32"/>
      <c r="R1268" s="32"/>
      <c r="S1268" s="32"/>
      <c r="T1268" s="32"/>
      <c r="U1268" s="32"/>
      <c r="V1268" s="32"/>
      <c r="W1268" s="32"/>
      <c r="X1268" s="32"/>
      <c r="Y1268" s="32"/>
      <c r="Z1268" s="32"/>
      <c r="AA1268" s="32"/>
      <c r="AB1268" s="32"/>
    </row>
    <row r="1269" spans="1:28" ht="13" x14ac:dyDescent="0.15">
      <c r="A1269" s="32"/>
      <c r="B1269" s="32"/>
      <c r="C1269" s="32"/>
      <c r="D1269" s="32"/>
      <c r="E1269" s="32"/>
      <c r="F1269" s="32"/>
      <c r="G1269" s="32"/>
      <c r="H1269" s="32"/>
      <c r="I1269" s="32"/>
      <c r="J1269" s="32"/>
      <c r="K1269" s="32"/>
      <c r="L1269" s="32"/>
      <c r="M1269" s="23"/>
      <c r="N1269" s="32"/>
      <c r="O1269" s="32"/>
      <c r="P1269" s="32"/>
      <c r="Q1269" s="32"/>
      <c r="R1269" s="32"/>
      <c r="S1269" s="32"/>
      <c r="T1269" s="32"/>
      <c r="U1269" s="32"/>
      <c r="V1269" s="32"/>
      <c r="W1269" s="32"/>
      <c r="X1269" s="32"/>
      <c r="Y1269" s="32"/>
      <c r="Z1269" s="32"/>
      <c r="AA1269" s="32"/>
      <c r="AB1269" s="32"/>
    </row>
    <row r="1270" spans="1:28" ht="13" x14ac:dyDescent="0.15">
      <c r="A1270" s="32"/>
      <c r="B1270" s="32"/>
      <c r="C1270" s="32"/>
      <c r="D1270" s="32"/>
      <c r="E1270" s="32"/>
      <c r="F1270" s="32"/>
      <c r="G1270" s="32"/>
      <c r="H1270" s="32"/>
      <c r="I1270" s="32"/>
      <c r="J1270" s="32"/>
      <c r="K1270" s="32"/>
      <c r="L1270" s="32"/>
      <c r="M1270" s="23"/>
      <c r="N1270" s="32"/>
      <c r="O1270" s="32"/>
      <c r="P1270" s="32"/>
      <c r="Q1270" s="32"/>
      <c r="R1270" s="32"/>
      <c r="S1270" s="32"/>
      <c r="T1270" s="32"/>
      <c r="U1270" s="32"/>
      <c r="V1270" s="32"/>
      <c r="W1270" s="32"/>
      <c r="X1270" s="32"/>
      <c r="Y1270" s="32"/>
      <c r="Z1270" s="32"/>
      <c r="AA1270" s="32"/>
      <c r="AB1270" s="32"/>
    </row>
    <row r="1271" spans="1:28" ht="13" x14ac:dyDescent="0.15">
      <c r="A1271" s="32"/>
      <c r="B1271" s="32"/>
      <c r="C1271" s="32"/>
      <c r="D1271" s="32"/>
      <c r="E1271" s="32"/>
      <c r="F1271" s="32"/>
      <c r="G1271" s="32"/>
      <c r="H1271" s="32"/>
      <c r="I1271" s="32"/>
      <c r="J1271" s="32"/>
      <c r="K1271" s="32"/>
      <c r="L1271" s="32"/>
      <c r="M1271" s="23"/>
      <c r="N1271" s="32"/>
      <c r="O1271" s="32"/>
      <c r="P1271" s="32"/>
      <c r="Q1271" s="32"/>
      <c r="R1271" s="32"/>
      <c r="S1271" s="32"/>
      <c r="T1271" s="32"/>
      <c r="U1271" s="32"/>
      <c r="V1271" s="32"/>
      <c r="W1271" s="32"/>
      <c r="X1271" s="32"/>
      <c r="Y1271" s="32"/>
      <c r="Z1271" s="32"/>
      <c r="AA1271" s="32"/>
      <c r="AB1271" s="32"/>
    </row>
    <row r="1272" spans="1:28" ht="13" x14ac:dyDescent="0.15">
      <c r="A1272" s="32"/>
      <c r="B1272" s="32"/>
      <c r="C1272" s="32"/>
      <c r="D1272" s="32"/>
      <c r="E1272" s="32"/>
      <c r="F1272" s="32"/>
      <c r="G1272" s="32"/>
      <c r="H1272" s="32"/>
      <c r="I1272" s="32"/>
      <c r="J1272" s="32"/>
      <c r="K1272" s="32"/>
      <c r="L1272" s="32"/>
      <c r="M1272" s="23"/>
      <c r="N1272" s="32"/>
      <c r="O1272" s="32"/>
      <c r="P1272" s="32"/>
      <c r="Q1272" s="32"/>
      <c r="R1272" s="32"/>
      <c r="S1272" s="32"/>
      <c r="T1272" s="32"/>
      <c r="U1272" s="32"/>
      <c r="V1272" s="32"/>
      <c r="W1272" s="32"/>
      <c r="X1272" s="32"/>
      <c r="Y1272" s="32"/>
      <c r="Z1272" s="32"/>
      <c r="AA1272" s="32"/>
      <c r="AB1272" s="32"/>
    </row>
    <row r="1273" spans="1:28" ht="13" x14ac:dyDescent="0.15">
      <c r="A1273" s="32"/>
      <c r="B1273" s="32"/>
      <c r="C1273" s="32"/>
      <c r="D1273" s="32"/>
      <c r="E1273" s="32"/>
      <c r="F1273" s="32"/>
      <c r="G1273" s="32"/>
      <c r="H1273" s="32"/>
      <c r="I1273" s="32"/>
      <c r="J1273" s="32"/>
      <c r="K1273" s="32"/>
      <c r="L1273" s="32"/>
      <c r="M1273" s="23"/>
      <c r="N1273" s="32"/>
      <c r="O1273" s="32"/>
      <c r="P1273" s="32"/>
      <c r="Q1273" s="32"/>
      <c r="R1273" s="32"/>
      <c r="S1273" s="32"/>
      <c r="T1273" s="32"/>
      <c r="U1273" s="32"/>
      <c r="V1273" s="32"/>
      <c r="W1273" s="32"/>
      <c r="X1273" s="32"/>
      <c r="Y1273" s="32"/>
      <c r="Z1273" s="32"/>
      <c r="AA1273" s="32"/>
      <c r="AB1273" s="32"/>
    </row>
    <row r="1274" spans="1:28" ht="13" x14ac:dyDescent="0.15">
      <c r="A1274" s="32"/>
      <c r="B1274" s="32"/>
      <c r="C1274" s="32"/>
      <c r="D1274" s="32"/>
      <c r="E1274" s="32"/>
      <c r="F1274" s="32"/>
      <c r="G1274" s="32"/>
      <c r="H1274" s="32"/>
      <c r="I1274" s="32"/>
      <c r="J1274" s="32"/>
      <c r="K1274" s="32"/>
      <c r="L1274" s="32"/>
      <c r="M1274" s="23"/>
      <c r="N1274" s="32"/>
      <c r="O1274" s="32"/>
      <c r="P1274" s="32"/>
      <c r="Q1274" s="32"/>
      <c r="R1274" s="32"/>
      <c r="S1274" s="32"/>
      <c r="T1274" s="32"/>
      <c r="U1274" s="32"/>
      <c r="V1274" s="32"/>
      <c r="W1274" s="32"/>
      <c r="X1274" s="32"/>
      <c r="Y1274" s="32"/>
      <c r="Z1274" s="32"/>
      <c r="AA1274" s="32"/>
      <c r="AB1274" s="32"/>
    </row>
    <row r="1275" spans="1:28" ht="13" x14ac:dyDescent="0.15">
      <c r="A1275" s="32"/>
      <c r="B1275" s="32"/>
      <c r="C1275" s="32"/>
      <c r="D1275" s="32"/>
      <c r="E1275" s="32"/>
      <c r="F1275" s="32"/>
      <c r="G1275" s="32"/>
      <c r="H1275" s="32"/>
      <c r="I1275" s="32"/>
      <c r="J1275" s="32"/>
      <c r="K1275" s="32"/>
      <c r="L1275" s="32"/>
      <c r="M1275" s="23"/>
      <c r="N1275" s="32"/>
      <c r="O1275" s="32"/>
      <c r="P1275" s="32"/>
      <c r="Q1275" s="32"/>
      <c r="R1275" s="32"/>
      <c r="S1275" s="32"/>
      <c r="T1275" s="32"/>
      <c r="U1275" s="32"/>
      <c r="V1275" s="32"/>
      <c r="W1275" s="32"/>
      <c r="X1275" s="32"/>
      <c r="Y1275" s="32"/>
      <c r="Z1275" s="32"/>
      <c r="AA1275" s="32"/>
      <c r="AB1275" s="32"/>
    </row>
    <row r="1276" spans="1:28" ht="13" x14ac:dyDescent="0.15">
      <c r="A1276" s="32"/>
      <c r="B1276" s="32"/>
      <c r="C1276" s="32"/>
      <c r="D1276" s="32"/>
      <c r="E1276" s="32"/>
      <c r="F1276" s="32"/>
      <c r="G1276" s="32"/>
      <c r="H1276" s="32"/>
      <c r="I1276" s="32"/>
      <c r="J1276" s="32"/>
      <c r="K1276" s="32"/>
      <c r="L1276" s="32"/>
      <c r="M1276" s="23"/>
      <c r="N1276" s="32"/>
      <c r="O1276" s="32"/>
      <c r="P1276" s="32"/>
      <c r="Q1276" s="32"/>
      <c r="R1276" s="32"/>
      <c r="S1276" s="32"/>
      <c r="T1276" s="32"/>
      <c r="U1276" s="32"/>
      <c r="V1276" s="32"/>
      <c r="W1276" s="32"/>
      <c r="X1276" s="32"/>
      <c r="Y1276" s="32"/>
      <c r="Z1276" s="32"/>
      <c r="AA1276" s="32"/>
      <c r="AB1276" s="32"/>
    </row>
    <row r="1277" spans="1:28" ht="13" x14ac:dyDescent="0.15">
      <c r="A1277" s="32"/>
      <c r="B1277" s="32"/>
      <c r="C1277" s="32"/>
      <c r="D1277" s="32"/>
      <c r="E1277" s="32"/>
      <c r="F1277" s="32"/>
      <c r="G1277" s="32"/>
      <c r="H1277" s="32"/>
      <c r="I1277" s="32"/>
      <c r="J1277" s="32"/>
      <c r="K1277" s="32"/>
      <c r="L1277" s="32"/>
      <c r="M1277" s="23"/>
      <c r="N1277" s="32"/>
      <c r="O1277" s="32"/>
      <c r="P1277" s="32"/>
      <c r="Q1277" s="32"/>
      <c r="R1277" s="32"/>
      <c r="S1277" s="32"/>
      <c r="T1277" s="32"/>
      <c r="U1277" s="32"/>
      <c r="V1277" s="32"/>
      <c r="W1277" s="32"/>
      <c r="X1277" s="32"/>
      <c r="Y1277" s="32"/>
      <c r="Z1277" s="32"/>
      <c r="AA1277" s="32"/>
      <c r="AB1277" s="32"/>
    </row>
    <row r="1278" spans="1:28" ht="13" x14ac:dyDescent="0.15">
      <c r="A1278" s="32"/>
      <c r="B1278" s="32"/>
      <c r="C1278" s="32"/>
      <c r="D1278" s="32"/>
      <c r="E1278" s="32"/>
      <c r="F1278" s="32"/>
      <c r="G1278" s="32"/>
      <c r="H1278" s="32"/>
      <c r="I1278" s="32"/>
      <c r="J1278" s="32"/>
      <c r="K1278" s="32"/>
      <c r="L1278" s="32"/>
      <c r="M1278" s="23"/>
      <c r="N1278" s="32"/>
      <c r="O1278" s="32"/>
      <c r="P1278" s="32"/>
      <c r="Q1278" s="32"/>
      <c r="R1278" s="32"/>
      <c r="S1278" s="32"/>
      <c r="T1278" s="32"/>
      <c r="U1278" s="32"/>
      <c r="V1278" s="32"/>
      <c r="W1278" s="32"/>
      <c r="X1278" s="32"/>
      <c r="Y1278" s="32"/>
      <c r="Z1278" s="32"/>
      <c r="AA1278" s="32"/>
      <c r="AB1278" s="32"/>
    </row>
    <row r="1279" spans="1:28" ht="13" x14ac:dyDescent="0.15">
      <c r="A1279" s="32"/>
      <c r="B1279" s="32"/>
      <c r="C1279" s="32"/>
      <c r="D1279" s="32"/>
      <c r="E1279" s="32"/>
      <c r="F1279" s="32"/>
      <c r="G1279" s="32"/>
      <c r="H1279" s="32"/>
      <c r="I1279" s="32"/>
      <c r="J1279" s="32"/>
      <c r="K1279" s="32"/>
      <c r="L1279" s="32"/>
      <c r="M1279" s="23"/>
      <c r="N1279" s="32"/>
      <c r="O1279" s="32"/>
      <c r="P1279" s="32"/>
      <c r="Q1279" s="32"/>
      <c r="R1279" s="32"/>
      <c r="S1279" s="32"/>
      <c r="T1279" s="32"/>
      <c r="U1279" s="32"/>
      <c r="V1279" s="32"/>
      <c r="W1279" s="32"/>
      <c r="X1279" s="32"/>
      <c r="Y1279" s="32"/>
      <c r="Z1279" s="32"/>
      <c r="AA1279" s="32"/>
      <c r="AB1279" s="32"/>
    </row>
    <row r="1280" spans="1:28" ht="13" x14ac:dyDescent="0.15">
      <c r="A1280" s="32"/>
      <c r="B1280" s="32"/>
      <c r="C1280" s="32"/>
      <c r="D1280" s="32"/>
      <c r="E1280" s="32"/>
      <c r="F1280" s="32"/>
      <c r="G1280" s="32"/>
      <c r="H1280" s="32"/>
      <c r="I1280" s="32"/>
      <c r="J1280" s="32"/>
      <c r="K1280" s="32"/>
      <c r="L1280" s="32"/>
      <c r="M1280" s="23"/>
      <c r="N1280" s="32"/>
      <c r="O1280" s="32"/>
      <c r="P1280" s="32"/>
      <c r="Q1280" s="32"/>
      <c r="R1280" s="32"/>
      <c r="S1280" s="32"/>
      <c r="T1280" s="32"/>
      <c r="U1280" s="32"/>
      <c r="V1280" s="32"/>
      <c r="W1280" s="32"/>
      <c r="X1280" s="32"/>
      <c r="Y1280" s="32"/>
      <c r="Z1280" s="32"/>
      <c r="AA1280" s="32"/>
      <c r="AB1280" s="32"/>
    </row>
    <row r="1281" spans="1:28" ht="13" x14ac:dyDescent="0.15">
      <c r="A1281" s="32"/>
      <c r="B1281" s="32"/>
      <c r="C1281" s="32"/>
      <c r="D1281" s="32"/>
      <c r="E1281" s="32"/>
      <c r="F1281" s="32"/>
      <c r="G1281" s="32"/>
      <c r="H1281" s="32"/>
      <c r="I1281" s="32"/>
      <c r="J1281" s="32"/>
      <c r="K1281" s="32"/>
      <c r="L1281" s="32"/>
      <c r="M1281" s="23"/>
      <c r="N1281" s="32"/>
      <c r="O1281" s="32"/>
      <c r="P1281" s="32"/>
      <c r="Q1281" s="32"/>
      <c r="R1281" s="32"/>
      <c r="S1281" s="32"/>
      <c r="T1281" s="32"/>
      <c r="U1281" s="32"/>
      <c r="V1281" s="32"/>
      <c r="W1281" s="32"/>
      <c r="X1281" s="32"/>
      <c r="Y1281" s="32"/>
      <c r="Z1281" s="32"/>
      <c r="AA1281" s="32"/>
      <c r="AB1281" s="32"/>
    </row>
    <row r="1282" spans="1:28" ht="13" x14ac:dyDescent="0.15">
      <c r="A1282" s="32"/>
      <c r="B1282" s="32"/>
      <c r="C1282" s="32"/>
      <c r="D1282" s="32"/>
      <c r="E1282" s="32"/>
      <c r="F1282" s="32"/>
      <c r="G1282" s="32"/>
      <c r="H1282" s="32"/>
      <c r="I1282" s="32"/>
      <c r="J1282" s="32"/>
      <c r="K1282" s="32"/>
      <c r="L1282" s="32"/>
      <c r="M1282" s="23"/>
      <c r="N1282" s="32"/>
      <c r="O1282" s="32"/>
      <c r="P1282" s="32"/>
      <c r="Q1282" s="32"/>
      <c r="R1282" s="32"/>
      <c r="S1282" s="32"/>
      <c r="T1282" s="32"/>
      <c r="U1282" s="32"/>
      <c r="V1282" s="32"/>
      <c r="W1282" s="32"/>
      <c r="X1282" s="32"/>
      <c r="Y1282" s="32"/>
      <c r="Z1282" s="32"/>
      <c r="AA1282" s="32"/>
      <c r="AB1282" s="32"/>
    </row>
    <row r="1283" spans="1:28" ht="13" x14ac:dyDescent="0.15">
      <c r="A1283" s="32"/>
      <c r="B1283" s="32"/>
      <c r="C1283" s="32"/>
      <c r="D1283" s="32"/>
      <c r="E1283" s="32"/>
      <c r="F1283" s="32"/>
      <c r="G1283" s="32"/>
      <c r="H1283" s="32"/>
      <c r="I1283" s="32"/>
      <c r="J1283" s="32"/>
      <c r="K1283" s="32"/>
      <c r="L1283" s="32"/>
      <c r="M1283" s="23"/>
      <c r="N1283" s="32"/>
      <c r="O1283" s="32"/>
      <c r="P1283" s="32"/>
      <c r="Q1283" s="32"/>
      <c r="R1283" s="32"/>
      <c r="S1283" s="32"/>
      <c r="T1283" s="32"/>
      <c r="U1283" s="32"/>
      <c r="V1283" s="32"/>
      <c r="W1283" s="32"/>
      <c r="X1283" s="32"/>
      <c r="Y1283" s="32"/>
      <c r="Z1283" s="32"/>
      <c r="AA1283" s="32"/>
      <c r="AB1283" s="32"/>
    </row>
    <row r="1284" spans="1:28" ht="13" x14ac:dyDescent="0.15">
      <c r="A1284" s="32"/>
      <c r="B1284" s="32"/>
      <c r="C1284" s="32"/>
      <c r="D1284" s="32"/>
      <c r="E1284" s="32"/>
      <c r="F1284" s="32"/>
      <c r="G1284" s="32"/>
      <c r="H1284" s="32"/>
      <c r="I1284" s="32"/>
      <c r="J1284" s="32"/>
      <c r="K1284" s="32"/>
      <c r="L1284" s="32"/>
      <c r="M1284" s="23"/>
      <c r="N1284" s="32"/>
      <c r="O1284" s="32"/>
      <c r="P1284" s="32"/>
      <c r="Q1284" s="32"/>
      <c r="R1284" s="32"/>
      <c r="S1284" s="32"/>
      <c r="T1284" s="32"/>
      <c r="U1284" s="32"/>
      <c r="V1284" s="32"/>
      <c r="W1284" s="32"/>
      <c r="X1284" s="32"/>
      <c r="Y1284" s="32"/>
      <c r="Z1284" s="32"/>
      <c r="AA1284" s="32"/>
      <c r="AB1284" s="32"/>
    </row>
    <row r="1285" spans="1:28" ht="13" x14ac:dyDescent="0.15">
      <c r="A1285" s="32"/>
      <c r="B1285" s="32"/>
      <c r="C1285" s="32"/>
      <c r="D1285" s="32"/>
      <c r="E1285" s="32"/>
      <c r="F1285" s="32"/>
      <c r="G1285" s="32"/>
      <c r="H1285" s="32"/>
      <c r="I1285" s="32"/>
      <c r="J1285" s="32"/>
      <c r="K1285" s="32"/>
      <c r="L1285" s="32"/>
      <c r="M1285" s="23"/>
      <c r="N1285" s="32"/>
      <c r="O1285" s="32"/>
      <c r="P1285" s="32"/>
      <c r="Q1285" s="32"/>
      <c r="R1285" s="32"/>
      <c r="S1285" s="32"/>
      <c r="T1285" s="32"/>
      <c r="U1285" s="32"/>
      <c r="V1285" s="32"/>
      <c r="W1285" s="32"/>
      <c r="X1285" s="32"/>
      <c r="Y1285" s="32"/>
      <c r="Z1285" s="32"/>
      <c r="AA1285" s="32"/>
      <c r="AB1285" s="32"/>
    </row>
    <row r="1286" spans="1:28" ht="13" x14ac:dyDescent="0.15">
      <c r="A1286" s="32"/>
      <c r="B1286" s="32"/>
      <c r="C1286" s="32"/>
      <c r="D1286" s="32"/>
      <c r="E1286" s="32"/>
      <c r="F1286" s="32"/>
      <c r="G1286" s="32"/>
      <c r="H1286" s="32"/>
      <c r="I1286" s="32"/>
      <c r="J1286" s="32"/>
      <c r="K1286" s="32"/>
      <c r="L1286" s="32"/>
      <c r="M1286" s="23"/>
      <c r="N1286" s="32"/>
      <c r="O1286" s="32"/>
      <c r="P1286" s="32"/>
      <c r="Q1286" s="32"/>
      <c r="R1286" s="32"/>
      <c r="S1286" s="32"/>
      <c r="T1286" s="32"/>
      <c r="U1286" s="32"/>
      <c r="V1286" s="32"/>
      <c r="W1286" s="32"/>
      <c r="X1286" s="32"/>
      <c r="Y1286" s="32"/>
      <c r="Z1286" s="32"/>
      <c r="AA1286" s="32"/>
      <c r="AB1286" s="32"/>
    </row>
    <row r="1287" spans="1:28" ht="13" x14ac:dyDescent="0.15">
      <c r="A1287" s="32"/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  <c r="M1287" s="23"/>
      <c r="N1287" s="32"/>
      <c r="O1287" s="32"/>
      <c r="P1287" s="32"/>
      <c r="Q1287" s="32"/>
      <c r="R1287" s="32"/>
      <c r="S1287" s="32"/>
      <c r="T1287" s="32"/>
      <c r="U1287" s="32"/>
      <c r="V1287" s="32"/>
      <c r="W1287" s="32"/>
      <c r="X1287" s="32"/>
      <c r="Y1287" s="32"/>
      <c r="Z1287" s="32"/>
      <c r="AA1287" s="32"/>
      <c r="AB1287" s="32"/>
    </row>
    <row r="1288" spans="1:28" ht="13" x14ac:dyDescent="0.15">
      <c r="A1288" s="32"/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  <c r="M1288" s="23"/>
      <c r="N1288" s="32"/>
      <c r="O1288" s="32"/>
      <c r="P1288" s="32"/>
      <c r="Q1288" s="32"/>
      <c r="R1288" s="32"/>
      <c r="S1288" s="32"/>
      <c r="T1288" s="32"/>
      <c r="U1288" s="32"/>
      <c r="V1288" s="32"/>
      <c r="W1288" s="32"/>
      <c r="X1288" s="32"/>
      <c r="Y1288" s="32"/>
      <c r="Z1288" s="32"/>
      <c r="AA1288" s="32"/>
      <c r="AB1288" s="32"/>
    </row>
    <row r="1289" spans="1:28" ht="13" x14ac:dyDescent="0.15">
      <c r="A1289" s="32"/>
      <c r="B1289" s="32"/>
      <c r="C1289" s="32"/>
      <c r="D1289" s="32"/>
      <c r="E1289" s="32"/>
      <c r="F1289" s="32"/>
      <c r="G1289" s="32"/>
      <c r="H1289" s="32"/>
      <c r="I1289" s="32"/>
      <c r="J1289" s="32"/>
      <c r="K1289" s="32"/>
      <c r="L1289" s="32"/>
      <c r="M1289" s="23"/>
      <c r="N1289" s="32"/>
      <c r="O1289" s="32"/>
      <c r="P1289" s="32"/>
      <c r="Q1289" s="32"/>
      <c r="R1289" s="32"/>
      <c r="S1289" s="32"/>
      <c r="T1289" s="32"/>
      <c r="U1289" s="32"/>
      <c r="V1289" s="32"/>
      <c r="W1289" s="32"/>
      <c r="X1289" s="32"/>
      <c r="Y1289" s="32"/>
      <c r="Z1289" s="32"/>
      <c r="AA1289" s="32"/>
      <c r="AB1289" s="32"/>
    </row>
    <row r="1290" spans="1:28" ht="13" x14ac:dyDescent="0.15">
      <c r="A1290" s="32"/>
      <c r="B1290" s="32"/>
      <c r="C1290" s="32"/>
      <c r="D1290" s="32"/>
      <c r="E1290" s="32"/>
      <c r="F1290" s="32"/>
      <c r="G1290" s="32"/>
      <c r="H1290" s="32"/>
      <c r="I1290" s="32"/>
      <c r="J1290" s="32"/>
      <c r="K1290" s="32"/>
      <c r="L1290" s="32"/>
      <c r="M1290" s="23"/>
      <c r="N1290" s="32"/>
      <c r="O1290" s="32"/>
      <c r="P1290" s="32"/>
      <c r="Q1290" s="32"/>
      <c r="R1290" s="32"/>
      <c r="S1290" s="32"/>
      <c r="T1290" s="32"/>
      <c r="U1290" s="32"/>
      <c r="V1290" s="32"/>
      <c r="W1290" s="32"/>
      <c r="X1290" s="32"/>
      <c r="Y1290" s="32"/>
      <c r="Z1290" s="32"/>
      <c r="AA1290" s="32"/>
      <c r="AB1290" s="32"/>
    </row>
    <row r="1291" spans="1:28" ht="13" x14ac:dyDescent="0.15">
      <c r="A1291" s="32"/>
      <c r="B1291" s="32"/>
      <c r="C1291" s="32"/>
      <c r="D1291" s="32"/>
      <c r="E1291" s="32"/>
      <c r="F1291" s="32"/>
      <c r="G1291" s="32"/>
      <c r="H1291" s="32"/>
      <c r="I1291" s="32"/>
      <c r="J1291" s="32"/>
      <c r="K1291" s="32"/>
      <c r="L1291" s="32"/>
      <c r="M1291" s="23"/>
      <c r="N1291" s="32"/>
      <c r="O1291" s="32"/>
      <c r="P1291" s="32"/>
      <c r="Q1291" s="32"/>
      <c r="R1291" s="32"/>
      <c r="S1291" s="32"/>
      <c r="T1291" s="32"/>
      <c r="U1291" s="32"/>
      <c r="V1291" s="32"/>
      <c r="W1291" s="32"/>
      <c r="X1291" s="32"/>
      <c r="Y1291" s="32"/>
      <c r="Z1291" s="32"/>
      <c r="AA1291" s="32"/>
      <c r="AB1291" s="32"/>
    </row>
    <row r="1292" spans="1:28" ht="13" x14ac:dyDescent="0.15">
      <c r="A1292" s="32"/>
      <c r="B1292" s="32"/>
      <c r="C1292" s="32"/>
      <c r="D1292" s="32"/>
      <c r="E1292" s="32"/>
      <c r="F1292" s="32"/>
      <c r="G1292" s="32"/>
      <c r="H1292" s="32"/>
      <c r="I1292" s="32"/>
      <c r="J1292" s="32"/>
      <c r="K1292" s="32"/>
      <c r="L1292" s="32"/>
      <c r="M1292" s="23"/>
      <c r="N1292" s="32"/>
      <c r="O1292" s="32"/>
      <c r="P1292" s="32"/>
      <c r="Q1292" s="32"/>
      <c r="R1292" s="32"/>
      <c r="S1292" s="32"/>
      <c r="T1292" s="32"/>
      <c r="U1292" s="32"/>
      <c r="V1292" s="32"/>
      <c r="W1292" s="32"/>
      <c r="X1292" s="32"/>
      <c r="Y1292" s="32"/>
      <c r="Z1292" s="32"/>
      <c r="AA1292" s="32"/>
      <c r="AB1292" s="32"/>
    </row>
    <row r="1293" spans="1:28" ht="13" x14ac:dyDescent="0.15">
      <c r="A1293" s="32"/>
      <c r="B1293" s="32"/>
      <c r="C1293" s="32"/>
      <c r="D1293" s="32"/>
      <c r="E1293" s="32"/>
      <c r="F1293" s="32"/>
      <c r="G1293" s="32"/>
      <c r="H1293" s="32"/>
      <c r="I1293" s="32"/>
      <c r="J1293" s="32"/>
      <c r="K1293" s="32"/>
      <c r="L1293" s="32"/>
      <c r="M1293" s="23"/>
      <c r="N1293" s="32"/>
      <c r="O1293" s="32"/>
      <c r="P1293" s="32"/>
      <c r="Q1293" s="32"/>
      <c r="R1293" s="32"/>
      <c r="S1293" s="32"/>
      <c r="T1293" s="32"/>
      <c r="U1293" s="32"/>
      <c r="V1293" s="32"/>
      <c r="W1293" s="32"/>
      <c r="X1293" s="32"/>
      <c r="Y1293" s="32"/>
      <c r="Z1293" s="32"/>
      <c r="AA1293" s="32"/>
      <c r="AB1293" s="32"/>
    </row>
    <row r="1294" spans="1:28" ht="13" x14ac:dyDescent="0.15">
      <c r="A1294" s="32"/>
      <c r="B1294" s="32"/>
      <c r="C1294" s="32"/>
      <c r="D1294" s="32"/>
      <c r="E1294" s="32"/>
      <c r="F1294" s="32"/>
      <c r="G1294" s="32"/>
      <c r="H1294" s="32"/>
      <c r="I1294" s="32"/>
      <c r="J1294" s="32"/>
      <c r="K1294" s="32"/>
      <c r="L1294" s="32"/>
      <c r="M1294" s="23"/>
      <c r="N1294" s="32"/>
      <c r="O1294" s="32"/>
      <c r="P1294" s="32"/>
      <c r="Q1294" s="32"/>
      <c r="R1294" s="32"/>
      <c r="S1294" s="32"/>
      <c r="T1294" s="32"/>
      <c r="U1294" s="32"/>
      <c r="V1294" s="32"/>
      <c r="W1294" s="32"/>
      <c r="X1294" s="32"/>
      <c r="Y1294" s="32"/>
      <c r="Z1294" s="32"/>
      <c r="AA1294" s="32"/>
      <c r="AB1294" s="32"/>
    </row>
    <row r="1295" spans="1:28" ht="13" x14ac:dyDescent="0.15">
      <c r="A1295" s="32"/>
      <c r="B1295" s="32"/>
      <c r="C1295" s="32"/>
      <c r="D1295" s="32"/>
      <c r="E1295" s="32"/>
      <c r="F1295" s="32"/>
      <c r="G1295" s="32"/>
      <c r="H1295" s="32"/>
      <c r="I1295" s="32"/>
      <c r="J1295" s="32"/>
      <c r="K1295" s="32"/>
      <c r="L1295" s="32"/>
      <c r="M1295" s="23"/>
      <c r="N1295" s="32"/>
      <c r="O1295" s="32"/>
      <c r="P1295" s="32"/>
      <c r="Q1295" s="32"/>
      <c r="R1295" s="32"/>
      <c r="S1295" s="32"/>
      <c r="T1295" s="32"/>
      <c r="U1295" s="32"/>
      <c r="V1295" s="32"/>
      <c r="W1295" s="32"/>
      <c r="X1295" s="32"/>
      <c r="Y1295" s="32"/>
      <c r="Z1295" s="32"/>
      <c r="AA1295" s="32"/>
      <c r="AB1295" s="32"/>
    </row>
    <row r="1296" spans="1:28" ht="13" x14ac:dyDescent="0.15">
      <c r="A1296" s="32"/>
      <c r="B1296" s="32"/>
      <c r="C1296" s="32"/>
      <c r="D1296" s="32"/>
      <c r="E1296" s="32"/>
      <c r="F1296" s="32"/>
      <c r="G1296" s="32"/>
      <c r="H1296" s="32"/>
      <c r="I1296" s="32"/>
      <c r="J1296" s="32"/>
      <c r="K1296" s="32"/>
      <c r="L1296" s="32"/>
      <c r="M1296" s="23"/>
      <c r="N1296" s="32"/>
      <c r="O1296" s="32"/>
      <c r="P1296" s="32"/>
      <c r="Q1296" s="32"/>
      <c r="R1296" s="32"/>
      <c r="S1296" s="32"/>
      <c r="T1296" s="32"/>
      <c r="U1296" s="32"/>
      <c r="V1296" s="32"/>
      <c r="W1296" s="32"/>
      <c r="X1296" s="32"/>
      <c r="Y1296" s="32"/>
      <c r="Z1296" s="32"/>
      <c r="AA1296" s="32"/>
      <c r="AB1296" s="32"/>
    </row>
    <row r="1297" spans="1:28" ht="13" x14ac:dyDescent="0.15">
      <c r="A1297" s="32"/>
      <c r="B1297" s="32"/>
      <c r="C1297" s="32"/>
      <c r="D1297" s="32"/>
      <c r="E1297" s="32"/>
      <c r="F1297" s="32"/>
      <c r="G1297" s="32"/>
      <c r="H1297" s="32"/>
      <c r="I1297" s="32"/>
      <c r="J1297" s="32"/>
      <c r="K1297" s="32"/>
      <c r="L1297" s="32"/>
      <c r="M1297" s="23"/>
      <c r="N1297" s="32"/>
      <c r="O1297" s="32"/>
      <c r="P1297" s="32"/>
      <c r="Q1297" s="32"/>
      <c r="R1297" s="32"/>
      <c r="S1297" s="32"/>
      <c r="T1297" s="32"/>
      <c r="U1297" s="32"/>
      <c r="V1297" s="32"/>
      <c r="W1297" s="32"/>
      <c r="X1297" s="32"/>
      <c r="Y1297" s="32"/>
      <c r="Z1297" s="32"/>
      <c r="AA1297" s="32"/>
      <c r="AB1297" s="32"/>
    </row>
    <row r="1298" spans="1:28" ht="13" x14ac:dyDescent="0.15">
      <c r="A1298" s="32"/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  <c r="M1298" s="23"/>
      <c r="N1298" s="32"/>
      <c r="O1298" s="32"/>
      <c r="P1298" s="32"/>
      <c r="Q1298" s="32"/>
      <c r="R1298" s="32"/>
      <c r="S1298" s="32"/>
      <c r="T1298" s="32"/>
      <c r="U1298" s="32"/>
      <c r="V1298" s="32"/>
      <c r="W1298" s="32"/>
      <c r="X1298" s="32"/>
      <c r="Y1298" s="32"/>
      <c r="Z1298" s="32"/>
      <c r="AA1298" s="32"/>
      <c r="AB1298" s="32"/>
    </row>
    <row r="1299" spans="1:28" ht="13" x14ac:dyDescent="0.15">
      <c r="A1299" s="32"/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  <c r="M1299" s="23"/>
      <c r="N1299" s="32"/>
      <c r="O1299" s="32"/>
      <c r="P1299" s="32"/>
      <c r="Q1299" s="32"/>
      <c r="R1299" s="32"/>
      <c r="S1299" s="32"/>
      <c r="T1299" s="32"/>
      <c r="U1299" s="32"/>
      <c r="V1299" s="32"/>
      <c r="W1299" s="32"/>
      <c r="X1299" s="32"/>
      <c r="Y1299" s="32"/>
      <c r="Z1299" s="32"/>
      <c r="AA1299" s="32"/>
      <c r="AB1299" s="32"/>
    </row>
    <row r="1300" spans="1:28" ht="13" x14ac:dyDescent="0.15">
      <c r="A1300" s="32"/>
      <c r="B1300" s="32"/>
      <c r="C1300" s="32"/>
      <c r="D1300" s="32"/>
      <c r="E1300" s="32"/>
      <c r="F1300" s="32"/>
      <c r="G1300" s="32"/>
      <c r="H1300" s="32"/>
      <c r="I1300" s="32"/>
      <c r="J1300" s="32"/>
      <c r="K1300" s="32"/>
      <c r="L1300" s="32"/>
      <c r="M1300" s="23"/>
      <c r="N1300" s="32"/>
      <c r="O1300" s="32"/>
      <c r="P1300" s="32"/>
      <c r="Q1300" s="32"/>
      <c r="R1300" s="32"/>
      <c r="S1300" s="32"/>
      <c r="T1300" s="32"/>
      <c r="U1300" s="32"/>
      <c r="V1300" s="32"/>
      <c r="W1300" s="32"/>
      <c r="X1300" s="32"/>
      <c r="Y1300" s="32"/>
      <c r="Z1300" s="32"/>
      <c r="AA1300" s="32"/>
      <c r="AB1300" s="32"/>
    </row>
    <row r="1301" spans="1:28" ht="13" x14ac:dyDescent="0.15">
      <c r="A1301" s="32"/>
      <c r="B1301" s="32"/>
      <c r="C1301" s="32"/>
      <c r="D1301" s="32"/>
      <c r="E1301" s="32"/>
      <c r="F1301" s="32"/>
      <c r="G1301" s="32"/>
      <c r="H1301" s="32"/>
      <c r="I1301" s="32"/>
      <c r="J1301" s="32"/>
      <c r="K1301" s="32"/>
      <c r="L1301" s="32"/>
      <c r="M1301" s="23"/>
      <c r="N1301" s="32"/>
      <c r="O1301" s="32"/>
      <c r="P1301" s="32"/>
      <c r="Q1301" s="32"/>
      <c r="R1301" s="32"/>
      <c r="S1301" s="32"/>
      <c r="T1301" s="32"/>
      <c r="U1301" s="32"/>
      <c r="V1301" s="32"/>
      <c r="W1301" s="32"/>
      <c r="X1301" s="32"/>
      <c r="Y1301" s="32"/>
      <c r="Z1301" s="32"/>
      <c r="AA1301" s="32"/>
      <c r="AB1301" s="32"/>
    </row>
    <row r="1302" spans="1:28" ht="13" x14ac:dyDescent="0.15">
      <c r="A1302" s="32"/>
      <c r="B1302" s="32"/>
      <c r="C1302" s="32"/>
      <c r="D1302" s="32"/>
      <c r="E1302" s="32"/>
      <c r="F1302" s="32"/>
      <c r="G1302" s="32"/>
      <c r="H1302" s="32"/>
      <c r="I1302" s="32"/>
      <c r="J1302" s="32"/>
      <c r="K1302" s="32"/>
      <c r="L1302" s="32"/>
      <c r="M1302" s="23"/>
      <c r="N1302" s="32"/>
      <c r="O1302" s="32"/>
      <c r="P1302" s="32"/>
      <c r="Q1302" s="32"/>
      <c r="R1302" s="32"/>
      <c r="S1302" s="32"/>
      <c r="T1302" s="32"/>
      <c r="U1302" s="32"/>
      <c r="V1302" s="32"/>
      <c r="W1302" s="32"/>
      <c r="X1302" s="32"/>
      <c r="Y1302" s="32"/>
      <c r="Z1302" s="32"/>
      <c r="AA1302" s="32"/>
      <c r="AB1302" s="32"/>
    </row>
    <row r="1303" spans="1:28" ht="13" x14ac:dyDescent="0.15">
      <c r="A1303" s="32"/>
      <c r="B1303" s="32"/>
      <c r="C1303" s="32"/>
      <c r="D1303" s="32"/>
      <c r="E1303" s="32"/>
      <c r="F1303" s="32"/>
      <c r="G1303" s="32"/>
      <c r="H1303" s="32"/>
      <c r="I1303" s="32"/>
      <c r="J1303" s="32"/>
      <c r="K1303" s="32"/>
      <c r="L1303" s="32"/>
      <c r="M1303" s="23"/>
      <c r="N1303" s="32"/>
      <c r="O1303" s="32"/>
      <c r="P1303" s="32"/>
      <c r="Q1303" s="32"/>
      <c r="R1303" s="32"/>
      <c r="S1303" s="32"/>
      <c r="T1303" s="32"/>
      <c r="U1303" s="32"/>
      <c r="V1303" s="32"/>
      <c r="W1303" s="32"/>
      <c r="X1303" s="32"/>
      <c r="Y1303" s="32"/>
      <c r="Z1303" s="32"/>
      <c r="AA1303" s="32"/>
      <c r="AB1303" s="32"/>
    </row>
    <row r="1304" spans="1:28" ht="13" x14ac:dyDescent="0.15">
      <c r="A1304" s="32"/>
      <c r="B1304" s="32"/>
      <c r="C1304" s="32"/>
      <c r="D1304" s="32"/>
      <c r="E1304" s="32"/>
      <c r="F1304" s="32"/>
      <c r="G1304" s="32"/>
      <c r="H1304" s="32"/>
      <c r="I1304" s="32"/>
      <c r="J1304" s="32"/>
      <c r="K1304" s="32"/>
      <c r="L1304" s="32"/>
      <c r="M1304" s="23"/>
      <c r="N1304" s="32"/>
      <c r="O1304" s="32"/>
      <c r="P1304" s="32"/>
      <c r="Q1304" s="32"/>
      <c r="R1304" s="32"/>
      <c r="S1304" s="32"/>
      <c r="T1304" s="32"/>
      <c r="U1304" s="32"/>
      <c r="V1304" s="32"/>
      <c r="W1304" s="32"/>
      <c r="X1304" s="32"/>
      <c r="Y1304" s="32"/>
      <c r="Z1304" s="32"/>
      <c r="AA1304" s="32"/>
      <c r="AB1304" s="32"/>
    </row>
    <row r="1305" spans="1:28" ht="13" x14ac:dyDescent="0.15">
      <c r="A1305" s="32"/>
      <c r="B1305" s="32"/>
      <c r="C1305" s="32"/>
      <c r="D1305" s="32"/>
      <c r="E1305" s="32"/>
      <c r="F1305" s="32"/>
      <c r="G1305" s="32"/>
      <c r="H1305" s="32"/>
      <c r="I1305" s="32"/>
      <c r="J1305" s="32"/>
      <c r="K1305" s="32"/>
      <c r="L1305" s="32"/>
      <c r="M1305" s="23"/>
      <c r="N1305" s="32"/>
      <c r="O1305" s="32"/>
      <c r="P1305" s="32"/>
      <c r="Q1305" s="32"/>
      <c r="R1305" s="32"/>
      <c r="S1305" s="32"/>
      <c r="T1305" s="32"/>
      <c r="U1305" s="32"/>
      <c r="V1305" s="32"/>
      <c r="W1305" s="32"/>
      <c r="X1305" s="32"/>
      <c r="Y1305" s="32"/>
      <c r="Z1305" s="32"/>
      <c r="AA1305" s="32"/>
      <c r="AB1305" s="32"/>
    </row>
    <row r="1306" spans="1:28" ht="13" x14ac:dyDescent="0.15">
      <c r="A1306" s="32"/>
      <c r="B1306" s="32"/>
      <c r="C1306" s="32"/>
      <c r="D1306" s="32"/>
      <c r="E1306" s="32"/>
      <c r="F1306" s="32"/>
      <c r="G1306" s="32"/>
      <c r="H1306" s="32"/>
      <c r="I1306" s="32"/>
      <c r="J1306" s="32"/>
      <c r="K1306" s="32"/>
      <c r="L1306" s="32"/>
      <c r="M1306" s="23"/>
      <c r="N1306" s="32"/>
      <c r="O1306" s="32"/>
      <c r="P1306" s="32"/>
      <c r="Q1306" s="32"/>
      <c r="R1306" s="32"/>
      <c r="S1306" s="32"/>
      <c r="T1306" s="32"/>
      <c r="U1306" s="32"/>
      <c r="V1306" s="32"/>
      <c r="W1306" s="32"/>
      <c r="X1306" s="32"/>
      <c r="Y1306" s="32"/>
      <c r="Z1306" s="32"/>
      <c r="AA1306" s="32"/>
      <c r="AB1306" s="32"/>
    </row>
    <row r="1307" spans="1:28" ht="13" x14ac:dyDescent="0.15">
      <c r="A1307" s="32"/>
      <c r="B1307" s="32"/>
      <c r="C1307" s="32"/>
      <c r="D1307" s="32"/>
      <c r="E1307" s="32"/>
      <c r="F1307" s="32"/>
      <c r="G1307" s="32"/>
      <c r="H1307" s="32"/>
      <c r="I1307" s="32"/>
      <c r="J1307" s="32"/>
      <c r="K1307" s="32"/>
      <c r="L1307" s="32"/>
      <c r="M1307" s="23"/>
      <c r="N1307" s="32"/>
      <c r="O1307" s="32"/>
      <c r="P1307" s="32"/>
      <c r="Q1307" s="32"/>
      <c r="R1307" s="32"/>
      <c r="S1307" s="32"/>
      <c r="T1307" s="32"/>
      <c r="U1307" s="32"/>
      <c r="V1307" s="32"/>
      <c r="W1307" s="32"/>
      <c r="X1307" s="32"/>
      <c r="Y1307" s="32"/>
      <c r="Z1307" s="32"/>
      <c r="AA1307" s="32"/>
      <c r="AB1307" s="32"/>
    </row>
    <row r="1308" spans="1:28" ht="13" x14ac:dyDescent="0.15">
      <c r="A1308" s="32"/>
      <c r="B1308" s="32"/>
      <c r="C1308" s="32"/>
      <c r="D1308" s="32"/>
      <c r="E1308" s="32"/>
      <c r="F1308" s="32"/>
      <c r="G1308" s="32"/>
      <c r="H1308" s="32"/>
      <c r="I1308" s="32"/>
      <c r="J1308" s="32"/>
      <c r="K1308" s="32"/>
      <c r="L1308" s="32"/>
      <c r="M1308" s="23"/>
      <c r="N1308" s="32"/>
      <c r="O1308" s="32"/>
      <c r="P1308" s="32"/>
      <c r="Q1308" s="32"/>
      <c r="R1308" s="32"/>
      <c r="S1308" s="32"/>
      <c r="T1308" s="32"/>
      <c r="U1308" s="32"/>
      <c r="V1308" s="32"/>
      <c r="W1308" s="32"/>
      <c r="X1308" s="32"/>
      <c r="Y1308" s="32"/>
      <c r="Z1308" s="32"/>
      <c r="AA1308" s="32"/>
      <c r="AB1308" s="32"/>
    </row>
    <row r="1309" spans="1:28" ht="13" x14ac:dyDescent="0.15">
      <c r="A1309" s="32"/>
      <c r="B1309" s="32"/>
      <c r="C1309" s="32"/>
      <c r="D1309" s="32"/>
      <c r="E1309" s="32"/>
      <c r="F1309" s="32"/>
      <c r="G1309" s="32"/>
      <c r="H1309" s="32"/>
      <c r="I1309" s="32"/>
      <c r="J1309" s="32"/>
      <c r="K1309" s="32"/>
      <c r="L1309" s="32"/>
      <c r="M1309" s="23"/>
      <c r="N1309" s="32"/>
      <c r="O1309" s="32"/>
      <c r="P1309" s="32"/>
      <c r="Q1309" s="32"/>
      <c r="R1309" s="32"/>
      <c r="S1309" s="32"/>
      <c r="T1309" s="32"/>
      <c r="U1309" s="32"/>
      <c r="V1309" s="32"/>
      <c r="W1309" s="32"/>
      <c r="X1309" s="32"/>
      <c r="Y1309" s="32"/>
      <c r="Z1309" s="32"/>
      <c r="AA1309" s="32"/>
      <c r="AB1309" s="32"/>
    </row>
    <row r="1310" spans="1:28" ht="13" x14ac:dyDescent="0.15">
      <c r="A1310" s="32"/>
      <c r="B1310" s="32"/>
      <c r="C1310" s="32"/>
      <c r="D1310" s="32"/>
      <c r="E1310" s="32"/>
      <c r="F1310" s="32"/>
      <c r="G1310" s="32"/>
      <c r="H1310" s="32"/>
      <c r="I1310" s="32"/>
      <c r="J1310" s="32"/>
      <c r="K1310" s="32"/>
      <c r="L1310" s="32"/>
      <c r="M1310" s="23"/>
      <c r="N1310" s="32"/>
      <c r="O1310" s="32"/>
      <c r="P1310" s="32"/>
      <c r="Q1310" s="32"/>
      <c r="R1310" s="32"/>
      <c r="S1310" s="32"/>
      <c r="T1310" s="32"/>
      <c r="U1310" s="32"/>
      <c r="V1310" s="32"/>
      <c r="W1310" s="32"/>
      <c r="X1310" s="32"/>
      <c r="Y1310" s="32"/>
      <c r="Z1310" s="32"/>
      <c r="AA1310" s="32"/>
      <c r="AB1310" s="32"/>
    </row>
    <row r="1311" spans="1:28" ht="13" x14ac:dyDescent="0.15">
      <c r="A1311" s="32"/>
      <c r="B1311" s="32"/>
      <c r="C1311" s="32"/>
      <c r="D1311" s="32"/>
      <c r="E1311" s="32"/>
      <c r="F1311" s="32"/>
      <c r="G1311" s="32"/>
      <c r="H1311" s="32"/>
      <c r="I1311" s="32"/>
      <c r="J1311" s="32"/>
      <c r="K1311" s="32"/>
      <c r="L1311" s="32"/>
      <c r="M1311" s="23"/>
      <c r="N1311" s="32"/>
      <c r="O1311" s="32"/>
      <c r="P1311" s="32"/>
      <c r="Q1311" s="32"/>
      <c r="R1311" s="32"/>
      <c r="S1311" s="32"/>
      <c r="T1311" s="32"/>
      <c r="U1311" s="32"/>
      <c r="V1311" s="32"/>
      <c r="W1311" s="32"/>
      <c r="X1311" s="32"/>
      <c r="Y1311" s="32"/>
      <c r="Z1311" s="32"/>
      <c r="AA1311" s="32"/>
      <c r="AB1311" s="32"/>
    </row>
    <row r="1312" spans="1:28" ht="13" x14ac:dyDescent="0.15">
      <c r="A1312" s="32"/>
      <c r="B1312" s="32"/>
      <c r="C1312" s="32"/>
      <c r="D1312" s="32"/>
      <c r="E1312" s="32"/>
      <c r="F1312" s="32"/>
      <c r="G1312" s="32"/>
      <c r="H1312" s="32"/>
      <c r="I1312" s="32"/>
      <c r="J1312" s="32"/>
      <c r="K1312" s="32"/>
      <c r="L1312" s="32"/>
      <c r="M1312" s="23"/>
      <c r="N1312" s="32"/>
      <c r="O1312" s="32"/>
      <c r="P1312" s="32"/>
      <c r="Q1312" s="32"/>
      <c r="R1312" s="32"/>
      <c r="S1312" s="32"/>
      <c r="T1312" s="32"/>
      <c r="U1312" s="32"/>
      <c r="V1312" s="32"/>
      <c r="W1312" s="32"/>
      <c r="X1312" s="32"/>
      <c r="Y1312" s="32"/>
      <c r="Z1312" s="32"/>
      <c r="AA1312" s="32"/>
      <c r="AB1312" s="32"/>
    </row>
    <row r="1313" spans="1:28" ht="13" x14ac:dyDescent="0.15">
      <c r="A1313" s="32"/>
      <c r="B1313" s="32"/>
      <c r="C1313" s="32"/>
      <c r="D1313" s="32"/>
      <c r="E1313" s="32"/>
      <c r="F1313" s="32"/>
      <c r="G1313" s="32"/>
      <c r="H1313" s="32"/>
      <c r="I1313" s="32"/>
      <c r="J1313" s="32"/>
      <c r="K1313" s="32"/>
      <c r="L1313" s="32"/>
      <c r="M1313" s="23"/>
      <c r="N1313" s="32"/>
      <c r="O1313" s="32"/>
      <c r="P1313" s="32"/>
      <c r="Q1313" s="32"/>
      <c r="R1313" s="32"/>
      <c r="S1313" s="32"/>
      <c r="T1313" s="32"/>
      <c r="U1313" s="32"/>
      <c r="V1313" s="32"/>
      <c r="W1313" s="32"/>
      <c r="X1313" s="32"/>
      <c r="Y1313" s="32"/>
      <c r="Z1313" s="32"/>
      <c r="AA1313" s="32"/>
      <c r="AB1313" s="32"/>
    </row>
    <row r="1314" spans="1:28" ht="13" x14ac:dyDescent="0.15">
      <c r="A1314" s="32"/>
      <c r="B1314" s="32"/>
      <c r="C1314" s="32"/>
      <c r="D1314" s="32"/>
      <c r="E1314" s="32"/>
      <c r="F1314" s="32"/>
      <c r="G1314" s="32"/>
      <c r="H1314" s="32"/>
      <c r="I1314" s="32"/>
      <c r="J1314" s="32"/>
      <c r="K1314" s="32"/>
      <c r="L1314" s="32"/>
      <c r="M1314" s="23"/>
      <c r="N1314" s="32"/>
      <c r="O1314" s="32"/>
      <c r="P1314" s="32"/>
      <c r="Q1314" s="32"/>
      <c r="R1314" s="32"/>
      <c r="S1314" s="32"/>
      <c r="T1314" s="32"/>
      <c r="U1314" s="32"/>
      <c r="V1314" s="32"/>
      <c r="W1314" s="32"/>
      <c r="X1314" s="32"/>
      <c r="Y1314" s="32"/>
      <c r="Z1314" s="32"/>
      <c r="AA1314" s="32"/>
      <c r="AB1314" s="32"/>
    </row>
    <row r="1315" spans="1:28" ht="13" x14ac:dyDescent="0.15">
      <c r="A1315" s="32"/>
      <c r="B1315" s="32"/>
      <c r="C1315" s="32"/>
      <c r="D1315" s="32"/>
      <c r="E1315" s="32"/>
      <c r="F1315" s="32"/>
      <c r="G1315" s="32"/>
      <c r="H1315" s="32"/>
      <c r="I1315" s="32"/>
      <c r="J1315" s="32"/>
      <c r="K1315" s="32"/>
      <c r="L1315" s="32"/>
      <c r="M1315" s="23"/>
      <c r="N1315" s="32"/>
      <c r="O1315" s="32"/>
      <c r="P1315" s="32"/>
      <c r="Q1315" s="32"/>
      <c r="R1315" s="32"/>
      <c r="S1315" s="32"/>
      <c r="T1315" s="32"/>
      <c r="U1315" s="32"/>
      <c r="V1315" s="32"/>
      <c r="W1315" s="32"/>
      <c r="X1315" s="32"/>
      <c r="Y1315" s="32"/>
      <c r="Z1315" s="32"/>
      <c r="AA1315" s="32"/>
      <c r="AB1315" s="32"/>
    </row>
    <row r="1316" spans="1:28" ht="13" x14ac:dyDescent="0.15">
      <c r="A1316" s="32"/>
      <c r="B1316" s="32"/>
      <c r="C1316" s="32"/>
      <c r="D1316" s="32"/>
      <c r="E1316" s="32"/>
      <c r="F1316" s="32"/>
      <c r="G1316" s="32"/>
      <c r="H1316" s="32"/>
      <c r="I1316" s="32"/>
      <c r="J1316" s="32"/>
      <c r="K1316" s="32"/>
      <c r="L1316" s="32"/>
      <c r="M1316" s="23"/>
      <c r="N1316" s="32"/>
      <c r="O1316" s="32"/>
      <c r="P1316" s="32"/>
      <c r="Q1316" s="32"/>
      <c r="R1316" s="32"/>
      <c r="S1316" s="32"/>
      <c r="T1316" s="32"/>
      <c r="U1316" s="32"/>
      <c r="V1316" s="32"/>
      <c r="W1316" s="32"/>
      <c r="X1316" s="32"/>
      <c r="Y1316" s="32"/>
      <c r="Z1316" s="32"/>
      <c r="AA1316" s="32"/>
      <c r="AB1316" s="32"/>
    </row>
    <row r="1317" spans="1:28" ht="13" x14ac:dyDescent="0.15">
      <c r="A1317" s="32"/>
      <c r="B1317" s="32"/>
      <c r="C1317" s="32"/>
      <c r="D1317" s="32"/>
      <c r="E1317" s="32"/>
      <c r="F1317" s="32"/>
      <c r="G1317" s="32"/>
      <c r="H1317" s="32"/>
      <c r="I1317" s="32"/>
      <c r="J1317" s="32"/>
      <c r="K1317" s="32"/>
      <c r="L1317" s="32"/>
      <c r="M1317" s="23"/>
      <c r="N1317" s="32"/>
      <c r="O1317" s="32"/>
      <c r="P1317" s="32"/>
      <c r="Q1317" s="32"/>
      <c r="R1317" s="32"/>
      <c r="S1317" s="32"/>
      <c r="T1317" s="32"/>
      <c r="U1317" s="32"/>
      <c r="V1317" s="32"/>
      <c r="W1317" s="32"/>
      <c r="X1317" s="32"/>
      <c r="Y1317" s="32"/>
      <c r="Z1317" s="32"/>
      <c r="AA1317" s="32"/>
      <c r="AB1317" s="32"/>
    </row>
    <row r="1318" spans="1:28" ht="13" x14ac:dyDescent="0.15">
      <c r="A1318" s="32"/>
      <c r="B1318" s="32"/>
      <c r="C1318" s="32"/>
      <c r="D1318" s="32"/>
      <c r="E1318" s="32"/>
      <c r="F1318" s="32"/>
      <c r="G1318" s="32"/>
      <c r="H1318" s="32"/>
      <c r="I1318" s="32"/>
      <c r="J1318" s="32"/>
      <c r="K1318" s="32"/>
      <c r="L1318" s="32"/>
      <c r="M1318" s="23"/>
      <c r="N1318" s="32"/>
      <c r="O1318" s="32"/>
      <c r="P1318" s="32"/>
      <c r="Q1318" s="32"/>
      <c r="R1318" s="32"/>
      <c r="S1318" s="32"/>
      <c r="T1318" s="32"/>
      <c r="U1318" s="32"/>
      <c r="V1318" s="32"/>
      <c r="W1318" s="32"/>
      <c r="X1318" s="32"/>
      <c r="Y1318" s="32"/>
      <c r="Z1318" s="32"/>
      <c r="AA1318" s="32"/>
      <c r="AB1318" s="32"/>
    </row>
    <row r="1319" spans="1:28" ht="13" x14ac:dyDescent="0.15">
      <c r="A1319" s="32"/>
      <c r="B1319" s="32"/>
      <c r="C1319" s="32"/>
      <c r="D1319" s="32"/>
      <c r="E1319" s="32"/>
      <c r="F1319" s="32"/>
      <c r="G1319" s="32"/>
      <c r="H1319" s="32"/>
      <c r="I1319" s="32"/>
      <c r="J1319" s="32"/>
      <c r="K1319" s="32"/>
      <c r="L1319" s="32"/>
      <c r="M1319" s="23"/>
      <c r="N1319" s="32"/>
      <c r="O1319" s="32"/>
      <c r="P1319" s="32"/>
      <c r="Q1319" s="32"/>
      <c r="R1319" s="32"/>
      <c r="S1319" s="32"/>
      <c r="T1319" s="32"/>
      <c r="U1319" s="32"/>
      <c r="V1319" s="32"/>
      <c r="W1319" s="32"/>
      <c r="X1319" s="32"/>
      <c r="Y1319" s="32"/>
      <c r="Z1319" s="32"/>
      <c r="AA1319" s="32"/>
      <c r="AB1319" s="32"/>
    </row>
    <row r="1320" spans="1:28" ht="13" x14ac:dyDescent="0.15">
      <c r="A1320" s="32"/>
      <c r="B1320" s="32"/>
      <c r="C1320" s="32"/>
      <c r="D1320" s="32"/>
      <c r="E1320" s="32"/>
      <c r="F1320" s="32"/>
      <c r="G1320" s="32"/>
      <c r="H1320" s="32"/>
      <c r="I1320" s="32"/>
      <c r="J1320" s="32"/>
      <c r="K1320" s="32"/>
      <c r="L1320" s="32"/>
      <c r="M1320" s="23"/>
      <c r="N1320" s="32"/>
      <c r="O1320" s="32"/>
      <c r="P1320" s="32"/>
      <c r="Q1320" s="32"/>
      <c r="R1320" s="32"/>
      <c r="S1320" s="32"/>
      <c r="T1320" s="32"/>
      <c r="U1320" s="32"/>
      <c r="V1320" s="32"/>
      <c r="W1320" s="32"/>
      <c r="X1320" s="32"/>
      <c r="Y1320" s="32"/>
      <c r="Z1320" s="32"/>
      <c r="AA1320" s="32"/>
      <c r="AB1320" s="32"/>
    </row>
    <row r="1321" spans="1:28" ht="13" x14ac:dyDescent="0.15">
      <c r="A1321" s="32"/>
      <c r="B1321" s="32"/>
      <c r="C1321" s="32"/>
      <c r="D1321" s="32"/>
      <c r="E1321" s="32"/>
      <c r="F1321" s="32"/>
      <c r="G1321" s="32"/>
      <c r="H1321" s="32"/>
      <c r="I1321" s="32"/>
      <c r="J1321" s="32"/>
      <c r="K1321" s="32"/>
      <c r="L1321" s="32"/>
      <c r="M1321" s="23"/>
      <c r="N1321" s="32"/>
      <c r="O1321" s="32"/>
      <c r="P1321" s="32"/>
      <c r="Q1321" s="32"/>
      <c r="R1321" s="32"/>
      <c r="S1321" s="32"/>
      <c r="T1321" s="32"/>
      <c r="U1321" s="32"/>
      <c r="V1321" s="32"/>
      <c r="W1321" s="32"/>
      <c r="X1321" s="32"/>
      <c r="Y1321" s="32"/>
      <c r="Z1321" s="32"/>
      <c r="AA1321" s="32"/>
      <c r="AB1321" s="32"/>
    </row>
    <row r="1322" spans="1:28" ht="13" x14ac:dyDescent="0.15">
      <c r="A1322" s="32"/>
      <c r="B1322" s="32"/>
      <c r="C1322" s="32"/>
      <c r="D1322" s="32"/>
      <c r="E1322" s="32"/>
      <c r="F1322" s="32"/>
      <c r="G1322" s="32"/>
      <c r="H1322" s="32"/>
      <c r="I1322" s="32"/>
      <c r="J1322" s="32"/>
      <c r="K1322" s="32"/>
      <c r="L1322" s="32"/>
      <c r="M1322" s="23"/>
      <c r="N1322" s="32"/>
      <c r="O1322" s="32"/>
      <c r="P1322" s="32"/>
      <c r="Q1322" s="32"/>
      <c r="R1322" s="32"/>
      <c r="S1322" s="32"/>
      <c r="T1322" s="32"/>
      <c r="U1322" s="32"/>
      <c r="V1322" s="32"/>
      <c r="W1322" s="32"/>
      <c r="X1322" s="32"/>
      <c r="Y1322" s="32"/>
      <c r="Z1322" s="32"/>
      <c r="AA1322" s="32"/>
      <c r="AB1322" s="32"/>
    </row>
    <row r="1323" spans="1:28" ht="13" x14ac:dyDescent="0.15">
      <c r="A1323" s="32"/>
      <c r="B1323" s="32"/>
      <c r="C1323" s="32"/>
      <c r="D1323" s="32"/>
      <c r="E1323" s="32"/>
      <c r="F1323" s="32"/>
      <c r="G1323" s="32"/>
      <c r="H1323" s="32"/>
      <c r="I1323" s="32"/>
      <c r="J1323" s="32"/>
      <c r="K1323" s="32"/>
      <c r="L1323" s="32"/>
      <c r="M1323" s="23"/>
      <c r="N1323" s="32"/>
      <c r="O1323" s="32"/>
      <c r="P1323" s="32"/>
      <c r="Q1323" s="32"/>
      <c r="R1323" s="32"/>
      <c r="S1323" s="32"/>
      <c r="T1323" s="32"/>
      <c r="U1323" s="32"/>
      <c r="V1323" s="32"/>
      <c r="W1323" s="32"/>
      <c r="X1323" s="32"/>
      <c r="Y1323" s="32"/>
      <c r="Z1323" s="32"/>
      <c r="AA1323" s="32"/>
      <c r="AB1323" s="32"/>
    </row>
    <row r="1324" spans="1:28" ht="13" x14ac:dyDescent="0.15">
      <c r="A1324" s="32"/>
      <c r="B1324" s="32"/>
      <c r="C1324" s="32"/>
      <c r="D1324" s="32"/>
      <c r="E1324" s="32"/>
      <c r="F1324" s="32"/>
      <c r="G1324" s="32"/>
      <c r="H1324" s="32"/>
      <c r="I1324" s="32"/>
      <c r="J1324" s="32"/>
      <c r="K1324" s="32"/>
      <c r="L1324" s="32"/>
      <c r="M1324" s="23"/>
      <c r="N1324" s="32"/>
      <c r="O1324" s="32"/>
      <c r="P1324" s="32"/>
      <c r="Q1324" s="32"/>
      <c r="R1324" s="32"/>
      <c r="S1324" s="32"/>
      <c r="T1324" s="32"/>
      <c r="U1324" s="32"/>
      <c r="V1324" s="32"/>
      <c r="W1324" s="32"/>
      <c r="X1324" s="32"/>
      <c r="Y1324" s="32"/>
      <c r="Z1324" s="32"/>
      <c r="AA1324" s="32"/>
      <c r="AB1324" s="32"/>
    </row>
    <row r="1325" spans="1:28" ht="13" x14ac:dyDescent="0.15">
      <c r="A1325" s="32"/>
      <c r="B1325" s="32"/>
      <c r="C1325" s="32"/>
      <c r="D1325" s="32"/>
      <c r="E1325" s="32"/>
      <c r="F1325" s="32"/>
      <c r="G1325" s="32"/>
      <c r="H1325" s="32"/>
      <c r="I1325" s="32"/>
      <c r="J1325" s="32"/>
      <c r="K1325" s="32"/>
      <c r="L1325" s="32"/>
      <c r="M1325" s="23"/>
      <c r="N1325" s="32"/>
      <c r="O1325" s="32"/>
      <c r="P1325" s="32"/>
      <c r="Q1325" s="32"/>
      <c r="R1325" s="32"/>
      <c r="S1325" s="32"/>
      <c r="T1325" s="32"/>
      <c r="U1325" s="32"/>
      <c r="V1325" s="32"/>
      <c r="W1325" s="32"/>
      <c r="X1325" s="32"/>
      <c r="Y1325" s="32"/>
      <c r="Z1325" s="32"/>
      <c r="AA1325" s="32"/>
      <c r="AB1325" s="32"/>
    </row>
    <row r="1326" spans="1:28" ht="13" x14ac:dyDescent="0.15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23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</row>
    <row r="1327" spans="1:28" ht="13" x14ac:dyDescent="0.15">
      <c r="A1327" s="32"/>
      <c r="B1327" s="32"/>
      <c r="C1327" s="32"/>
      <c r="D1327" s="32"/>
      <c r="E1327" s="32"/>
      <c r="F1327" s="32"/>
      <c r="G1327" s="32"/>
      <c r="H1327" s="32"/>
      <c r="I1327" s="32"/>
      <c r="J1327" s="32"/>
      <c r="K1327" s="32"/>
      <c r="L1327" s="32"/>
      <c r="M1327" s="23"/>
      <c r="N1327" s="32"/>
      <c r="O1327" s="32"/>
      <c r="P1327" s="32"/>
      <c r="Q1327" s="32"/>
      <c r="R1327" s="32"/>
      <c r="S1327" s="32"/>
      <c r="T1327" s="32"/>
      <c r="U1327" s="32"/>
      <c r="V1327" s="32"/>
      <c r="W1327" s="32"/>
      <c r="X1327" s="32"/>
      <c r="Y1327" s="32"/>
      <c r="Z1327" s="32"/>
      <c r="AA1327" s="32"/>
      <c r="AB1327" s="32"/>
    </row>
    <row r="1328" spans="1:28" ht="13" x14ac:dyDescent="0.15">
      <c r="A1328" s="32"/>
      <c r="B1328" s="32"/>
      <c r="C1328" s="32"/>
      <c r="D1328" s="32"/>
      <c r="E1328" s="32"/>
      <c r="F1328" s="32"/>
      <c r="G1328" s="32"/>
      <c r="H1328" s="32"/>
      <c r="I1328" s="32"/>
      <c r="J1328" s="32"/>
      <c r="K1328" s="32"/>
      <c r="L1328" s="32"/>
      <c r="M1328" s="23"/>
      <c r="N1328" s="32"/>
      <c r="O1328" s="32"/>
      <c r="P1328" s="32"/>
      <c r="Q1328" s="32"/>
      <c r="R1328" s="32"/>
      <c r="S1328" s="32"/>
      <c r="T1328" s="32"/>
      <c r="U1328" s="32"/>
      <c r="V1328" s="32"/>
      <c r="W1328" s="32"/>
      <c r="X1328" s="32"/>
      <c r="Y1328" s="32"/>
      <c r="Z1328" s="32"/>
      <c r="AA1328" s="32"/>
      <c r="AB1328" s="32"/>
    </row>
    <row r="1329" spans="1:28" ht="13" x14ac:dyDescent="0.15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23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  <c r="Z1329" s="32"/>
      <c r="AA1329" s="32"/>
      <c r="AB1329" s="32"/>
    </row>
    <row r="1330" spans="1:28" ht="13" x14ac:dyDescent="0.15">
      <c r="A1330" s="32"/>
      <c r="B1330" s="32"/>
      <c r="C1330" s="32"/>
      <c r="D1330" s="32"/>
      <c r="E1330" s="32"/>
      <c r="F1330" s="32"/>
      <c r="G1330" s="32"/>
      <c r="H1330" s="32"/>
      <c r="I1330" s="32"/>
      <c r="J1330" s="32"/>
      <c r="K1330" s="32"/>
      <c r="L1330" s="32"/>
      <c r="M1330" s="23"/>
      <c r="N1330" s="32"/>
      <c r="O1330" s="32"/>
      <c r="P1330" s="32"/>
      <c r="Q1330" s="32"/>
      <c r="R1330" s="32"/>
      <c r="S1330" s="32"/>
      <c r="T1330" s="32"/>
      <c r="U1330" s="32"/>
      <c r="V1330" s="32"/>
      <c r="W1330" s="32"/>
      <c r="X1330" s="32"/>
      <c r="Y1330" s="32"/>
      <c r="Z1330" s="32"/>
      <c r="AA1330" s="32"/>
      <c r="AB1330" s="32"/>
    </row>
    <row r="1331" spans="1:28" ht="13" x14ac:dyDescent="0.15">
      <c r="A1331" s="32"/>
      <c r="B1331" s="32"/>
      <c r="C1331" s="32"/>
      <c r="D1331" s="32"/>
      <c r="E1331" s="32"/>
      <c r="F1331" s="32"/>
      <c r="G1331" s="32"/>
      <c r="H1331" s="32"/>
      <c r="I1331" s="32"/>
      <c r="J1331" s="32"/>
      <c r="K1331" s="32"/>
      <c r="L1331" s="32"/>
      <c r="M1331" s="23"/>
      <c r="N1331" s="32"/>
      <c r="O1331" s="32"/>
      <c r="P1331" s="32"/>
      <c r="Q1331" s="32"/>
      <c r="R1331" s="32"/>
      <c r="S1331" s="32"/>
      <c r="T1331" s="32"/>
      <c r="U1331" s="32"/>
      <c r="V1331" s="32"/>
      <c r="W1331" s="32"/>
      <c r="X1331" s="32"/>
      <c r="Y1331" s="32"/>
      <c r="Z1331" s="32"/>
      <c r="AA1331" s="32"/>
      <c r="AB1331" s="32"/>
    </row>
    <row r="1332" spans="1:28" ht="13" x14ac:dyDescent="0.15">
      <c r="A1332" s="32"/>
      <c r="B1332" s="32"/>
      <c r="C1332" s="32"/>
      <c r="D1332" s="32"/>
      <c r="E1332" s="32"/>
      <c r="F1332" s="32"/>
      <c r="G1332" s="32"/>
      <c r="H1332" s="32"/>
      <c r="I1332" s="32"/>
      <c r="J1332" s="32"/>
      <c r="K1332" s="32"/>
      <c r="L1332" s="32"/>
      <c r="M1332" s="23"/>
      <c r="N1332" s="32"/>
      <c r="O1332" s="32"/>
      <c r="P1332" s="32"/>
      <c r="Q1332" s="32"/>
      <c r="R1332" s="32"/>
      <c r="S1332" s="32"/>
      <c r="T1332" s="32"/>
      <c r="U1332" s="32"/>
      <c r="V1332" s="32"/>
      <c r="W1332" s="32"/>
      <c r="X1332" s="32"/>
      <c r="Y1332" s="32"/>
      <c r="Z1332" s="32"/>
      <c r="AA1332" s="32"/>
      <c r="AB1332" s="32"/>
    </row>
    <row r="1333" spans="1:28" ht="13" x14ac:dyDescent="0.15">
      <c r="A1333" s="32"/>
      <c r="B1333" s="32"/>
      <c r="C1333" s="32"/>
      <c r="D1333" s="32"/>
      <c r="E1333" s="32"/>
      <c r="F1333" s="32"/>
      <c r="G1333" s="32"/>
      <c r="H1333" s="32"/>
      <c r="I1333" s="32"/>
      <c r="J1333" s="32"/>
      <c r="K1333" s="32"/>
      <c r="L1333" s="32"/>
      <c r="M1333" s="23"/>
      <c r="N1333" s="32"/>
      <c r="O1333" s="32"/>
      <c r="P1333" s="32"/>
      <c r="Q1333" s="32"/>
      <c r="R1333" s="32"/>
      <c r="S1333" s="32"/>
      <c r="T1333" s="32"/>
      <c r="U1333" s="32"/>
      <c r="V1333" s="32"/>
      <c r="W1333" s="32"/>
      <c r="X1333" s="32"/>
      <c r="Y1333" s="32"/>
      <c r="Z1333" s="32"/>
      <c r="AA1333" s="32"/>
      <c r="AB1333" s="32"/>
    </row>
    <row r="1334" spans="1:28" ht="13" x14ac:dyDescent="0.15">
      <c r="A1334" s="32"/>
      <c r="B1334" s="32"/>
      <c r="C1334" s="32"/>
      <c r="D1334" s="32"/>
      <c r="E1334" s="32"/>
      <c r="F1334" s="32"/>
      <c r="G1334" s="32"/>
      <c r="H1334" s="32"/>
      <c r="I1334" s="32"/>
      <c r="J1334" s="32"/>
      <c r="K1334" s="32"/>
      <c r="L1334" s="32"/>
      <c r="M1334" s="23"/>
      <c r="N1334" s="32"/>
      <c r="O1334" s="32"/>
      <c r="P1334" s="32"/>
      <c r="Q1334" s="32"/>
      <c r="R1334" s="32"/>
      <c r="S1334" s="32"/>
      <c r="T1334" s="32"/>
      <c r="U1334" s="32"/>
      <c r="V1334" s="32"/>
      <c r="W1334" s="32"/>
      <c r="X1334" s="32"/>
      <c r="Y1334" s="32"/>
      <c r="Z1334" s="32"/>
      <c r="AA1334" s="32"/>
      <c r="AB1334" s="32"/>
    </row>
    <row r="1335" spans="1:28" ht="13" x14ac:dyDescent="0.15">
      <c r="A1335" s="32"/>
      <c r="B1335" s="32"/>
      <c r="C1335" s="32"/>
      <c r="D1335" s="32"/>
      <c r="E1335" s="32"/>
      <c r="F1335" s="32"/>
      <c r="G1335" s="32"/>
      <c r="H1335" s="32"/>
      <c r="I1335" s="32"/>
      <c r="J1335" s="32"/>
      <c r="K1335" s="32"/>
      <c r="L1335" s="32"/>
      <c r="M1335" s="23"/>
      <c r="N1335" s="32"/>
      <c r="O1335" s="32"/>
      <c r="P1335" s="32"/>
      <c r="Q1335" s="32"/>
      <c r="R1335" s="32"/>
      <c r="S1335" s="32"/>
      <c r="T1335" s="32"/>
      <c r="U1335" s="32"/>
      <c r="V1335" s="32"/>
      <c r="W1335" s="32"/>
      <c r="X1335" s="32"/>
      <c r="Y1335" s="32"/>
      <c r="Z1335" s="32"/>
      <c r="AA1335" s="32"/>
      <c r="AB1335" s="32"/>
    </row>
    <row r="1336" spans="1:28" ht="13" x14ac:dyDescent="0.15">
      <c r="A1336" s="32"/>
      <c r="B1336" s="32"/>
      <c r="C1336" s="32"/>
      <c r="D1336" s="32"/>
      <c r="E1336" s="32"/>
      <c r="F1336" s="32"/>
      <c r="G1336" s="32"/>
      <c r="H1336" s="32"/>
      <c r="I1336" s="32"/>
      <c r="J1336" s="32"/>
      <c r="K1336" s="32"/>
      <c r="L1336" s="32"/>
      <c r="M1336" s="23"/>
      <c r="N1336" s="32"/>
      <c r="O1336" s="32"/>
      <c r="P1336" s="32"/>
      <c r="Q1336" s="32"/>
      <c r="R1336" s="32"/>
      <c r="S1336" s="32"/>
      <c r="T1336" s="32"/>
      <c r="U1336" s="32"/>
      <c r="V1336" s="32"/>
      <c r="W1336" s="32"/>
      <c r="X1336" s="32"/>
      <c r="Y1336" s="32"/>
      <c r="Z1336" s="32"/>
      <c r="AA1336" s="32"/>
      <c r="AB1336" s="32"/>
    </row>
    <row r="1337" spans="1:28" ht="13" x14ac:dyDescent="0.15">
      <c r="A1337" s="32"/>
      <c r="B1337" s="32"/>
      <c r="C1337" s="32"/>
      <c r="D1337" s="32"/>
      <c r="E1337" s="32"/>
      <c r="F1337" s="32"/>
      <c r="G1337" s="32"/>
      <c r="H1337" s="32"/>
      <c r="I1337" s="32"/>
      <c r="J1337" s="32"/>
      <c r="K1337" s="32"/>
      <c r="L1337" s="32"/>
      <c r="M1337" s="23"/>
      <c r="N1337" s="32"/>
      <c r="O1337" s="32"/>
      <c r="P1337" s="32"/>
      <c r="Q1337" s="32"/>
      <c r="R1337" s="32"/>
      <c r="S1337" s="32"/>
      <c r="T1337" s="32"/>
      <c r="U1337" s="32"/>
      <c r="V1337" s="32"/>
      <c r="W1337" s="32"/>
      <c r="X1337" s="32"/>
      <c r="Y1337" s="32"/>
      <c r="Z1337" s="32"/>
      <c r="AA1337" s="32"/>
      <c r="AB1337" s="32"/>
    </row>
    <row r="1338" spans="1:28" ht="13" x14ac:dyDescent="0.15">
      <c r="A1338" s="32"/>
      <c r="B1338" s="32"/>
      <c r="C1338" s="32"/>
      <c r="D1338" s="32"/>
      <c r="E1338" s="32"/>
      <c r="F1338" s="32"/>
      <c r="G1338" s="32"/>
      <c r="H1338" s="32"/>
      <c r="I1338" s="32"/>
      <c r="J1338" s="32"/>
      <c r="K1338" s="32"/>
      <c r="L1338" s="32"/>
      <c r="M1338" s="23"/>
      <c r="N1338" s="32"/>
      <c r="O1338" s="32"/>
      <c r="P1338" s="32"/>
      <c r="Q1338" s="32"/>
      <c r="R1338" s="32"/>
      <c r="S1338" s="32"/>
      <c r="T1338" s="32"/>
      <c r="U1338" s="32"/>
      <c r="V1338" s="32"/>
      <c r="W1338" s="32"/>
      <c r="X1338" s="32"/>
      <c r="Y1338" s="32"/>
      <c r="Z1338" s="32"/>
      <c r="AA1338" s="32"/>
      <c r="AB1338" s="32"/>
    </row>
    <row r="1339" spans="1:28" ht="13" x14ac:dyDescent="0.15">
      <c r="A1339" s="32"/>
      <c r="B1339" s="32"/>
      <c r="C1339" s="32"/>
      <c r="D1339" s="32"/>
      <c r="E1339" s="32"/>
      <c r="F1339" s="32"/>
      <c r="G1339" s="32"/>
      <c r="H1339" s="32"/>
      <c r="I1339" s="32"/>
      <c r="J1339" s="32"/>
      <c r="K1339" s="32"/>
      <c r="L1339" s="32"/>
      <c r="M1339" s="23"/>
      <c r="N1339" s="32"/>
      <c r="O1339" s="32"/>
      <c r="P1339" s="32"/>
      <c r="Q1339" s="32"/>
      <c r="R1339" s="32"/>
      <c r="S1339" s="32"/>
      <c r="T1339" s="32"/>
      <c r="U1339" s="32"/>
      <c r="V1339" s="32"/>
      <c r="W1339" s="32"/>
      <c r="X1339" s="32"/>
      <c r="Y1339" s="32"/>
      <c r="Z1339" s="32"/>
      <c r="AA1339" s="32"/>
      <c r="AB1339" s="32"/>
    </row>
    <row r="1340" spans="1:28" ht="13" x14ac:dyDescent="0.15">
      <c r="A1340" s="32"/>
      <c r="B1340" s="32"/>
      <c r="C1340" s="32"/>
      <c r="D1340" s="32"/>
      <c r="E1340" s="32"/>
      <c r="F1340" s="32"/>
      <c r="G1340" s="32"/>
      <c r="H1340" s="32"/>
      <c r="I1340" s="32"/>
      <c r="J1340" s="32"/>
      <c r="K1340" s="32"/>
      <c r="L1340" s="32"/>
      <c r="M1340" s="23"/>
      <c r="N1340" s="32"/>
      <c r="O1340" s="32"/>
      <c r="P1340" s="32"/>
      <c r="Q1340" s="32"/>
      <c r="R1340" s="32"/>
      <c r="S1340" s="32"/>
      <c r="T1340" s="32"/>
      <c r="U1340" s="32"/>
      <c r="V1340" s="32"/>
      <c r="W1340" s="32"/>
      <c r="X1340" s="32"/>
      <c r="Y1340" s="32"/>
      <c r="Z1340" s="32"/>
      <c r="AA1340" s="32"/>
      <c r="AB1340" s="32"/>
    </row>
    <row r="1341" spans="1:28" ht="13" x14ac:dyDescent="0.15">
      <c r="A1341" s="32"/>
      <c r="B1341" s="32"/>
      <c r="C1341" s="32"/>
      <c r="D1341" s="32"/>
      <c r="E1341" s="32"/>
      <c r="F1341" s="32"/>
      <c r="G1341" s="32"/>
      <c r="H1341" s="32"/>
      <c r="I1341" s="32"/>
      <c r="J1341" s="32"/>
      <c r="K1341" s="32"/>
      <c r="L1341" s="32"/>
      <c r="M1341" s="23"/>
      <c r="N1341" s="32"/>
      <c r="O1341" s="32"/>
      <c r="P1341" s="32"/>
      <c r="Q1341" s="32"/>
      <c r="R1341" s="32"/>
      <c r="S1341" s="32"/>
      <c r="T1341" s="32"/>
      <c r="U1341" s="32"/>
      <c r="V1341" s="32"/>
      <c r="W1341" s="32"/>
      <c r="X1341" s="32"/>
      <c r="Y1341" s="32"/>
      <c r="Z1341" s="32"/>
      <c r="AA1341" s="32"/>
      <c r="AB1341" s="32"/>
    </row>
    <row r="1342" spans="1:28" ht="13" x14ac:dyDescent="0.15">
      <c r="A1342" s="32"/>
      <c r="B1342" s="32"/>
      <c r="C1342" s="32"/>
      <c r="D1342" s="32"/>
      <c r="E1342" s="32"/>
      <c r="F1342" s="32"/>
      <c r="G1342" s="32"/>
      <c r="H1342" s="32"/>
      <c r="I1342" s="32"/>
      <c r="J1342" s="32"/>
      <c r="K1342" s="32"/>
      <c r="L1342" s="32"/>
      <c r="M1342" s="23"/>
      <c r="N1342" s="32"/>
      <c r="O1342" s="32"/>
      <c r="P1342" s="32"/>
      <c r="Q1342" s="32"/>
      <c r="R1342" s="32"/>
      <c r="S1342" s="32"/>
      <c r="T1342" s="32"/>
      <c r="U1342" s="32"/>
      <c r="V1342" s="32"/>
      <c r="W1342" s="32"/>
      <c r="X1342" s="32"/>
      <c r="Y1342" s="32"/>
      <c r="Z1342" s="32"/>
      <c r="AA1342" s="32"/>
      <c r="AB1342" s="32"/>
    </row>
    <row r="1343" spans="1:28" ht="13" x14ac:dyDescent="0.15">
      <c r="A1343" s="32"/>
      <c r="B1343" s="32"/>
      <c r="C1343" s="32"/>
      <c r="D1343" s="32"/>
      <c r="E1343" s="32"/>
      <c r="F1343" s="32"/>
      <c r="G1343" s="32"/>
      <c r="H1343" s="32"/>
      <c r="I1343" s="32"/>
      <c r="J1343" s="32"/>
      <c r="K1343" s="32"/>
      <c r="L1343" s="32"/>
      <c r="M1343" s="23"/>
      <c r="N1343" s="32"/>
      <c r="O1343" s="32"/>
      <c r="P1343" s="32"/>
      <c r="Q1343" s="32"/>
      <c r="R1343" s="32"/>
      <c r="S1343" s="32"/>
      <c r="T1343" s="32"/>
      <c r="U1343" s="32"/>
      <c r="V1343" s="32"/>
      <c r="W1343" s="32"/>
      <c r="X1343" s="32"/>
      <c r="Y1343" s="32"/>
      <c r="Z1343" s="32"/>
      <c r="AA1343" s="32"/>
      <c r="AB1343" s="32"/>
    </row>
    <row r="1344" spans="1:28" ht="13" x14ac:dyDescent="0.15">
      <c r="A1344" s="32"/>
      <c r="B1344" s="32"/>
      <c r="C1344" s="32"/>
      <c r="D1344" s="32"/>
      <c r="E1344" s="32"/>
      <c r="F1344" s="32"/>
      <c r="G1344" s="32"/>
      <c r="H1344" s="32"/>
      <c r="I1344" s="32"/>
      <c r="J1344" s="32"/>
      <c r="K1344" s="32"/>
      <c r="L1344" s="32"/>
      <c r="M1344" s="23"/>
      <c r="N1344" s="32"/>
      <c r="O1344" s="32"/>
      <c r="P1344" s="32"/>
      <c r="Q1344" s="32"/>
      <c r="R1344" s="32"/>
      <c r="S1344" s="32"/>
      <c r="T1344" s="32"/>
      <c r="U1344" s="32"/>
      <c r="V1344" s="32"/>
      <c r="W1344" s="32"/>
      <c r="X1344" s="32"/>
      <c r="Y1344" s="32"/>
      <c r="Z1344" s="32"/>
      <c r="AA1344" s="32"/>
      <c r="AB1344" s="32"/>
    </row>
    <row r="1345" spans="1:28" ht="13" x14ac:dyDescent="0.15">
      <c r="A1345" s="32"/>
      <c r="B1345" s="32"/>
      <c r="C1345" s="32"/>
      <c r="D1345" s="32"/>
      <c r="E1345" s="32"/>
      <c r="F1345" s="32"/>
      <c r="G1345" s="32"/>
      <c r="H1345" s="32"/>
      <c r="I1345" s="32"/>
      <c r="J1345" s="32"/>
      <c r="K1345" s="32"/>
      <c r="L1345" s="32"/>
      <c r="M1345" s="23"/>
      <c r="N1345" s="32"/>
      <c r="O1345" s="32"/>
      <c r="P1345" s="32"/>
      <c r="Q1345" s="32"/>
      <c r="R1345" s="32"/>
      <c r="S1345" s="32"/>
      <c r="T1345" s="32"/>
      <c r="U1345" s="32"/>
      <c r="V1345" s="32"/>
      <c r="W1345" s="32"/>
      <c r="X1345" s="32"/>
      <c r="Y1345" s="32"/>
      <c r="Z1345" s="32"/>
      <c r="AA1345" s="32"/>
      <c r="AB1345" s="32"/>
    </row>
    <row r="1346" spans="1:28" ht="13" x14ac:dyDescent="0.15">
      <c r="A1346" s="32"/>
      <c r="B1346" s="32"/>
      <c r="C1346" s="32"/>
      <c r="D1346" s="32"/>
      <c r="E1346" s="32"/>
      <c r="F1346" s="32"/>
      <c r="G1346" s="32"/>
      <c r="H1346" s="32"/>
      <c r="I1346" s="32"/>
      <c r="J1346" s="32"/>
      <c r="K1346" s="32"/>
      <c r="L1346" s="32"/>
      <c r="M1346" s="23"/>
      <c r="N1346" s="32"/>
      <c r="O1346" s="32"/>
      <c r="P1346" s="32"/>
      <c r="Q1346" s="32"/>
      <c r="R1346" s="32"/>
      <c r="S1346" s="32"/>
      <c r="T1346" s="32"/>
      <c r="U1346" s="32"/>
      <c r="V1346" s="32"/>
      <c r="W1346" s="32"/>
      <c r="X1346" s="32"/>
      <c r="Y1346" s="32"/>
      <c r="Z1346" s="32"/>
      <c r="AA1346" s="32"/>
      <c r="AB1346" s="32"/>
    </row>
    <row r="1347" spans="1:28" ht="13" x14ac:dyDescent="0.15">
      <c r="A1347" s="32"/>
      <c r="B1347" s="32"/>
      <c r="C1347" s="32"/>
      <c r="D1347" s="32"/>
      <c r="E1347" s="32"/>
      <c r="F1347" s="32"/>
      <c r="G1347" s="32"/>
      <c r="H1347" s="32"/>
      <c r="I1347" s="32"/>
      <c r="J1347" s="32"/>
      <c r="K1347" s="32"/>
      <c r="L1347" s="32"/>
      <c r="M1347" s="23"/>
      <c r="N1347" s="32"/>
      <c r="O1347" s="32"/>
      <c r="P1347" s="32"/>
      <c r="Q1347" s="32"/>
      <c r="R1347" s="32"/>
      <c r="S1347" s="32"/>
      <c r="T1347" s="32"/>
      <c r="U1347" s="32"/>
      <c r="V1347" s="32"/>
      <c r="W1347" s="32"/>
      <c r="X1347" s="32"/>
      <c r="Y1347" s="32"/>
      <c r="Z1347" s="32"/>
      <c r="AA1347" s="32"/>
      <c r="AB1347" s="32"/>
    </row>
    <row r="1348" spans="1:28" ht="13" x14ac:dyDescent="0.15">
      <c r="A1348" s="32"/>
      <c r="B1348" s="32"/>
      <c r="C1348" s="32"/>
      <c r="D1348" s="32"/>
      <c r="E1348" s="32"/>
      <c r="F1348" s="32"/>
      <c r="G1348" s="32"/>
      <c r="H1348" s="32"/>
      <c r="I1348" s="32"/>
      <c r="J1348" s="32"/>
      <c r="K1348" s="32"/>
      <c r="L1348" s="32"/>
      <c r="M1348" s="23"/>
      <c r="N1348" s="32"/>
      <c r="O1348" s="32"/>
      <c r="P1348" s="32"/>
      <c r="Q1348" s="32"/>
      <c r="R1348" s="32"/>
      <c r="S1348" s="32"/>
      <c r="T1348" s="32"/>
      <c r="U1348" s="32"/>
      <c r="V1348" s="32"/>
      <c r="W1348" s="32"/>
      <c r="X1348" s="32"/>
      <c r="Y1348" s="32"/>
      <c r="Z1348" s="32"/>
      <c r="AA1348" s="32"/>
      <c r="AB1348" s="32"/>
    </row>
    <row r="1349" spans="1:28" ht="13" x14ac:dyDescent="0.15">
      <c r="A1349" s="32"/>
      <c r="B1349" s="32"/>
      <c r="C1349" s="32"/>
      <c r="D1349" s="32"/>
      <c r="E1349" s="32"/>
      <c r="F1349" s="32"/>
      <c r="G1349" s="32"/>
      <c r="H1349" s="32"/>
      <c r="I1349" s="32"/>
      <c r="J1349" s="32"/>
      <c r="K1349" s="32"/>
      <c r="L1349" s="32"/>
      <c r="M1349" s="23"/>
      <c r="N1349" s="32"/>
      <c r="O1349" s="32"/>
      <c r="P1349" s="32"/>
      <c r="Q1349" s="32"/>
      <c r="R1349" s="32"/>
      <c r="S1349" s="32"/>
      <c r="T1349" s="32"/>
      <c r="U1349" s="32"/>
      <c r="V1349" s="32"/>
      <c r="W1349" s="32"/>
      <c r="X1349" s="32"/>
      <c r="Y1349" s="32"/>
      <c r="Z1349" s="32"/>
      <c r="AA1349" s="32"/>
      <c r="AB1349" s="32"/>
    </row>
    <row r="1350" spans="1:28" ht="13" x14ac:dyDescent="0.15">
      <c r="A1350" s="32"/>
      <c r="B1350" s="32"/>
      <c r="C1350" s="32"/>
      <c r="D1350" s="32"/>
      <c r="E1350" s="32"/>
      <c r="F1350" s="32"/>
      <c r="G1350" s="32"/>
      <c r="H1350" s="32"/>
      <c r="I1350" s="32"/>
      <c r="J1350" s="32"/>
      <c r="K1350" s="32"/>
      <c r="L1350" s="32"/>
      <c r="M1350" s="23"/>
      <c r="N1350" s="32"/>
      <c r="O1350" s="32"/>
      <c r="P1350" s="32"/>
      <c r="Q1350" s="32"/>
      <c r="R1350" s="32"/>
      <c r="S1350" s="32"/>
      <c r="T1350" s="32"/>
      <c r="U1350" s="32"/>
      <c r="V1350" s="32"/>
      <c r="W1350" s="32"/>
      <c r="X1350" s="32"/>
      <c r="Y1350" s="32"/>
      <c r="Z1350" s="32"/>
      <c r="AA1350" s="32"/>
      <c r="AB1350" s="32"/>
    </row>
    <row r="1351" spans="1:28" ht="13" x14ac:dyDescent="0.15">
      <c r="A1351" s="32"/>
      <c r="B1351" s="32"/>
      <c r="C1351" s="32"/>
      <c r="D1351" s="32"/>
      <c r="E1351" s="32"/>
      <c r="F1351" s="32"/>
      <c r="G1351" s="32"/>
      <c r="H1351" s="32"/>
      <c r="I1351" s="32"/>
      <c r="J1351" s="32"/>
      <c r="K1351" s="32"/>
      <c r="L1351" s="32"/>
      <c r="M1351" s="23"/>
      <c r="N1351" s="32"/>
      <c r="O1351" s="32"/>
      <c r="P1351" s="32"/>
      <c r="Q1351" s="32"/>
      <c r="R1351" s="32"/>
      <c r="S1351" s="32"/>
      <c r="T1351" s="32"/>
      <c r="U1351" s="32"/>
      <c r="V1351" s="32"/>
      <c r="W1351" s="32"/>
      <c r="X1351" s="32"/>
      <c r="Y1351" s="32"/>
      <c r="Z1351" s="32"/>
      <c r="AA1351" s="32"/>
      <c r="AB1351" s="32"/>
    </row>
    <row r="1352" spans="1:28" ht="13" x14ac:dyDescent="0.15">
      <c r="A1352" s="32"/>
      <c r="B1352" s="32"/>
      <c r="C1352" s="32"/>
      <c r="D1352" s="32"/>
      <c r="E1352" s="32"/>
      <c r="F1352" s="32"/>
      <c r="G1352" s="32"/>
      <c r="H1352" s="32"/>
      <c r="I1352" s="32"/>
      <c r="J1352" s="32"/>
      <c r="K1352" s="32"/>
      <c r="L1352" s="32"/>
      <c r="M1352" s="23"/>
      <c r="N1352" s="32"/>
      <c r="O1352" s="32"/>
      <c r="P1352" s="32"/>
      <c r="Q1352" s="32"/>
      <c r="R1352" s="32"/>
      <c r="S1352" s="32"/>
      <c r="T1352" s="32"/>
      <c r="U1352" s="32"/>
      <c r="V1352" s="32"/>
      <c r="W1352" s="32"/>
      <c r="X1352" s="32"/>
      <c r="Y1352" s="32"/>
      <c r="Z1352" s="32"/>
      <c r="AA1352" s="32"/>
      <c r="AB1352" s="32"/>
    </row>
    <row r="1353" spans="1:28" ht="13" x14ac:dyDescent="0.15">
      <c r="A1353" s="32"/>
      <c r="B1353" s="32"/>
      <c r="C1353" s="32"/>
      <c r="D1353" s="32"/>
      <c r="E1353" s="32"/>
      <c r="F1353" s="32"/>
      <c r="G1353" s="32"/>
      <c r="H1353" s="32"/>
      <c r="I1353" s="32"/>
      <c r="J1353" s="32"/>
      <c r="K1353" s="32"/>
      <c r="L1353" s="32"/>
      <c r="M1353" s="23"/>
      <c r="N1353" s="32"/>
      <c r="O1353" s="32"/>
      <c r="P1353" s="32"/>
      <c r="Q1353" s="32"/>
      <c r="R1353" s="32"/>
      <c r="S1353" s="32"/>
      <c r="T1353" s="32"/>
      <c r="U1353" s="32"/>
      <c r="V1353" s="32"/>
      <c r="W1353" s="32"/>
      <c r="X1353" s="32"/>
      <c r="Y1353" s="32"/>
      <c r="Z1353" s="32"/>
      <c r="AA1353" s="32"/>
      <c r="AB1353" s="32"/>
    </row>
    <row r="1354" spans="1:28" ht="13" x14ac:dyDescent="0.15">
      <c r="A1354" s="32"/>
      <c r="B1354" s="32"/>
      <c r="C1354" s="32"/>
      <c r="D1354" s="32"/>
      <c r="E1354" s="32"/>
      <c r="F1354" s="32"/>
      <c r="G1354" s="32"/>
      <c r="H1354" s="32"/>
      <c r="I1354" s="32"/>
      <c r="J1354" s="32"/>
      <c r="K1354" s="32"/>
      <c r="L1354" s="32"/>
      <c r="M1354" s="23"/>
      <c r="N1354" s="32"/>
      <c r="O1354" s="32"/>
      <c r="P1354" s="32"/>
      <c r="Q1354" s="32"/>
      <c r="R1354" s="32"/>
      <c r="S1354" s="32"/>
      <c r="T1354" s="32"/>
      <c r="U1354" s="32"/>
      <c r="V1354" s="32"/>
      <c r="W1354" s="32"/>
      <c r="X1354" s="32"/>
      <c r="Y1354" s="32"/>
      <c r="Z1354" s="32"/>
      <c r="AA1354" s="32"/>
      <c r="AB1354" s="32"/>
    </row>
    <row r="1355" spans="1:28" ht="13" x14ac:dyDescent="0.15">
      <c r="A1355" s="32"/>
      <c r="B1355" s="32"/>
      <c r="C1355" s="32"/>
      <c r="D1355" s="32"/>
      <c r="E1355" s="32"/>
      <c r="F1355" s="32"/>
      <c r="G1355" s="32"/>
      <c r="H1355" s="32"/>
      <c r="I1355" s="32"/>
      <c r="J1355" s="32"/>
      <c r="K1355" s="32"/>
      <c r="L1355" s="32"/>
      <c r="M1355" s="23"/>
      <c r="N1355" s="32"/>
      <c r="O1355" s="32"/>
      <c r="P1355" s="32"/>
      <c r="Q1355" s="32"/>
      <c r="R1355" s="32"/>
      <c r="S1355" s="32"/>
      <c r="T1355" s="32"/>
      <c r="U1355" s="32"/>
      <c r="V1355" s="32"/>
      <c r="W1355" s="32"/>
      <c r="X1355" s="32"/>
      <c r="Y1355" s="32"/>
      <c r="Z1355" s="32"/>
      <c r="AA1355" s="32"/>
      <c r="AB1355" s="32"/>
    </row>
    <row r="1356" spans="1:28" ht="13" x14ac:dyDescent="0.15">
      <c r="A1356" s="32"/>
      <c r="B1356" s="32"/>
      <c r="C1356" s="32"/>
      <c r="D1356" s="32"/>
      <c r="E1356" s="32"/>
      <c r="F1356" s="32"/>
      <c r="G1356" s="32"/>
      <c r="H1356" s="32"/>
      <c r="I1356" s="32"/>
      <c r="J1356" s="32"/>
      <c r="K1356" s="32"/>
      <c r="L1356" s="32"/>
      <c r="M1356" s="23"/>
      <c r="N1356" s="32"/>
      <c r="O1356" s="32"/>
      <c r="P1356" s="32"/>
      <c r="Q1356" s="32"/>
      <c r="R1356" s="32"/>
      <c r="S1356" s="32"/>
      <c r="T1356" s="32"/>
      <c r="U1356" s="32"/>
      <c r="V1356" s="32"/>
      <c r="W1356" s="32"/>
      <c r="X1356" s="32"/>
      <c r="Y1356" s="32"/>
      <c r="Z1356" s="32"/>
      <c r="AA1356" s="32"/>
      <c r="AB1356" s="32"/>
    </row>
    <row r="1357" spans="1:28" ht="13" x14ac:dyDescent="0.15">
      <c r="A1357" s="32"/>
      <c r="B1357" s="32"/>
      <c r="C1357" s="32"/>
      <c r="D1357" s="32"/>
      <c r="E1357" s="32"/>
      <c r="F1357" s="32"/>
      <c r="G1357" s="32"/>
      <c r="H1357" s="32"/>
      <c r="I1357" s="32"/>
      <c r="J1357" s="32"/>
      <c r="K1357" s="32"/>
      <c r="L1357" s="32"/>
      <c r="M1357" s="23"/>
      <c r="N1357" s="32"/>
      <c r="O1357" s="32"/>
      <c r="P1357" s="32"/>
      <c r="Q1357" s="32"/>
      <c r="R1357" s="32"/>
      <c r="S1357" s="32"/>
      <c r="T1357" s="32"/>
      <c r="U1357" s="32"/>
      <c r="V1357" s="32"/>
      <c r="W1357" s="32"/>
      <c r="X1357" s="32"/>
      <c r="Y1357" s="32"/>
      <c r="Z1357" s="32"/>
      <c r="AA1357" s="32"/>
      <c r="AB1357" s="32"/>
    </row>
    <row r="1358" spans="1:28" ht="13" x14ac:dyDescent="0.15">
      <c r="A1358" s="32"/>
      <c r="B1358" s="32"/>
      <c r="C1358" s="32"/>
      <c r="D1358" s="32"/>
      <c r="E1358" s="32"/>
      <c r="F1358" s="32"/>
      <c r="G1358" s="32"/>
      <c r="H1358" s="32"/>
      <c r="I1358" s="32"/>
      <c r="J1358" s="32"/>
      <c r="K1358" s="32"/>
      <c r="L1358" s="32"/>
      <c r="M1358" s="23"/>
      <c r="N1358" s="32"/>
      <c r="O1358" s="32"/>
      <c r="P1358" s="32"/>
      <c r="Q1358" s="32"/>
      <c r="R1358" s="32"/>
      <c r="S1358" s="32"/>
      <c r="T1358" s="32"/>
      <c r="U1358" s="32"/>
      <c r="V1358" s="32"/>
      <c r="W1358" s="32"/>
      <c r="X1358" s="32"/>
      <c r="Y1358" s="32"/>
      <c r="Z1358" s="32"/>
      <c r="AA1358" s="32"/>
      <c r="AB1358" s="32"/>
    </row>
    <row r="1359" spans="1:28" ht="13" x14ac:dyDescent="0.15">
      <c r="A1359" s="32"/>
      <c r="B1359" s="32"/>
      <c r="C1359" s="32"/>
      <c r="D1359" s="32"/>
      <c r="E1359" s="32"/>
      <c r="F1359" s="32"/>
      <c r="G1359" s="32"/>
      <c r="H1359" s="32"/>
      <c r="I1359" s="32"/>
      <c r="J1359" s="32"/>
      <c r="K1359" s="32"/>
      <c r="L1359" s="32"/>
      <c r="M1359" s="23"/>
      <c r="N1359" s="32"/>
      <c r="O1359" s="32"/>
      <c r="P1359" s="32"/>
      <c r="Q1359" s="32"/>
      <c r="R1359" s="32"/>
      <c r="S1359" s="32"/>
      <c r="T1359" s="32"/>
      <c r="U1359" s="32"/>
      <c r="V1359" s="32"/>
      <c r="W1359" s="32"/>
      <c r="X1359" s="32"/>
      <c r="Y1359" s="32"/>
      <c r="Z1359" s="32"/>
      <c r="AA1359" s="32"/>
      <c r="AB1359" s="32"/>
    </row>
    <row r="1360" spans="1:28" ht="13" x14ac:dyDescent="0.15">
      <c r="A1360" s="32"/>
      <c r="B1360" s="32"/>
      <c r="C1360" s="32"/>
      <c r="D1360" s="32"/>
      <c r="E1360" s="32"/>
      <c r="F1360" s="32"/>
      <c r="G1360" s="32"/>
      <c r="H1360" s="32"/>
      <c r="I1360" s="32"/>
      <c r="J1360" s="32"/>
      <c r="K1360" s="32"/>
      <c r="L1360" s="32"/>
      <c r="M1360" s="23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  <c r="AA1360" s="32"/>
      <c r="AB1360" s="32"/>
    </row>
    <row r="1361" spans="1:28" ht="13" x14ac:dyDescent="0.15">
      <c r="A1361" s="32"/>
      <c r="B1361" s="32"/>
      <c r="C1361" s="32"/>
      <c r="D1361" s="32"/>
      <c r="E1361" s="32"/>
      <c r="F1361" s="32"/>
      <c r="G1361" s="32"/>
      <c r="H1361" s="32"/>
      <c r="I1361" s="32"/>
      <c r="J1361" s="32"/>
      <c r="K1361" s="32"/>
      <c r="L1361" s="32"/>
      <c r="M1361" s="23"/>
      <c r="N1361" s="32"/>
      <c r="O1361" s="32"/>
      <c r="P1361" s="32"/>
      <c r="Q1361" s="32"/>
      <c r="R1361" s="32"/>
      <c r="S1361" s="32"/>
      <c r="T1361" s="32"/>
      <c r="U1361" s="32"/>
      <c r="V1361" s="32"/>
      <c r="W1361" s="32"/>
      <c r="X1361" s="32"/>
      <c r="Y1361" s="32"/>
      <c r="Z1361" s="32"/>
      <c r="AA1361" s="32"/>
      <c r="AB1361" s="32"/>
    </row>
    <row r="1362" spans="1:28" ht="13" x14ac:dyDescent="0.15">
      <c r="A1362" s="32"/>
      <c r="B1362" s="32"/>
      <c r="C1362" s="32"/>
      <c r="D1362" s="32"/>
      <c r="E1362" s="32"/>
      <c r="F1362" s="32"/>
      <c r="G1362" s="32"/>
      <c r="H1362" s="32"/>
      <c r="I1362" s="32"/>
      <c r="J1362" s="32"/>
      <c r="K1362" s="32"/>
      <c r="L1362" s="32"/>
      <c r="M1362" s="23"/>
      <c r="N1362" s="32"/>
      <c r="O1362" s="32"/>
      <c r="P1362" s="32"/>
      <c r="Q1362" s="32"/>
      <c r="R1362" s="32"/>
      <c r="S1362" s="32"/>
      <c r="T1362" s="32"/>
      <c r="U1362" s="32"/>
      <c r="V1362" s="32"/>
      <c r="W1362" s="32"/>
      <c r="X1362" s="32"/>
      <c r="Y1362" s="32"/>
      <c r="Z1362" s="32"/>
      <c r="AA1362" s="32"/>
      <c r="AB1362" s="32"/>
    </row>
    <row r="1363" spans="1:28" ht="13" x14ac:dyDescent="0.15">
      <c r="A1363" s="32"/>
      <c r="B1363" s="32"/>
      <c r="C1363" s="32"/>
      <c r="D1363" s="32"/>
      <c r="E1363" s="32"/>
      <c r="F1363" s="32"/>
      <c r="G1363" s="32"/>
      <c r="H1363" s="32"/>
      <c r="I1363" s="32"/>
      <c r="J1363" s="32"/>
      <c r="K1363" s="32"/>
      <c r="L1363" s="32"/>
      <c r="M1363" s="23"/>
      <c r="N1363" s="32"/>
      <c r="O1363" s="32"/>
      <c r="P1363" s="32"/>
      <c r="Q1363" s="32"/>
      <c r="R1363" s="32"/>
      <c r="S1363" s="32"/>
      <c r="T1363" s="32"/>
      <c r="U1363" s="32"/>
      <c r="V1363" s="32"/>
      <c r="W1363" s="32"/>
      <c r="X1363" s="32"/>
      <c r="Y1363" s="32"/>
      <c r="Z1363" s="32"/>
      <c r="AA1363" s="32"/>
      <c r="AB1363" s="32"/>
    </row>
    <row r="1364" spans="1:28" ht="13" x14ac:dyDescent="0.15">
      <c r="A1364" s="32"/>
      <c r="B1364" s="32"/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  <c r="M1364" s="23"/>
      <c r="N1364" s="32"/>
      <c r="O1364" s="32"/>
      <c r="P1364" s="32"/>
      <c r="Q1364" s="32"/>
      <c r="R1364" s="32"/>
      <c r="S1364" s="32"/>
      <c r="T1364" s="32"/>
      <c r="U1364" s="32"/>
      <c r="V1364" s="32"/>
      <c r="W1364" s="32"/>
      <c r="X1364" s="32"/>
      <c r="Y1364" s="32"/>
      <c r="Z1364" s="32"/>
      <c r="AA1364" s="32"/>
      <c r="AB1364" s="32"/>
    </row>
    <row r="1365" spans="1:28" ht="13" x14ac:dyDescent="0.15">
      <c r="A1365" s="32"/>
      <c r="B1365" s="32"/>
      <c r="C1365" s="32"/>
      <c r="D1365" s="32"/>
      <c r="E1365" s="32"/>
      <c r="F1365" s="32"/>
      <c r="G1365" s="32"/>
      <c r="H1365" s="32"/>
      <c r="I1365" s="32"/>
      <c r="J1365" s="32"/>
      <c r="K1365" s="32"/>
      <c r="L1365" s="32"/>
      <c r="M1365" s="23"/>
      <c r="N1365" s="32"/>
      <c r="O1365" s="32"/>
      <c r="P1365" s="32"/>
      <c r="Q1365" s="32"/>
      <c r="R1365" s="32"/>
      <c r="S1365" s="32"/>
      <c r="T1365" s="32"/>
      <c r="U1365" s="32"/>
      <c r="V1365" s="32"/>
      <c r="W1365" s="32"/>
      <c r="X1365" s="32"/>
      <c r="Y1365" s="32"/>
      <c r="Z1365" s="32"/>
      <c r="AA1365" s="32"/>
      <c r="AB1365" s="32"/>
    </row>
    <row r="1366" spans="1:28" ht="13" x14ac:dyDescent="0.15">
      <c r="A1366" s="32"/>
      <c r="B1366" s="32"/>
      <c r="C1366" s="32"/>
      <c r="D1366" s="32"/>
      <c r="E1366" s="32"/>
      <c r="F1366" s="32"/>
      <c r="G1366" s="32"/>
      <c r="H1366" s="32"/>
      <c r="I1366" s="32"/>
      <c r="J1366" s="32"/>
      <c r="K1366" s="32"/>
      <c r="L1366" s="32"/>
      <c r="M1366" s="23"/>
      <c r="N1366" s="32"/>
      <c r="O1366" s="32"/>
      <c r="P1366" s="32"/>
      <c r="Q1366" s="32"/>
      <c r="R1366" s="32"/>
      <c r="S1366" s="32"/>
      <c r="T1366" s="32"/>
      <c r="U1366" s="32"/>
      <c r="V1366" s="32"/>
      <c r="W1366" s="32"/>
      <c r="X1366" s="32"/>
      <c r="Y1366" s="32"/>
      <c r="Z1366" s="32"/>
      <c r="AA1366" s="32"/>
      <c r="AB1366" s="32"/>
    </row>
    <row r="1367" spans="1:28" ht="13" x14ac:dyDescent="0.15">
      <c r="A1367" s="32"/>
      <c r="B1367" s="32"/>
      <c r="C1367" s="32"/>
      <c r="D1367" s="32"/>
      <c r="E1367" s="32"/>
      <c r="F1367" s="32"/>
      <c r="G1367" s="32"/>
      <c r="H1367" s="32"/>
      <c r="I1367" s="32"/>
      <c r="J1367" s="32"/>
      <c r="K1367" s="32"/>
      <c r="L1367" s="32"/>
      <c r="M1367" s="23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32"/>
      <c r="AB1367" s="32"/>
    </row>
    <row r="1368" spans="1:28" ht="13" x14ac:dyDescent="0.15">
      <c r="A1368" s="32"/>
      <c r="B1368" s="32"/>
      <c r="C1368" s="32"/>
      <c r="D1368" s="32"/>
      <c r="E1368" s="32"/>
      <c r="F1368" s="32"/>
      <c r="G1368" s="32"/>
      <c r="H1368" s="32"/>
      <c r="I1368" s="32"/>
      <c r="J1368" s="32"/>
      <c r="K1368" s="32"/>
      <c r="L1368" s="32"/>
      <c r="M1368" s="23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  <c r="Y1368" s="32"/>
      <c r="Z1368" s="32"/>
      <c r="AA1368" s="32"/>
      <c r="AB1368" s="32"/>
    </row>
    <row r="1369" spans="1:28" ht="13" x14ac:dyDescent="0.15">
      <c r="A1369" s="32"/>
      <c r="B1369" s="32"/>
      <c r="C1369" s="32"/>
      <c r="D1369" s="32"/>
      <c r="E1369" s="32"/>
      <c r="F1369" s="32"/>
      <c r="G1369" s="32"/>
      <c r="H1369" s="32"/>
      <c r="I1369" s="32"/>
      <c r="J1369" s="32"/>
      <c r="K1369" s="32"/>
      <c r="L1369" s="32"/>
      <c r="M1369" s="23"/>
      <c r="N1369" s="32"/>
      <c r="O1369" s="32"/>
      <c r="P1369" s="32"/>
      <c r="Q1369" s="32"/>
      <c r="R1369" s="32"/>
      <c r="S1369" s="32"/>
      <c r="T1369" s="32"/>
      <c r="U1369" s="32"/>
      <c r="V1369" s="32"/>
      <c r="W1369" s="32"/>
      <c r="X1369" s="32"/>
      <c r="Y1369" s="32"/>
      <c r="Z1369" s="32"/>
      <c r="AA1369" s="32"/>
      <c r="AB1369" s="32"/>
    </row>
    <row r="1370" spans="1:28" ht="13" x14ac:dyDescent="0.15">
      <c r="A1370" s="32"/>
      <c r="B1370" s="32"/>
      <c r="C1370" s="32"/>
      <c r="D1370" s="32"/>
      <c r="E1370" s="32"/>
      <c r="F1370" s="32"/>
      <c r="G1370" s="32"/>
      <c r="H1370" s="32"/>
      <c r="I1370" s="32"/>
      <c r="J1370" s="32"/>
      <c r="K1370" s="32"/>
      <c r="L1370" s="32"/>
      <c r="M1370" s="23"/>
      <c r="N1370" s="32"/>
      <c r="O1370" s="32"/>
      <c r="P1370" s="32"/>
      <c r="Q1370" s="32"/>
      <c r="R1370" s="32"/>
      <c r="S1370" s="32"/>
      <c r="T1370" s="32"/>
      <c r="U1370" s="32"/>
      <c r="V1370" s="32"/>
      <c r="W1370" s="32"/>
      <c r="X1370" s="32"/>
      <c r="Y1370" s="32"/>
      <c r="Z1370" s="32"/>
      <c r="AA1370" s="32"/>
      <c r="AB1370" s="32"/>
    </row>
    <row r="1371" spans="1:28" ht="13" x14ac:dyDescent="0.15">
      <c r="A1371" s="32"/>
      <c r="B1371" s="32"/>
      <c r="C1371" s="32"/>
      <c r="D1371" s="32"/>
      <c r="E1371" s="32"/>
      <c r="F1371" s="32"/>
      <c r="G1371" s="32"/>
      <c r="H1371" s="32"/>
      <c r="I1371" s="32"/>
      <c r="J1371" s="32"/>
      <c r="K1371" s="32"/>
      <c r="L1371" s="32"/>
      <c r="M1371" s="23"/>
      <c r="N1371" s="32"/>
      <c r="O1371" s="32"/>
      <c r="P1371" s="32"/>
      <c r="Q1371" s="32"/>
      <c r="R1371" s="32"/>
      <c r="S1371" s="32"/>
      <c r="T1371" s="32"/>
      <c r="U1371" s="32"/>
      <c r="V1371" s="32"/>
      <c r="W1371" s="32"/>
      <c r="X1371" s="32"/>
      <c r="Y1371" s="32"/>
      <c r="Z1371" s="32"/>
      <c r="AA1371" s="32"/>
      <c r="AB1371" s="32"/>
    </row>
    <row r="1372" spans="1:28" ht="13" x14ac:dyDescent="0.15">
      <c r="A1372" s="32"/>
      <c r="B1372" s="32"/>
      <c r="C1372" s="32"/>
      <c r="D1372" s="32"/>
      <c r="E1372" s="32"/>
      <c r="F1372" s="32"/>
      <c r="G1372" s="32"/>
      <c r="H1372" s="32"/>
      <c r="I1372" s="32"/>
      <c r="J1372" s="32"/>
      <c r="K1372" s="32"/>
      <c r="L1372" s="32"/>
      <c r="M1372" s="23"/>
      <c r="N1372" s="32"/>
      <c r="O1372" s="32"/>
      <c r="P1372" s="32"/>
      <c r="Q1372" s="32"/>
      <c r="R1372" s="32"/>
      <c r="S1372" s="32"/>
      <c r="T1372" s="32"/>
      <c r="U1372" s="32"/>
      <c r="V1372" s="32"/>
      <c r="W1372" s="32"/>
      <c r="X1372" s="32"/>
      <c r="Y1372" s="32"/>
      <c r="Z1372" s="32"/>
      <c r="AA1372" s="32"/>
      <c r="AB1372" s="32"/>
    </row>
    <row r="1373" spans="1:28" ht="13" x14ac:dyDescent="0.15">
      <c r="A1373" s="32"/>
      <c r="B1373" s="32"/>
      <c r="C1373" s="32"/>
      <c r="D1373" s="32"/>
      <c r="E1373" s="32"/>
      <c r="F1373" s="32"/>
      <c r="G1373" s="32"/>
      <c r="H1373" s="32"/>
      <c r="I1373" s="32"/>
      <c r="J1373" s="32"/>
      <c r="K1373" s="32"/>
      <c r="L1373" s="32"/>
      <c r="M1373" s="23"/>
      <c r="N1373" s="32"/>
      <c r="O1373" s="32"/>
      <c r="P1373" s="32"/>
      <c r="Q1373" s="32"/>
      <c r="R1373" s="32"/>
      <c r="S1373" s="32"/>
      <c r="T1373" s="32"/>
      <c r="U1373" s="32"/>
      <c r="V1373" s="32"/>
      <c r="W1373" s="32"/>
      <c r="X1373" s="32"/>
      <c r="Y1373" s="32"/>
      <c r="Z1373" s="32"/>
      <c r="AA1373" s="32"/>
      <c r="AB1373" s="32"/>
    </row>
    <row r="1374" spans="1:28" ht="13" x14ac:dyDescent="0.15">
      <c r="A1374" s="32"/>
      <c r="B1374" s="32"/>
      <c r="C1374" s="32"/>
      <c r="D1374" s="32"/>
      <c r="E1374" s="32"/>
      <c r="F1374" s="32"/>
      <c r="G1374" s="32"/>
      <c r="H1374" s="32"/>
      <c r="I1374" s="32"/>
      <c r="J1374" s="32"/>
      <c r="K1374" s="32"/>
      <c r="L1374" s="32"/>
      <c r="M1374" s="23"/>
      <c r="N1374" s="32"/>
      <c r="O1374" s="32"/>
      <c r="P1374" s="32"/>
      <c r="Q1374" s="32"/>
      <c r="R1374" s="32"/>
      <c r="S1374" s="32"/>
      <c r="T1374" s="32"/>
      <c r="U1374" s="32"/>
      <c r="V1374" s="32"/>
      <c r="W1374" s="32"/>
      <c r="X1374" s="32"/>
      <c r="Y1374" s="32"/>
      <c r="Z1374" s="32"/>
      <c r="AA1374" s="32"/>
      <c r="AB1374" s="32"/>
    </row>
    <row r="1375" spans="1:28" ht="13" x14ac:dyDescent="0.15">
      <c r="A1375" s="32"/>
      <c r="B1375" s="32"/>
      <c r="C1375" s="32"/>
      <c r="D1375" s="32"/>
      <c r="E1375" s="32"/>
      <c r="F1375" s="32"/>
      <c r="G1375" s="32"/>
      <c r="H1375" s="32"/>
      <c r="I1375" s="32"/>
      <c r="J1375" s="32"/>
      <c r="K1375" s="32"/>
      <c r="L1375" s="32"/>
      <c r="M1375" s="23"/>
      <c r="N1375" s="32"/>
      <c r="O1375" s="32"/>
      <c r="P1375" s="32"/>
      <c r="Q1375" s="32"/>
      <c r="R1375" s="32"/>
      <c r="S1375" s="32"/>
      <c r="T1375" s="32"/>
      <c r="U1375" s="32"/>
      <c r="V1375" s="32"/>
      <c r="W1375" s="32"/>
      <c r="X1375" s="32"/>
      <c r="Y1375" s="32"/>
      <c r="Z1375" s="32"/>
      <c r="AA1375" s="32"/>
      <c r="AB1375" s="32"/>
    </row>
    <row r="1376" spans="1:28" ht="13" x14ac:dyDescent="0.15">
      <c r="A1376" s="32"/>
      <c r="B1376" s="32"/>
      <c r="C1376" s="32"/>
      <c r="D1376" s="32"/>
      <c r="E1376" s="32"/>
      <c r="F1376" s="32"/>
      <c r="G1376" s="32"/>
      <c r="H1376" s="32"/>
      <c r="I1376" s="32"/>
      <c r="J1376" s="32"/>
      <c r="K1376" s="32"/>
      <c r="L1376" s="32"/>
      <c r="M1376" s="23"/>
      <c r="N1376" s="32"/>
      <c r="O1376" s="32"/>
      <c r="P1376" s="32"/>
      <c r="Q1376" s="32"/>
      <c r="R1376" s="32"/>
      <c r="S1376" s="32"/>
      <c r="T1376" s="32"/>
      <c r="U1376" s="32"/>
      <c r="V1376" s="32"/>
      <c r="W1376" s="32"/>
      <c r="X1376" s="32"/>
      <c r="Y1376" s="32"/>
      <c r="Z1376" s="32"/>
      <c r="AA1376" s="32"/>
      <c r="AB1376" s="32"/>
    </row>
    <row r="1377" spans="1:28" ht="13" x14ac:dyDescent="0.15">
      <c r="A1377" s="32"/>
      <c r="B1377" s="32"/>
      <c r="C1377" s="32"/>
      <c r="D1377" s="32"/>
      <c r="E1377" s="32"/>
      <c r="F1377" s="32"/>
      <c r="G1377" s="32"/>
      <c r="H1377" s="32"/>
      <c r="I1377" s="32"/>
      <c r="J1377" s="32"/>
      <c r="K1377" s="32"/>
      <c r="L1377" s="32"/>
      <c r="M1377" s="23"/>
      <c r="N1377" s="32"/>
      <c r="O1377" s="32"/>
      <c r="P1377" s="32"/>
      <c r="Q1377" s="32"/>
      <c r="R1377" s="32"/>
      <c r="S1377" s="32"/>
      <c r="T1377" s="32"/>
      <c r="U1377" s="32"/>
      <c r="V1377" s="32"/>
      <c r="W1377" s="32"/>
      <c r="X1377" s="32"/>
      <c r="Y1377" s="32"/>
      <c r="Z1377" s="32"/>
      <c r="AA1377" s="32"/>
      <c r="AB1377" s="32"/>
    </row>
    <row r="1378" spans="1:28" ht="13" x14ac:dyDescent="0.15">
      <c r="A1378" s="32"/>
      <c r="B1378" s="32"/>
      <c r="C1378" s="32"/>
      <c r="D1378" s="32"/>
      <c r="E1378" s="32"/>
      <c r="F1378" s="32"/>
      <c r="G1378" s="32"/>
      <c r="H1378" s="32"/>
      <c r="I1378" s="32"/>
      <c r="J1378" s="32"/>
      <c r="K1378" s="32"/>
      <c r="L1378" s="32"/>
      <c r="M1378" s="23"/>
      <c r="N1378" s="32"/>
      <c r="O1378" s="32"/>
      <c r="P1378" s="32"/>
      <c r="Q1378" s="32"/>
      <c r="R1378" s="32"/>
      <c r="S1378" s="32"/>
      <c r="T1378" s="32"/>
      <c r="U1378" s="32"/>
      <c r="V1378" s="32"/>
      <c r="W1378" s="32"/>
      <c r="X1378" s="32"/>
      <c r="Y1378" s="32"/>
      <c r="Z1378" s="32"/>
      <c r="AA1378" s="32"/>
      <c r="AB1378" s="32"/>
    </row>
    <row r="1379" spans="1:28" ht="13" x14ac:dyDescent="0.15">
      <c r="A1379" s="32"/>
      <c r="B1379" s="32"/>
      <c r="C1379" s="32"/>
      <c r="D1379" s="32"/>
      <c r="E1379" s="32"/>
      <c r="F1379" s="32"/>
      <c r="G1379" s="32"/>
      <c r="H1379" s="32"/>
      <c r="I1379" s="32"/>
      <c r="J1379" s="32"/>
      <c r="K1379" s="32"/>
      <c r="L1379" s="32"/>
      <c r="M1379" s="23"/>
      <c r="N1379" s="32"/>
      <c r="O1379" s="32"/>
      <c r="P1379" s="32"/>
      <c r="Q1379" s="32"/>
      <c r="R1379" s="32"/>
      <c r="S1379" s="32"/>
      <c r="T1379" s="32"/>
      <c r="U1379" s="32"/>
      <c r="V1379" s="32"/>
      <c r="W1379" s="32"/>
      <c r="X1379" s="32"/>
      <c r="Y1379" s="32"/>
      <c r="Z1379" s="32"/>
      <c r="AA1379" s="32"/>
      <c r="AB1379" s="32"/>
    </row>
    <row r="1380" spans="1:28" ht="13" x14ac:dyDescent="0.15">
      <c r="A1380" s="32"/>
      <c r="B1380" s="32"/>
      <c r="C1380" s="32"/>
      <c r="D1380" s="32"/>
      <c r="E1380" s="32"/>
      <c r="F1380" s="32"/>
      <c r="G1380" s="32"/>
      <c r="H1380" s="32"/>
      <c r="I1380" s="32"/>
      <c r="J1380" s="32"/>
      <c r="K1380" s="32"/>
      <c r="L1380" s="32"/>
      <c r="M1380" s="23"/>
      <c r="N1380" s="32"/>
      <c r="O1380" s="32"/>
      <c r="P1380" s="32"/>
      <c r="Q1380" s="32"/>
      <c r="R1380" s="32"/>
      <c r="S1380" s="32"/>
      <c r="T1380" s="32"/>
      <c r="U1380" s="32"/>
      <c r="V1380" s="32"/>
      <c r="W1380" s="32"/>
      <c r="X1380" s="32"/>
      <c r="Y1380" s="32"/>
      <c r="Z1380" s="32"/>
      <c r="AA1380" s="32"/>
      <c r="AB1380" s="32"/>
    </row>
    <row r="1381" spans="1:28" ht="13" x14ac:dyDescent="0.15">
      <c r="A1381" s="32"/>
      <c r="B1381" s="32"/>
      <c r="C1381" s="32"/>
      <c r="D1381" s="32"/>
      <c r="E1381" s="32"/>
      <c r="F1381" s="32"/>
      <c r="G1381" s="32"/>
      <c r="H1381" s="32"/>
      <c r="I1381" s="32"/>
      <c r="J1381" s="32"/>
      <c r="K1381" s="32"/>
      <c r="L1381" s="32"/>
      <c r="M1381" s="23"/>
      <c r="N1381" s="32"/>
      <c r="O1381" s="32"/>
      <c r="P1381" s="32"/>
      <c r="Q1381" s="32"/>
      <c r="R1381" s="32"/>
      <c r="S1381" s="32"/>
      <c r="T1381" s="32"/>
      <c r="U1381" s="32"/>
      <c r="V1381" s="32"/>
      <c r="W1381" s="32"/>
      <c r="X1381" s="32"/>
      <c r="Y1381" s="32"/>
      <c r="Z1381" s="32"/>
      <c r="AA1381" s="32"/>
      <c r="AB1381" s="32"/>
    </row>
    <row r="1382" spans="1:28" ht="13" x14ac:dyDescent="0.15">
      <c r="A1382" s="32"/>
      <c r="B1382" s="32"/>
      <c r="C1382" s="32"/>
      <c r="D1382" s="32"/>
      <c r="E1382" s="32"/>
      <c r="F1382" s="32"/>
      <c r="G1382" s="32"/>
      <c r="H1382" s="32"/>
      <c r="I1382" s="32"/>
      <c r="J1382" s="32"/>
      <c r="K1382" s="32"/>
      <c r="L1382" s="32"/>
      <c r="M1382" s="23"/>
      <c r="N1382" s="32"/>
      <c r="O1382" s="32"/>
      <c r="P1382" s="32"/>
      <c r="Q1382" s="32"/>
      <c r="R1382" s="32"/>
      <c r="S1382" s="32"/>
      <c r="T1382" s="32"/>
      <c r="U1382" s="32"/>
      <c r="V1382" s="32"/>
      <c r="W1382" s="32"/>
      <c r="X1382" s="32"/>
      <c r="Y1382" s="32"/>
      <c r="Z1382" s="32"/>
      <c r="AA1382" s="32"/>
      <c r="AB1382" s="32"/>
    </row>
    <row r="1383" spans="1:28" ht="13" x14ac:dyDescent="0.15">
      <c r="A1383" s="32"/>
      <c r="B1383" s="32"/>
      <c r="C1383" s="32"/>
      <c r="D1383" s="32"/>
      <c r="E1383" s="32"/>
      <c r="F1383" s="32"/>
      <c r="G1383" s="32"/>
      <c r="H1383" s="32"/>
      <c r="I1383" s="32"/>
      <c r="J1383" s="32"/>
      <c r="K1383" s="32"/>
      <c r="L1383" s="32"/>
      <c r="M1383" s="23"/>
      <c r="N1383" s="32"/>
      <c r="O1383" s="32"/>
      <c r="P1383" s="32"/>
      <c r="Q1383" s="32"/>
      <c r="R1383" s="32"/>
      <c r="S1383" s="32"/>
      <c r="T1383" s="32"/>
      <c r="U1383" s="32"/>
      <c r="V1383" s="32"/>
      <c r="W1383" s="32"/>
      <c r="X1383" s="32"/>
      <c r="Y1383" s="32"/>
      <c r="Z1383" s="32"/>
      <c r="AA1383" s="32"/>
      <c r="AB1383" s="32"/>
    </row>
    <row r="1384" spans="1:28" ht="13" x14ac:dyDescent="0.15">
      <c r="A1384" s="32"/>
      <c r="B1384" s="32"/>
      <c r="C1384" s="32"/>
      <c r="D1384" s="32"/>
      <c r="E1384" s="32"/>
      <c r="F1384" s="32"/>
      <c r="G1384" s="32"/>
      <c r="H1384" s="32"/>
      <c r="I1384" s="32"/>
      <c r="J1384" s="32"/>
      <c r="K1384" s="32"/>
      <c r="L1384" s="32"/>
      <c r="M1384" s="23"/>
      <c r="N1384" s="32"/>
      <c r="O1384" s="32"/>
      <c r="P1384" s="32"/>
      <c r="Q1384" s="32"/>
      <c r="R1384" s="32"/>
      <c r="S1384" s="32"/>
      <c r="T1384" s="32"/>
      <c r="U1384" s="32"/>
      <c r="V1384" s="32"/>
      <c r="W1384" s="32"/>
      <c r="X1384" s="32"/>
      <c r="Y1384" s="32"/>
      <c r="Z1384" s="32"/>
      <c r="AA1384" s="32"/>
      <c r="AB1384" s="32"/>
    </row>
    <row r="1385" spans="1:28" ht="13" x14ac:dyDescent="0.15">
      <c r="A1385" s="32"/>
      <c r="B1385" s="32"/>
      <c r="C1385" s="32"/>
      <c r="D1385" s="32"/>
      <c r="E1385" s="32"/>
      <c r="F1385" s="32"/>
      <c r="G1385" s="32"/>
      <c r="H1385" s="32"/>
      <c r="I1385" s="32"/>
      <c r="J1385" s="32"/>
      <c r="K1385" s="32"/>
      <c r="L1385" s="32"/>
      <c r="M1385" s="23"/>
      <c r="N1385" s="32"/>
      <c r="O1385" s="32"/>
      <c r="P1385" s="32"/>
      <c r="Q1385" s="32"/>
      <c r="R1385" s="32"/>
      <c r="S1385" s="32"/>
      <c r="T1385" s="32"/>
      <c r="U1385" s="32"/>
      <c r="V1385" s="32"/>
      <c r="W1385" s="32"/>
      <c r="X1385" s="32"/>
      <c r="Y1385" s="32"/>
      <c r="Z1385" s="32"/>
      <c r="AA1385" s="32"/>
      <c r="AB1385" s="32"/>
    </row>
    <row r="1386" spans="1:28" ht="13" x14ac:dyDescent="0.15">
      <c r="A1386" s="32"/>
      <c r="B1386" s="32"/>
      <c r="C1386" s="32"/>
      <c r="D1386" s="32"/>
      <c r="E1386" s="32"/>
      <c r="F1386" s="32"/>
      <c r="G1386" s="32"/>
      <c r="H1386" s="32"/>
      <c r="I1386" s="32"/>
      <c r="J1386" s="32"/>
      <c r="K1386" s="32"/>
      <c r="L1386" s="32"/>
      <c r="M1386" s="23"/>
      <c r="N1386" s="32"/>
      <c r="O1386" s="32"/>
      <c r="P1386" s="32"/>
      <c r="Q1386" s="32"/>
      <c r="R1386" s="32"/>
      <c r="S1386" s="32"/>
      <c r="T1386" s="32"/>
      <c r="U1386" s="32"/>
      <c r="V1386" s="32"/>
      <c r="W1386" s="32"/>
      <c r="X1386" s="32"/>
      <c r="Y1386" s="32"/>
      <c r="Z1386" s="32"/>
      <c r="AA1386" s="32"/>
      <c r="AB1386" s="32"/>
    </row>
    <row r="1387" spans="1:28" ht="13" x14ac:dyDescent="0.15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23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  <c r="Z1387" s="32"/>
      <c r="AA1387" s="32"/>
      <c r="AB1387" s="32"/>
    </row>
    <row r="1388" spans="1:28" ht="13" x14ac:dyDescent="0.15">
      <c r="A1388" s="32"/>
      <c r="B1388" s="32"/>
      <c r="C1388" s="32"/>
      <c r="D1388" s="32"/>
      <c r="E1388" s="32"/>
      <c r="F1388" s="32"/>
      <c r="G1388" s="32"/>
      <c r="H1388" s="32"/>
      <c r="I1388" s="32"/>
      <c r="J1388" s="32"/>
      <c r="K1388" s="32"/>
      <c r="L1388" s="32"/>
      <c r="M1388" s="23"/>
      <c r="N1388" s="32"/>
      <c r="O1388" s="32"/>
      <c r="P1388" s="32"/>
      <c r="Q1388" s="32"/>
      <c r="R1388" s="32"/>
      <c r="S1388" s="32"/>
      <c r="T1388" s="32"/>
      <c r="U1388" s="32"/>
      <c r="V1388" s="32"/>
      <c r="W1388" s="32"/>
      <c r="X1388" s="32"/>
      <c r="Y1388" s="32"/>
      <c r="Z1388" s="32"/>
      <c r="AA1388" s="32"/>
      <c r="AB1388" s="32"/>
    </row>
    <row r="1389" spans="1:28" ht="13" x14ac:dyDescent="0.15">
      <c r="A1389" s="32"/>
      <c r="B1389" s="32"/>
      <c r="C1389" s="32"/>
      <c r="D1389" s="32"/>
      <c r="E1389" s="32"/>
      <c r="F1389" s="32"/>
      <c r="G1389" s="32"/>
      <c r="H1389" s="32"/>
      <c r="I1389" s="32"/>
      <c r="J1389" s="32"/>
      <c r="K1389" s="32"/>
      <c r="L1389" s="32"/>
      <c r="M1389" s="23"/>
      <c r="N1389" s="32"/>
      <c r="O1389" s="32"/>
      <c r="P1389" s="32"/>
      <c r="Q1389" s="32"/>
      <c r="R1389" s="32"/>
      <c r="S1389" s="32"/>
      <c r="T1389" s="32"/>
      <c r="U1389" s="32"/>
      <c r="V1389" s="32"/>
      <c r="W1389" s="32"/>
      <c r="X1389" s="32"/>
      <c r="Y1389" s="32"/>
      <c r="Z1389" s="32"/>
      <c r="AA1389" s="32"/>
      <c r="AB1389" s="32"/>
    </row>
    <row r="1390" spans="1:28" ht="13" x14ac:dyDescent="0.15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23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</row>
    <row r="1391" spans="1:28" ht="13" x14ac:dyDescent="0.15">
      <c r="A1391" s="32"/>
      <c r="B1391" s="32"/>
      <c r="C1391" s="32"/>
      <c r="D1391" s="32"/>
      <c r="E1391" s="32"/>
      <c r="F1391" s="32"/>
      <c r="G1391" s="32"/>
      <c r="H1391" s="32"/>
      <c r="I1391" s="32"/>
      <c r="J1391" s="32"/>
      <c r="K1391" s="32"/>
      <c r="L1391" s="32"/>
      <c r="M1391" s="23"/>
      <c r="N1391" s="32"/>
      <c r="O1391" s="32"/>
      <c r="P1391" s="32"/>
      <c r="Q1391" s="32"/>
      <c r="R1391" s="32"/>
      <c r="S1391" s="32"/>
      <c r="T1391" s="32"/>
      <c r="U1391" s="32"/>
      <c r="V1391" s="32"/>
      <c r="W1391" s="32"/>
      <c r="X1391" s="32"/>
      <c r="Y1391" s="32"/>
      <c r="Z1391" s="32"/>
      <c r="AA1391" s="32"/>
      <c r="AB1391" s="32"/>
    </row>
    <row r="1392" spans="1:28" ht="13" x14ac:dyDescent="0.15">
      <c r="A1392" s="32"/>
      <c r="B1392" s="32"/>
      <c r="C1392" s="32"/>
      <c r="D1392" s="32"/>
      <c r="E1392" s="32"/>
      <c r="F1392" s="32"/>
      <c r="G1392" s="32"/>
      <c r="H1392" s="32"/>
      <c r="I1392" s="32"/>
      <c r="J1392" s="32"/>
      <c r="K1392" s="32"/>
      <c r="L1392" s="32"/>
      <c r="M1392" s="23"/>
      <c r="N1392" s="32"/>
      <c r="O1392" s="32"/>
      <c r="P1392" s="32"/>
      <c r="Q1392" s="32"/>
      <c r="R1392" s="32"/>
      <c r="S1392" s="32"/>
      <c r="T1392" s="32"/>
      <c r="U1392" s="32"/>
      <c r="V1392" s="32"/>
      <c r="W1392" s="32"/>
      <c r="X1392" s="32"/>
      <c r="Y1392" s="32"/>
      <c r="Z1392" s="32"/>
      <c r="AA1392" s="32"/>
      <c r="AB1392" s="32"/>
    </row>
    <row r="1393" spans="1:28" ht="13" x14ac:dyDescent="0.15">
      <c r="A1393" s="32"/>
      <c r="B1393" s="32"/>
      <c r="C1393" s="32"/>
      <c r="D1393" s="32"/>
      <c r="E1393" s="32"/>
      <c r="F1393" s="32"/>
      <c r="G1393" s="32"/>
      <c r="H1393" s="32"/>
      <c r="I1393" s="32"/>
      <c r="J1393" s="32"/>
      <c r="K1393" s="32"/>
      <c r="L1393" s="32"/>
      <c r="M1393" s="23"/>
      <c r="N1393" s="32"/>
      <c r="O1393" s="32"/>
      <c r="P1393" s="32"/>
      <c r="Q1393" s="32"/>
      <c r="R1393" s="32"/>
      <c r="S1393" s="32"/>
      <c r="T1393" s="32"/>
      <c r="U1393" s="32"/>
      <c r="V1393" s="32"/>
      <c r="W1393" s="32"/>
      <c r="X1393" s="32"/>
      <c r="Y1393" s="32"/>
      <c r="Z1393" s="32"/>
      <c r="AA1393" s="32"/>
      <c r="AB1393" s="32"/>
    </row>
    <row r="1394" spans="1:28" ht="13" x14ac:dyDescent="0.15">
      <c r="A1394" s="32"/>
      <c r="B1394" s="32"/>
      <c r="C1394" s="32"/>
      <c r="D1394" s="32"/>
      <c r="E1394" s="32"/>
      <c r="F1394" s="32"/>
      <c r="G1394" s="32"/>
      <c r="H1394" s="32"/>
      <c r="I1394" s="32"/>
      <c r="J1394" s="32"/>
      <c r="K1394" s="32"/>
      <c r="L1394" s="32"/>
      <c r="M1394" s="23"/>
      <c r="N1394" s="32"/>
      <c r="O1394" s="32"/>
      <c r="P1394" s="32"/>
      <c r="Q1394" s="32"/>
      <c r="R1394" s="32"/>
      <c r="S1394" s="32"/>
      <c r="T1394" s="32"/>
      <c r="U1394" s="32"/>
      <c r="V1394" s="32"/>
      <c r="W1394" s="32"/>
      <c r="X1394" s="32"/>
      <c r="Y1394" s="32"/>
      <c r="Z1394" s="32"/>
      <c r="AA1394" s="32"/>
      <c r="AB1394" s="32"/>
    </row>
    <row r="1395" spans="1:28" ht="13" x14ac:dyDescent="0.15">
      <c r="A1395" s="32"/>
      <c r="B1395" s="32"/>
      <c r="C1395" s="32"/>
      <c r="D1395" s="32"/>
      <c r="E1395" s="32"/>
      <c r="F1395" s="32"/>
      <c r="G1395" s="32"/>
      <c r="H1395" s="32"/>
      <c r="I1395" s="32"/>
      <c r="J1395" s="32"/>
      <c r="K1395" s="32"/>
      <c r="L1395" s="32"/>
      <c r="M1395" s="23"/>
      <c r="N1395" s="32"/>
      <c r="O1395" s="32"/>
      <c r="P1395" s="32"/>
      <c r="Q1395" s="32"/>
      <c r="R1395" s="32"/>
      <c r="S1395" s="32"/>
      <c r="T1395" s="32"/>
      <c r="U1395" s="32"/>
      <c r="V1395" s="32"/>
      <c r="W1395" s="32"/>
      <c r="X1395" s="32"/>
      <c r="Y1395" s="32"/>
      <c r="Z1395" s="32"/>
      <c r="AA1395" s="32"/>
      <c r="AB1395" s="32"/>
    </row>
    <row r="1396" spans="1:28" ht="13" x14ac:dyDescent="0.15">
      <c r="A1396" s="32"/>
      <c r="B1396" s="32"/>
      <c r="C1396" s="32"/>
      <c r="D1396" s="32"/>
      <c r="E1396" s="32"/>
      <c r="F1396" s="32"/>
      <c r="G1396" s="32"/>
      <c r="H1396" s="32"/>
      <c r="I1396" s="32"/>
      <c r="J1396" s="32"/>
      <c r="K1396" s="32"/>
      <c r="L1396" s="32"/>
      <c r="M1396" s="23"/>
      <c r="N1396" s="32"/>
      <c r="O1396" s="32"/>
      <c r="P1396" s="32"/>
      <c r="Q1396" s="32"/>
      <c r="R1396" s="32"/>
      <c r="S1396" s="32"/>
      <c r="T1396" s="32"/>
      <c r="U1396" s="32"/>
      <c r="V1396" s="32"/>
      <c r="W1396" s="32"/>
      <c r="X1396" s="32"/>
      <c r="Y1396" s="32"/>
      <c r="Z1396" s="32"/>
      <c r="AA1396" s="32"/>
      <c r="AB1396" s="32"/>
    </row>
    <row r="1397" spans="1:28" ht="13" x14ac:dyDescent="0.15">
      <c r="A1397" s="32"/>
      <c r="B1397" s="32"/>
      <c r="C1397" s="32"/>
      <c r="D1397" s="32"/>
      <c r="E1397" s="32"/>
      <c r="F1397" s="32"/>
      <c r="G1397" s="32"/>
      <c r="H1397" s="32"/>
      <c r="I1397" s="32"/>
      <c r="J1397" s="32"/>
      <c r="K1397" s="32"/>
      <c r="L1397" s="32"/>
      <c r="M1397" s="23"/>
      <c r="N1397" s="32"/>
      <c r="O1397" s="32"/>
      <c r="P1397" s="32"/>
      <c r="Q1397" s="32"/>
      <c r="R1397" s="32"/>
      <c r="S1397" s="32"/>
      <c r="T1397" s="32"/>
      <c r="U1397" s="32"/>
      <c r="V1397" s="32"/>
      <c r="W1397" s="32"/>
      <c r="X1397" s="32"/>
      <c r="Y1397" s="32"/>
      <c r="Z1397" s="32"/>
      <c r="AA1397" s="32"/>
      <c r="AB1397" s="32"/>
    </row>
    <row r="1398" spans="1:28" ht="13" x14ac:dyDescent="0.15">
      <c r="A1398" s="32"/>
      <c r="B1398" s="32"/>
      <c r="C1398" s="32"/>
      <c r="D1398" s="32"/>
      <c r="E1398" s="32"/>
      <c r="F1398" s="32"/>
      <c r="G1398" s="32"/>
      <c r="H1398" s="32"/>
      <c r="I1398" s="32"/>
      <c r="J1398" s="32"/>
      <c r="K1398" s="32"/>
      <c r="L1398" s="32"/>
      <c r="M1398" s="23"/>
      <c r="N1398" s="32"/>
      <c r="O1398" s="32"/>
      <c r="P1398" s="32"/>
      <c r="Q1398" s="32"/>
      <c r="R1398" s="32"/>
      <c r="S1398" s="32"/>
      <c r="T1398" s="32"/>
      <c r="U1398" s="32"/>
      <c r="V1398" s="32"/>
      <c r="W1398" s="32"/>
      <c r="X1398" s="32"/>
      <c r="Y1398" s="32"/>
      <c r="Z1398" s="32"/>
      <c r="AA1398" s="32"/>
      <c r="AB1398" s="32"/>
    </row>
    <row r="1399" spans="1:28" ht="13" x14ac:dyDescent="0.15">
      <c r="A1399" s="32"/>
      <c r="B1399" s="32"/>
      <c r="C1399" s="32"/>
      <c r="D1399" s="32"/>
      <c r="E1399" s="32"/>
      <c r="F1399" s="32"/>
      <c r="G1399" s="32"/>
      <c r="H1399" s="32"/>
      <c r="I1399" s="32"/>
      <c r="J1399" s="32"/>
      <c r="K1399" s="32"/>
      <c r="L1399" s="32"/>
      <c r="M1399" s="23"/>
      <c r="N1399" s="32"/>
      <c r="O1399" s="32"/>
      <c r="P1399" s="32"/>
      <c r="Q1399" s="32"/>
      <c r="R1399" s="32"/>
      <c r="S1399" s="32"/>
      <c r="T1399" s="32"/>
      <c r="U1399" s="32"/>
      <c r="V1399" s="32"/>
      <c r="W1399" s="32"/>
      <c r="X1399" s="32"/>
      <c r="Y1399" s="32"/>
      <c r="Z1399" s="32"/>
      <c r="AA1399" s="32"/>
      <c r="AB1399" s="32"/>
    </row>
    <row r="1400" spans="1:28" ht="13" x14ac:dyDescent="0.15">
      <c r="A1400" s="32"/>
      <c r="B1400" s="32"/>
      <c r="C1400" s="32"/>
      <c r="D1400" s="32"/>
      <c r="E1400" s="32"/>
      <c r="F1400" s="32"/>
      <c r="G1400" s="32"/>
      <c r="H1400" s="32"/>
      <c r="I1400" s="32"/>
      <c r="J1400" s="32"/>
      <c r="K1400" s="32"/>
      <c r="L1400" s="32"/>
      <c r="M1400" s="23"/>
      <c r="N1400" s="32"/>
      <c r="O1400" s="32"/>
      <c r="P1400" s="32"/>
      <c r="Q1400" s="32"/>
      <c r="R1400" s="32"/>
      <c r="S1400" s="32"/>
      <c r="T1400" s="32"/>
      <c r="U1400" s="32"/>
      <c r="V1400" s="32"/>
      <c r="W1400" s="32"/>
      <c r="X1400" s="32"/>
      <c r="Y1400" s="32"/>
      <c r="Z1400" s="32"/>
      <c r="AA1400" s="32"/>
      <c r="AB1400" s="32"/>
    </row>
    <row r="1401" spans="1:28" ht="13" x14ac:dyDescent="0.15">
      <c r="A1401" s="32"/>
      <c r="B1401" s="32"/>
      <c r="C1401" s="32"/>
      <c r="D1401" s="32"/>
      <c r="E1401" s="32"/>
      <c r="F1401" s="32"/>
      <c r="G1401" s="32"/>
      <c r="H1401" s="32"/>
      <c r="I1401" s="32"/>
      <c r="J1401" s="32"/>
      <c r="K1401" s="32"/>
      <c r="L1401" s="32"/>
      <c r="M1401" s="23"/>
      <c r="N1401" s="32"/>
      <c r="O1401" s="32"/>
      <c r="P1401" s="32"/>
      <c r="Q1401" s="32"/>
      <c r="R1401" s="32"/>
      <c r="S1401" s="32"/>
      <c r="T1401" s="32"/>
      <c r="U1401" s="32"/>
      <c r="V1401" s="32"/>
      <c r="W1401" s="32"/>
      <c r="X1401" s="32"/>
      <c r="Y1401" s="32"/>
      <c r="Z1401" s="32"/>
      <c r="AA1401" s="32"/>
      <c r="AB1401" s="32"/>
    </row>
    <row r="1402" spans="1:28" ht="13" x14ac:dyDescent="0.15">
      <c r="A1402" s="32"/>
      <c r="B1402" s="32"/>
      <c r="C1402" s="32"/>
      <c r="D1402" s="32"/>
      <c r="E1402" s="32"/>
      <c r="F1402" s="32"/>
      <c r="G1402" s="32"/>
      <c r="H1402" s="32"/>
      <c r="I1402" s="32"/>
      <c r="J1402" s="32"/>
      <c r="K1402" s="32"/>
      <c r="L1402" s="32"/>
      <c r="M1402" s="23"/>
      <c r="N1402" s="32"/>
      <c r="O1402" s="32"/>
      <c r="P1402" s="32"/>
      <c r="Q1402" s="32"/>
      <c r="R1402" s="32"/>
      <c r="S1402" s="32"/>
      <c r="T1402" s="32"/>
      <c r="U1402" s="32"/>
      <c r="V1402" s="32"/>
      <c r="W1402" s="32"/>
      <c r="X1402" s="32"/>
      <c r="Y1402" s="32"/>
      <c r="Z1402" s="32"/>
      <c r="AA1402" s="32"/>
      <c r="AB1402" s="32"/>
    </row>
    <row r="1403" spans="1:28" ht="13" x14ac:dyDescent="0.15">
      <c r="A1403" s="32"/>
      <c r="B1403" s="32"/>
      <c r="C1403" s="32"/>
      <c r="D1403" s="32"/>
      <c r="E1403" s="32"/>
      <c r="F1403" s="32"/>
      <c r="G1403" s="32"/>
      <c r="H1403" s="32"/>
      <c r="I1403" s="32"/>
      <c r="J1403" s="32"/>
      <c r="K1403" s="32"/>
      <c r="L1403" s="32"/>
      <c r="M1403" s="23"/>
      <c r="N1403" s="32"/>
      <c r="O1403" s="32"/>
      <c r="P1403" s="32"/>
      <c r="Q1403" s="32"/>
      <c r="R1403" s="32"/>
      <c r="S1403" s="32"/>
      <c r="T1403" s="32"/>
      <c r="U1403" s="32"/>
      <c r="V1403" s="32"/>
      <c r="W1403" s="32"/>
      <c r="X1403" s="32"/>
      <c r="Y1403" s="32"/>
      <c r="Z1403" s="32"/>
      <c r="AA1403" s="32"/>
      <c r="AB1403" s="32"/>
    </row>
    <row r="1404" spans="1:28" ht="13" x14ac:dyDescent="0.15">
      <c r="A1404" s="32"/>
      <c r="B1404" s="32"/>
      <c r="C1404" s="32"/>
      <c r="D1404" s="32"/>
      <c r="E1404" s="32"/>
      <c r="F1404" s="32"/>
      <c r="G1404" s="32"/>
      <c r="H1404" s="32"/>
      <c r="I1404" s="32"/>
      <c r="J1404" s="32"/>
      <c r="K1404" s="32"/>
      <c r="L1404" s="32"/>
      <c r="M1404" s="23"/>
      <c r="N1404" s="32"/>
      <c r="O1404" s="32"/>
      <c r="P1404" s="32"/>
      <c r="Q1404" s="32"/>
      <c r="R1404" s="32"/>
      <c r="S1404" s="32"/>
      <c r="T1404" s="32"/>
      <c r="U1404" s="32"/>
      <c r="V1404" s="32"/>
      <c r="W1404" s="32"/>
      <c r="X1404" s="32"/>
      <c r="Y1404" s="32"/>
      <c r="Z1404" s="32"/>
      <c r="AA1404" s="32"/>
      <c r="AB1404" s="32"/>
    </row>
    <row r="1405" spans="1:28" ht="13" x14ac:dyDescent="0.15">
      <c r="A1405" s="32"/>
      <c r="B1405" s="32"/>
      <c r="C1405" s="32"/>
      <c r="D1405" s="32"/>
      <c r="E1405" s="32"/>
      <c r="F1405" s="32"/>
      <c r="G1405" s="32"/>
      <c r="H1405" s="32"/>
      <c r="I1405" s="32"/>
      <c r="J1405" s="32"/>
      <c r="K1405" s="32"/>
      <c r="L1405" s="32"/>
      <c r="M1405" s="23"/>
      <c r="N1405" s="32"/>
      <c r="O1405" s="32"/>
      <c r="P1405" s="32"/>
      <c r="Q1405" s="32"/>
      <c r="R1405" s="32"/>
      <c r="S1405" s="32"/>
      <c r="T1405" s="32"/>
      <c r="U1405" s="32"/>
      <c r="V1405" s="32"/>
      <c r="W1405" s="32"/>
      <c r="X1405" s="32"/>
      <c r="Y1405" s="32"/>
      <c r="Z1405" s="32"/>
      <c r="AA1405" s="32"/>
      <c r="AB1405" s="32"/>
    </row>
    <row r="1406" spans="1:28" ht="13" x14ac:dyDescent="0.15">
      <c r="A1406" s="32"/>
      <c r="B1406" s="32"/>
      <c r="C1406" s="32"/>
      <c r="D1406" s="32"/>
      <c r="E1406" s="32"/>
      <c r="F1406" s="32"/>
      <c r="G1406" s="32"/>
      <c r="H1406" s="32"/>
      <c r="I1406" s="32"/>
      <c r="J1406" s="32"/>
      <c r="K1406" s="32"/>
      <c r="L1406" s="32"/>
      <c r="M1406" s="23"/>
      <c r="N1406" s="32"/>
      <c r="O1406" s="32"/>
      <c r="P1406" s="32"/>
      <c r="Q1406" s="32"/>
      <c r="R1406" s="32"/>
      <c r="S1406" s="32"/>
      <c r="T1406" s="32"/>
      <c r="U1406" s="32"/>
      <c r="V1406" s="32"/>
      <c r="W1406" s="32"/>
      <c r="X1406" s="32"/>
      <c r="Y1406" s="32"/>
      <c r="Z1406" s="32"/>
      <c r="AA1406" s="32"/>
      <c r="AB1406" s="32"/>
    </row>
    <row r="1407" spans="1:28" ht="13" x14ac:dyDescent="0.15">
      <c r="A1407" s="32"/>
      <c r="B1407" s="32"/>
      <c r="C1407" s="32"/>
      <c r="D1407" s="32"/>
      <c r="E1407" s="32"/>
      <c r="F1407" s="32"/>
      <c r="G1407" s="32"/>
      <c r="H1407" s="32"/>
      <c r="I1407" s="32"/>
      <c r="J1407" s="32"/>
      <c r="K1407" s="32"/>
      <c r="L1407" s="32"/>
      <c r="M1407" s="23"/>
      <c r="N1407" s="32"/>
      <c r="O1407" s="32"/>
      <c r="P1407" s="32"/>
      <c r="Q1407" s="32"/>
      <c r="R1407" s="32"/>
      <c r="S1407" s="32"/>
      <c r="T1407" s="32"/>
      <c r="U1407" s="32"/>
      <c r="V1407" s="32"/>
      <c r="W1407" s="32"/>
      <c r="X1407" s="32"/>
      <c r="Y1407" s="32"/>
      <c r="Z1407" s="32"/>
      <c r="AA1407" s="32"/>
      <c r="AB1407" s="32"/>
    </row>
    <row r="1408" spans="1:28" ht="13" x14ac:dyDescent="0.15">
      <c r="A1408" s="32"/>
      <c r="B1408" s="32"/>
      <c r="C1408" s="32"/>
      <c r="D1408" s="32"/>
      <c r="E1408" s="32"/>
      <c r="F1408" s="32"/>
      <c r="G1408" s="32"/>
      <c r="H1408" s="32"/>
      <c r="I1408" s="32"/>
      <c r="J1408" s="32"/>
      <c r="K1408" s="32"/>
      <c r="L1408" s="32"/>
      <c r="M1408" s="23"/>
      <c r="N1408" s="32"/>
      <c r="O1408" s="32"/>
      <c r="P1408" s="32"/>
      <c r="Q1408" s="32"/>
      <c r="R1408" s="32"/>
      <c r="S1408" s="32"/>
      <c r="T1408" s="32"/>
      <c r="U1408" s="32"/>
      <c r="V1408" s="32"/>
      <c r="W1408" s="32"/>
      <c r="X1408" s="32"/>
      <c r="Y1408" s="32"/>
      <c r="Z1408" s="32"/>
      <c r="AA1408" s="32"/>
      <c r="AB1408" s="32"/>
    </row>
    <row r="1409" spans="1:28" ht="13" x14ac:dyDescent="0.15">
      <c r="A1409" s="32"/>
      <c r="B1409" s="32"/>
      <c r="C1409" s="32"/>
      <c r="D1409" s="32"/>
      <c r="E1409" s="32"/>
      <c r="F1409" s="32"/>
      <c r="G1409" s="32"/>
      <c r="H1409" s="32"/>
      <c r="I1409" s="32"/>
      <c r="J1409" s="32"/>
      <c r="K1409" s="32"/>
      <c r="L1409" s="32"/>
      <c r="M1409" s="23"/>
      <c r="N1409" s="32"/>
      <c r="O1409" s="32"/>
      <c r="P1409" s="32"/>
      <c r="Q1409" s="32"/>
      <c r="R1409" s="32"/>
      <c r="S1409" s="32"/>
      <c r="T1409" s="32"/>
      <c r="U1409" s="32"/>
      <c r="V1409" s="32"/>
      <c r="W1409" s="32"/>
      <c r="X1409" s="32"/>
      <c r="Y1409" s="32"/>
      <c r="Z1409" s="32"/>
      <c r="AA1409" s="32"/>
      <c r="AB1409" s="32"/>
    </row>
    <row r="1410" spans="1:28" ht="13" x14ac:dyDescent="0.15">
      <c r="A1410" s="32"/>
      <c r="B1410" s="32"/>
      <c r="C1410" s="32"/>
      <c r="D1410" s="32"/>
      <c r="E1410" s="32"/>
      <c r="F1410" s="32"/>
      <c r="G1410" s="32"/>
      <c r="H1410" s="32"/>
      <c r="I1410" s="32"/>
      <c r="J1410" s="32"/>
      <c r="K1410" s="32"/>
      <c r="L1410" s="32"/>
      <c r="M1410" s="23"/>
      <c r="N1410" s="32"/>
      <c r="O1410" s="32"/>
      <c r="P1410" s="32"/>
      <c r="Q1410" s="32"/>
      <c r="R1410" s="32"/>
      <c r="S1410" s="32"/>
      <c r="T1410" s="32"/>
      <c r="U1410" s="32"/>
      <c r="V1410" s="32"/>
      <c r="W1410" s="32"/>
      <c r="X1410" s="32"/>
      <c r="Y1410" s="32"/>
      <c r="Z1410" s="32"/>
      <c r="AA1410" s="32"/>
      <c r="AB1410" s="32"/>
    </row>
    <row r="1411" spans="1:28" ht="13" x14ac:dyDescent="0.15">
      <c r="A1411" s="32"/>
      <c r="B1411" s="32"/>
      <c r="C1411" s="32"/>
      <c r="D1411" s="32"/>
      <c r="E1411" s="32"/>
      <c r="F1411" s="32"/>
      <c r="G1411" s="32"/>
      <c r="H1411" s="32"/>
      <c r="I1411" s="32"/>
      <c r="J1411" s="32"/>
      <c r="K1411" s="32"/>
      <c r="L1411" s="32"/>
      <c r="M1411" s="23"/>
      <c r="N1411" s="32"/>
      <c r="O1411" s="32"/>
      <c r="P1411" s="32"/>
      <c r="Q1411" s="32"/>
      <c r="R1411" s="32"/>
      <c r="S1411" s="32"/>
      <c r="T1411" s="32"/>
      <c r="U1411" s="32"/>
      <c r="V1411" s="32"/>
      <c r="W1411" s="32"/>
      <c r="X1411" s="32"/>
      <c r="Y1411" s="32"/>
      <c r="Z1411" s="32"/>
      <c r="AA1411" s="32"/>
      <c r="AB1411" s="32"/>
    </row>
    <row r="1412" spans="1:28" ht="13" x14ac:dyDescent="0.15">
      <c r="A1412" s="32"/>
      <c r="B1412" s="32"/>
      <c r="C1412" s="32"/>
      <c r="D1412" s="32"/>
      <c r="E1412" s="32"/>
      <c r="F1412" s="32"/>
      <c r="G1412" s="32"/>
      <c r="H1412" s="32"/>
      <c r="I1412" s="32"/>
      <c r="J1412" s="32"/>
      <c r="K1412" s="32"/>
      <c r="L1412" s="32"/>
      <c r="M1412" s="23"/>
      <c r="N1412" s="32"/>
      <c r="O1412" s="32"/>
      <c r="P1412" s="32"/>
      <c r="Q1412" s="32"/>
      <c r="R1412" s="32"/>
      <c r="S1412" s="32"/>
      <c r="T1412" s="32"/>
      <c r="U1412" s="32"/>
      <c r="V1412" s="32"/>
      <c r="W1412" s="32"/>
      <c r="X1412" s="32"/>
      <c r="Y1412" s="32"/>
      <c r="Z1412" s="32"/>
      <c r="AA1412" s="32"/>
      <c r="AB1412" s="32"/>
    </row>
    <row r="1413" spans="1:28" ht="13" x14ac:dyDescent="0.15">
      <c r="A1413" s="32"/>
      <c r="B1413" s="32"/>
      <c r="C1413" s="32"/>
      <c r="D1413" s="32"/>
      <c r="E1413" s="32"/>
      <c r="F1413" s="32"/>
      <c r="G1413" s="32"/>
      <c r="H1413" s="32"/>
      <c r="I1413" s="32"/>
      <c r="J1413" s="32"/>
      <c r="K1413" s="32"/>
      <c r="L1413" s="32"/>
      <c r="M1413" s="23"/>
      <c r="N1413" s="32"/>
      <c r="O1413" s="32"/>
      <c r="P1413" s="32"/>
      <c r="Q1413" s="32"/>
      <c r="R1413" s="32"/>
      <c r="S1413" s="32"/>
      <c r="T1413" s="32"/>
      <c r="U1413" s="32"/>
      <c r="V1413" s="32"/>
      <c r="W1413" s="32"/>
      <c r="X1413" s="32"/>
      <c r="Y1413" s="32"/>
      <c r="Z1413" s="32"/>
      <c r="AA1413" s="32"/>
      <c r="AB1413" s="32"/>
    </row>
    <row r="1414" spans="1:28" ht="13" x14ac:dyDescent="0.15">
      <c r="A1414" s="32"/>
      <c r="B1414" s="32"/>
      <c r="C1414" s="32"/>
      <c r="D1414" s="32"/>
      <c r="E1414" s="32"/>
      <c r="F1414" s="32"/>
      <c r="G1414" s="32"/>
      <c r="H1414" s="32"/>
      <c r="I1414" s="32"/>
      <c r="J1414" s="32"/>
      <c r="K1414" s="32"/>
      <c r="L1414" s="32"/>
      <c r="M1414" s="23"/>
      <c r="N1414" s="32"/>
      <c r="O1414" s="32"/>
      <c r="P1414" s="32"/>
      <c r="Q1414" s="32"/>
      <c r="R1414" s="32"/>
      <c r="S1414" s="32"/>
      <c r="T1414" s="32"/>
      <c r="U1414" s="32"/>
      <c r="V1414" s="32"/>
      <c r="W1414" s="32"/>
      <c r="X1414" s="32"/>
      <c r="Y1414" s="32"/>
      <c r="Z1414" s="32"/>
      <c r="AA1414" s="32"/>
      <c r="AB1414" s="32"/>
    </row>
    <row r="1415" spans="1:28" ht="13" x14ac:dyDescent="0.15">
      <c r="A1415" s="32"/>
      <c r="B1415" s="32"/>
      <c r="C1415" s="32"/>
      <c r="D1415" s="32"/>
      <c r="E1415" s="32"/>
      <c r="F1415" s="32"/>
      <c r="G1415" s="32"/>
      <c r="H1415" s="32"/>
      <c r="I1415" s="32"/>
      <c r="J1415" s="32"/>
      <c r="K1415" s="32"/>
      <c r="L1415" s="32"/>
      <c r="M1415" s="23"/>
      <c r="N1415" s="32"/>
      <c r="O1415" s="32"/>
      <c r="P1415" s="32"/>
      <c r="Q1415" s="32"/>
      <c r="R1415" s="32"/>
      <c r="S1415" s="32"/>
      <c r="T1415" s="32"/>
      <c r="U1415" s="32"/>
      <c r="V1415" s="32"/>
      <c r="W1415" s="32"/>
      <c r="X1415" s="32"/>
      <c r="Y1415" s="32"/>
      <c r="Z1415" s="32"/>
      <c r="AA1415" s="32"/>
      <c r="AB1415" s="32"/>
    </row>
    <row r="1416" spans="1:28" ht="13" x14ac:dyDescent="0.15">
      <c r="A1416" s="32"/>
      <c r="B1416" s="32"/>
      <c r="C1416" s="32"/>
      <c r="D1416" s="32"/>
      <c r="E1416" s="32"/>
      <c r="F1416" s="32"/>
      <c r="G1416" s="32"/>
      <c r="H1416" s="32"/>
      <c r="I1416" s="32"/>
      <c r="J1416" s="32"/>
      <c r="K1416" s="32"/>
      <c r="L1416" s="32"/>
      <c r="M1416" s="23"/>
      <c r="N1416" s="32"/>
      <c r="O1416" s="32"/>
      <c r="P1416" s="32"/>
      <c r="Q1416" s="32"/>
      <c r="R1416" s="32"/>
      <c r="S1416" s="32"/>
      <c r="T1416" s="32"/>
      <c r="U1416" s="32"/>
      <c r="V1416" s="32"/>
      <c r="W1416" s="32"/>
      <c r="X1416" s="32"/>
      <c r="Y1416" s="32"/>
      <c r="Z1416" s="32"/>
      <c r="AA1416" s="32"/>
      <c r="AB1416" s="32"/>
    </row>
    <row r="1417" spans="1:28" ht="13" x14ac:dyDescent="0.15">
      <c r="A1417" s="32"/>
      <c r="B1417" s="32"/>
      <c r="C1417" s="32"/>
      <c r="D1417" s="32"/>
      <c r="E1417" s="32"/>
      <c r="F1417" s="32"/>
      <c r="G1417" s="32"/>
      <c r="H1417" s="32"/>
      <c r="I1417" s="32"/>
      <c r="J1417" s="32"/>
      <c r="K1417" s="32"/>
      <c r="L1417" s="32"/>
      <c r="M1417" s="23"/>
      <c r="N1417" s="32"/>
      <c r="O1417" s="32"/>
      <c r="P1417" s="32"/>
      <c r="Q1417" s="32"/>
      <c r="R1417" s="32"/>
      <c r="S1417" s="32"/>
      <c r="T1417" s="32"/>
      <c r="U1417" s="32"/>
      <c r="V1417" s="32"/>
      <c r="W1417" s="32"/>
      <c r="X1417" s="32"/>
      <c r="Y1417" s="32"/>
      <c r="Z1417" s="32"/>
      <c r="AA1417" s="32"/>
      <c r="AB1417" s="32"/>
    </row>
    <row r="1418" spans="1:28" ht="13" x14ac:dyDescent="0.15">
      <c r="A1418" s="32"/>
      <c r="B1418" s="32"/>
      <c r="C1418" s="32"/>
      <c r="D1418" s="32"/>
      <c r="E1418" s="32"/>
      <c r="F1418" s="32"/>
      <c r="G1418" s="32"/>
      <c r="H1418" s="32"/>
      <c r="I1418" s="32"/>
      <c r="J1418" s="32"/>
      <c r="K1418" s="32"/>
      <c r="L1418" s="32"/>
      <c r="M1418" s="23"/>
      <c r="N1418" s="32"/>
      <c r="O1418" s="32"/>
      <c r="P1418" s="32"/>
      <c r="Q1418" s="32"/>
      <c r="R1418" s="32"/>
      <c r="S1418" s="32"/>
      <c r="T1418" s="32"/>
      <c r="U1418" s="32"/>
      <c r="V1418" s="32"/>
      <c r="W1418" s="32"/>
      <c r="X1418" s="32"/>
      <c r="Y1418" s="32"/>
      <c r="Z1418" s="32"/>
      <c r="AA1418" s="32"/>
      <c r="AB1418" s="32"/>
    </row>
    <row r="1419" spans="1:28" ht="13" x14ac:dyDescent="0.15">
      <c r="A1419" s="32"/>
      <c r="B1419" s="32"/>
      <c r="C1419" s="32"/>
      <c r="D1419" s="32"/>
      <c r="E1419" s="32"/>
      <c r="F1419" s="32"/>
      <c r="G1419" s="32"/>
      <c r="H1419" s="32"/>
      <c r="I1419" s="32"/>
      <c r="J1419" s="32"/>
      <c r="K1419" s="32"/>
      <c r="L1419" s="32"/>
      <c r="M1419" s="23"/>
      <c r="N1419" s="32"/>
      <c r="O1419" s="32"/>
      <c r="P1419" s="32"/>
      <c r="Q1419" s="32"/>
      <c r="R1419" s="32"/>
      <c r="S1419" s="32"/>
      <c r="T1419" s="32"/>
      <c r="U1419" s="32"/>
      <c r="V1419" s="32"/>
      <c r="W1419" s="32"/>
      <c r="X1419" s="32"/>
      <c r="Y1419" s="32"/>
      <c r="Z1419" s="32"/>
      <c r="AA1419" s="32"/>
      <c r="AB1419" s="32"/>
    </row>
    <row r="1420" spans="1:28" ht="13" x14ac:dyDescent="0.15">
      <c r="A1420" s="32"/>
      <c r="B1420" s="32"/>
      <c r="C1420" s="32"/>
      <c r="D1420" s="32"/>
      <c r="E1420" s="32"/>
      <c r="F1420" s="32"/>
      <c r="G1420" s="32"/>
      <c r="H1420" s="32"/>
      <c r="I1420" s="32"/>
      <c r="J1420" s="32"/>
      <c r="K1420" s="32"/>
      <c r="L1420" s="32"/>
      <c r="M1420" s="23"/>
      <c r="N1420" s="32"/>
      <c r="O1420" s="32"/>
      <c r="P1420" s="32"/>
      <c r="Q1420" s="32"/>
      <c r="R1420" s="32"/>
      <c r="S1420" s="32"/>
      <c r="T1420" s="32"/>
      <c r="U1420" s="32"/>
      <c r="V1420" s="32"/>
      <c r="W1420" s="32"/>
      <c r="X1420" s="32"/>
      <c r="Y1420" s="32"/>
      <c r="Z1420" s="32"/>
      <c r="AA1420" s="32"/>
      <c r="AB1420" s="32"/>
    </row>
    <row r="1421" spans="1:28" ht="13" x14ac:dyDescent="0.15">
      <c r="A1421" s="32"/>
      <c r="B1421" s="32"/>
      <c r="C1421" s="32"/>
      <c r="D1421" s="32"/>
      <c r="E1421" s="32"/>
      <c r="F1421" s="32"/>
      <c r="G1421" s="32"/>
      <c r="H1421" s="32"/>
      <c r="I1421" s="32"/>
      <c r="J1421" s="32"/>
      <c r="K1421" s="32"/>
      <c r="L1421" s="32"/>
      <c r="M1421" s="23"/>
      <c r="N1421" s="32"/>
      <c r="O1421" s="32"/>
      <c r="P1421" s="32"/>
      <c r="Q1421" s="32"/>
      <c r="R1421" s="32"/>
      <c r="S1421" s="32"/>
      <c r="T1421" s="32"/>
      <c r="U1421" s="32"/>
      <c r="V1421" s="32"/>
      <c r="W1421" s="32"/>
      <c r="X1421" s="32"/>
      <c r="Y1421" s="32"/>
      <c r="Z1421" s="32"/>
      <c r="AA1421" s="32"/>
      <c r="AB1421" s="32"/>
    </row>
    <row r="1422" spans="1:28" ht="13" x14ac:dyDescent="0.15">
      <c r="A1422" s="32"/>
      <c r="B1422" s="32"/>
      <c r="C1422" s="32"/>
      <c r="D1422" s="32"/>
      <c r="E1422" s="32"/>
      <c r="F1422" s="32"/>
      <c r="G1422" s="32"/>
      <c r="H1422" s="32"/>
      <c r="I1422" s="32"/>
      <c r="J1422" s="32"/>
      <c r="K1422" s="32"/>
      <c r="L1422" s="32"/>
      <c r="M1422" s="23"/>
      <c r="N1422" s="32"/>
      <c r="O1422" s="32"/>
      <c r="P1422" s="32"/>
      <c r="Q1422" s="32"/>
      <c r="R1422" s="32"/>
      <c r="S1422" s="32"/>
      <c r="T1422" s="32"/>
      <c r="U1422" s="32"/>
      <c r="V1422" s="32"/>
      <c r="W1422" s="32"/>
      <c r="X1422" s="32"/>
      <c r="Y1422" s="32"/>
      <c r="Z1422" s="32"/>
      <c r="AA1422" s="32"/>
      <c r="AB1422" s="32"/>
    </row>
    <row r="1423" spans="1:28" ht="13" x14ac:dyDescent="0.15">
      <c r="A1423" s="32"/>
      <c r="B1423" s="32"/>
      <c r="C1423" s="32"/>
      <c r="D1423" s="32"/>
      <c r="E1423" s="32"/>
      <c r="F1423" s="32"/>
      <c r="G1423" s="32"/>
      <c r="H1423" s="32"/>
      <c r="I1423" s="32"/>
      <c r="J1423" s="32"/>
      <c r="K1423" s="32"/>
      <c r="L1423" s="32"/>
      <c r="M1423" s="23"/>
      <c r="N1423" s="32"/>
      <c r="O1423" s="32"/>
      <c r="P1423" s="32"/>
      <c r="Q1423" s="32"/>
      <c r="R1423" s="32"/>
      <c r="S1423" s="32"/>
      <c r="T1423" s="32"/>
      <c r="U1423" s="32"/>
      <c r="V1423" s="32"/>
      <c r="W1423" s="32"/>
      <c r="X1423" s="32"/>
      <c r="Y1423" s="32"/>
      <c r="Z1423" s="32"/>
      <c r="AA1423" s="32"/>
      <c r="AB1423" s="32"/>
    </row>
    <row r="1424" spans="1:28" ht="13" x14ac:dyDescent="0.15">
      <c r="A1424" s="32"/>
      <c r="B1424" s="32"/>
      <c r="C1424" s="32"/>
      <c r="D1424" s="32"/>
      <c r="E1424" s="32"/>
      <c r="F1424" s="32"/>
      <c r="G1424" s="32"/>
      <c r="H1424" s="32"/>
      <c r="I1424" s="32"/>
      <c r="J1424" s="32"/>
      <c r="K1424" s="32"/>
      <c r="L1424" s="32"/>
      <c r="M1424" s="23"/>
      <c r="N1424" s="32"/>
      <c r="O1424" s="32"/>
      <c r="P1424" s="32"/>
      <c r="Q1424" s="32"/>
      <c r="R1424" s="32"/>
      <c r="S1424" s="32"/>
      <c r="T1424" s="32"/>
      <c r="U1424" s="32"/>
      <c r="V1424" s="32"/>
      <c r="W1424" s="32"/>
      <c r="X1424" s="32"/>
      <c r="Y1424" s="32"/>
      <c r="Z1424" s="32"/>
      <c r="AA1424" s="32"/>
      <c r="AB1424" s="32"/>
    </row>
    <row r="1425" spans="1:28" ht="13" x14ac:dyDescent="0.15">
      <c r="A1425" s="32"/>
      <c r="B1425" s="32"/>
      <c r="C1425" s="32"/>
      <c r="D1425" s="32"/>
      <c r="E1425" s="32"/>
      <c r="F1425" s="32"/>
      <c r="G1425" s="32"/>
      <c r="H1425" s="32"/>
      <c r="I1425" s="32"/>
      <c r="J1425" s="32"/>
      <c r="K1425" s="32"/>
      <c r="L1425" s="32"/>
      <c r="M1425" s="23"/>
      <c r="N1425" s="32"/>
      <c r="O1425" s="32"/>
      <c r="P1425" s="32"/>
      <c r="Q1425" s="32"/>
      <c r="R1425" s="32"/>
      <c r="S1425" s="32"/>
      <c r="T1425" s="32"/>
      <c r="U1425" s="32"/>
      <c r="V1425" s="32"/>
      <c r="W1425" s="32"/>
      <c r="X1425" s="32"/>
      <c r="Y1425" s="32"/>
      <c r="Z1425" s="32"/>
      <c r="AA1425" s="32"/>
      <c r="AB1425" s="32"/>
    </row>
    <row r="1426" spans="1:28" ht="13" x14ac:dyDescent="0.15">
      <c r="A1426" s="32"/>
      <c r="B1426" s="32"/>
      <c r="C1426" s="32"/>
      <c r="D1426" s="32"/>
      <c r="E1426" s="32"/>
      <c r="F1426" s="32"/>
      <c r="G1426" s="32"/>
      <c r="H1426" s="32"/>
      <c r="I1426" s="32"/>
      <c r="J1426" s="32"/>
      <c r="K1426" s="32"/>
      <c r="L1426" s="32"/>
      <c r="M1426" s="23"/>
      <c r="N1426" s="32"/>
      <c r="O1426" s="32"/>
      <c r="P1426" s="32"/>
      <c r="Q1426" s="32"/>
      <c r="R1426" s="32"/>
      <c r="S1426" s="32"/>
      <c r="T1426" s="32"/>
      <c r="U1426" s="32"/>
      <c r="V1426" s="32"/>
      <c r="W1426" s="32"/>
      <c r="X1426" s="32"/>
      <c r="Y1426" s="32"/>
      <c r="Z1426" s="32"/>
      <c r="AA1426" s="32"/>
      <c r="AB1426" s="32"/>
    </row>
    <row r="1427" spans="1:28" ht="13" x14ac:dyDescent="0.15">
      <c r="A1427" s="32"/>
      <c r="B1427" s="32"/>
      <c r="C1427" s="32"/>
      <c r="D1427" s="32"/>
      <c r="E1427" s="32"/>
      <c r="F1427" s="32"/>
      <c r="G1427" s="32"/>
      <c r="H1427" s="32"/>
      <c r="I1427" s="32"/>
      <c r="J1427" s="32"/>
      <c r="K1427" s="32"/>
      <c r="L1427" s="32"/>
      <c r="M1427" s="23"/>
      <c r="N1427" s="32"/>
      <c r="O1427" s="32"/>
      <c r="P1427" s="32"/>
      <c r="Q1427" s="32"/>
      <c r="R1427" s="32"/>
      <c r="S1427" s="32"/>
      <c r="T1427" s="32"/>
      <c r="U1427" s="32"/>
      <c r="V1427" s="32"/>
      <c r="W1427" s="32"/>
      <c r="X1427" s="32"/>
      <c r="Y1427" s="32"/>
      <c r="Z1427" s="32"/>
      <c r="AA1427" s="32"/>
      <c r="AB1427" s="32"/>
    </row>
    <row r="1428" spans="1:28" ht="13" x14ac:dyDescent="0.15">
      <c r="A1428" s="32"/>
      <c r="B1428" s="32"/>
      <c r="C1428" s="32"/>
      <c r="D1428" s="32"/>
      <c r="E1428" s="32"/>
      <c r="F1428" s="32"/>
      <c r="G1428" s="32"/>
      <c r="H1428" s="32"/>
      <c r="I1428" s="32"/>
      <c r="J1428" s="32"/>
      <c r="K1428" s="32"/>
      <c r="L1428" s="32"/>
      <c r="M1428" s="23"/>
      <c r="N1428" s="32"/>
      <c r="O1428" s="32"/>
      <c r="P1428" s="32"/>
      <c r="Q1428" s="32"/>
      <c r="R1428" s="32"/>
      <c r="S1428" s="32"/>
      <c r="T1428" s="32"/>
      <c r="U1428" s="32"/>
      <c r="V1428" s="32"/>
      <c r="W1428" s="32"/>
      <c r="X1428" s="32"/>
      <c r="Y1428" s="32"/>
      <c r="Z1428" s="32"/>
      <c r="AA1428" s="32"/>
      <c r="AB1428" s="32"/>
    </row>
    <row r="1429" spans="1:28" ht="13" x14ac:dyDescent="0.15">
      <c r="A1429" s="32"/>
      <c r="B1429" s="32"/>
      <c r="C1429" s="32"/>
      <c r="D1429" s="32"/>
      <c r="E1429" s="32"/>
      <c r="F1429" s="32"/>
      <c r="G1429" s="32"/>
      <c r="H1429" s="32"/>
      <c r="I1429" s="32"/>
      <c r="J1429" s="32"/>
      <c r="K1429" s="32"/>
      <c r="L1429" s="32"/>
      <c r="M1429" s="23"/>
      <c r="N1429" s="32"/>
      <c r="O1429" s="32"/>
      <c r="P1429" s="32"/>
      <c r="Q1429" s="32"/>
      <c r="R1429" s="32"/>
      <c r="S1429" s="32"/>
      <c r="T1429" s="32"/>
      <c r="U1429" s="32"/>
      <c r="V1429" s="32"/>
      <c r="W1429" s="32"/>
      <c r="X1429" s="32"/>
      <c r="Y1429" s="32"/>
      <c r="Z1429" s="32"/>
      <c r="AA1429" s="32"/>
      <c r="AB1429" s="32"/>
    </row>
    <row r="1430" spans="1:28" ht="13" x14ac:dyDescent="0.15">
      <c r="A1430" s="32"/>
      <c r="B1430" s="32"/>
      <c r="C1430" s="32"/>
      <c r="D1430" s="32"/>
      <c r="E1430" s="32"/>
      <c r="F1430" s="32"/>
      <c r="G1430" s="32"/>
      <c r="H1430" s="32"/>
      <c r="I1430" s="32"/>
      <c r="J1430" s="32"/>
      <c r="K1430" s="32"/>
      <c r="L1430" s="32"/>
      <c r="M1430" s="23"/>
      <c r="N1430" s="32"/>
      <c r="O1430" s="32"/>
      <c r="P1430" s="32"/>
      <c r="Q1430" s="32"/>
      <c r="R1430" s="32"/>
      <c r="S1430" s="32"/>
      <c r="T1430" s="32"/>
      <c r="U1430" s="32"/>
      <c r="V1430" s="32"/>
      <c r="W1430" s="32"/>
      <c r="X1430" s="32"/>
      <c r="Y1430" s="32"/>
      <c r="Z1430" s="32"/>
      <c r="AA1430" s="32"/>
      <c r="AB1430" s="32"/>
    </row>
    <row r="1431" spans="1:28" ht="13" x14ac:dyDescent="0.15">
      <c r="A1431" s="32"/>
      <c r="B1431" s="32"/>
      <c r="C1431" s="32"/>
      <c r="D1431" s="32"/>
      <c r="E1431" s="32"/>
      <c r="F1431" s="32"/>
      <c r="G1431" s="32"/>
      <c r="H1431" s="32"/>
      <c r="I1431" s="32"/>
      <c r="J1431" s="32"/>
      <c r="K1431" s="32"/>
      <c r="L1431" s="32"/>
      <c r="M1431" s="23"/>
      <c r="N1431" s="32"/>
      <c r="O1431" s="32"/>
      <c r="P1431" s="32"/>
      <c r="Q1431" s="32"/>
      <c r="R1431" s="32"/>
      <c r="S1431" s="32"/>
      <c r="T1431" s="32"/>
      <c r="U1431" s="32"/>
      <c r="V1431" s="32"/>
      <c r="W1431" s="32"/>
      <c r="X1431" s="32"/>
      <c r="Y1431" s="32"/>
      <c r="Z1431" s="32"/>
      <c r="AA1431" s="32"/>
      <c r="AB1431" s="32"/>
    </row>
    <row r="1432" spans="1:28" ht="13" x14ac:dyDescent="0.15">
      <c r="A1432" s="32"/>
      <c r="B1432" s="32"/>
      <c r="C1432" s="32"/>
      <c r="D1432" s="32"/>
      <c r="E1432" s="32"/>
      <c r="F1432" s="32"/>
      <c r="G1432" s="32"/>
      <c r="H1432" s="32"/>
      <c r="I1432" s="32"/>
      <c r="J1432" s="32"/>
      <c r="K1432" s="32"/>
      <c r="L1432" s="32"/>
      <c r="M1432" s="23"/>
      <c r="N1432" s="32"/>
      <c r="O1432" s="32"/>
      <c r="P1432" s="32"/>
      <c r="Q1432" s="32"/>
      <c r="R1432" s="32"/>
      <c r="S1432" s="32"/>
      <c r="T1432" s="32"/>
      <c r="U1432" s="32"/>
      <c r="V1432" s="32"/>
      <c r="W1432" s="32"/>
      <c r="X1432" s="32"/>
      <c r="Y1432" s="32"/>
      <c r="Z1432" s="32"/>
      <c r="AA1432" s="32"/>
      <c r="AB1432" s="32"/>
    </row>
    <row r="1433" spans="1:28" ht="13" x14ac:dyDescent="0.15">
      <c r="A1433" s="32"/>
      <c r="B1433" s="32"/>
      <c r="C1433" s="32"/>
      <c r="D1433" s="32"/>
      <c r="E1433" s="32"/>
      <c r="F1433" s="32"/>
      <c r="G1433" s="32"/>
      <c r="H1433" s="32"/>
      <c r="I1433" s="32"/>
      <c r="J1433" s="32"/>
      <c r="K1433" s="32"/>
      <c r="L1433" s="32"/>
      <c r="M1433" s="23"/>
      <c r="N1433" s="32"/>
      <c r="O1433" s="32"/>
      <c r="P1433" s="32"/>
      <c r="Q1433" s="32"/>
      <c r="R1433" s="32"/>
      <c r="S1433" s="32"/>
      <c r="T1433" s="32"/>
      <c r="U1433" s="32"/>
      <c r="V1433" s="32"/>
      <c r="W1433" s="32"/>
      <c r="X1433" s="32"/>
      <c r="Y1433" s="32"/>
      <c r="Z1433" s="32"/>
      <c r="AA1433" s="32"/>
      <c r="AB1433" s="32"/>
    </row>
    <row r="1434" spans="1:28" ht="13" x14ac:dyDescent="0.15">
      <c r="A1434" s="32"/>
      <c r="B1434" s="32"/>
      <c r="C1434" s="32"/>
      <c r="D1434" s="32"/>
      <c r="E1434" s="32"/>
      <c r="F1434" s="32"/>
      <c r="G1434" s="32"/>
      <c r="H1434" s="32"/>
      <c r="I1434" s="32"/>
      <c r="J1434" s="32"/>
      <c r="K1434" s="32"/>
      <c r="L1434" s="32"/>
      <c r="M1434" s="23"/>
      <c r="N1434" s="32"/>
      <c r="O1434" s="32"/>
      <c r="P1434" s="32"/>
      <c r="Q1434" s="32"/>
      <c r="R1434" s="32"/>
      <c r="S1434" s="32"/>
      <c r="T1434" s="32"/>
      <c r="U1434" s="32"/>
      <c r="V1434" s="32"/>
      <c r="W1434" s="32"/>
      <c r="X1434" s="32"/>
      <c r="Y1434" s="32"/>
      <c r="Z1434" s="32"/>
      <c r="AA1434" s="32"/>
      <c r="AB1434" s="32"/>
    </row>
    <row r="1435" spans="1:28" ht="13" x14ac:dyDescent="0.15">
      <c r="A1435" s="32"/>
      <c r="B1435" s="32"/>
      <c r="C1435" s="32"/>
      <c r="D1435" s="32"/>
      <c r="E1435" s="32"/>
      <c r="F1435" s="32"/>
      <c r="G1435" s="32"/>
      <c r="H1435" s="32"/>
      <c r="I1435" s="32"/>
      <c r="J1435" s="32"/>
      <c r="K1435" s="32"/>
      <c r="L1435" s="32"/>
      <c r="M1435" s="23"/>
      <c r="N1435" s="32"/>
      <c r="O1435" s="32"/>
      <c r="P1435" s="32"/>
      <c r="Q1435" s="32"/>
      <c r="R1435" s="32"/>
      <c r="S1435" s="32"/>
      <c r="T1435" s="32"/>
      <c r="U1435" s="32"/>
      <c r="V1435" s="32"/>
      <c r="W1435" s="32"/>
      <c r="X1435" s="32"/>
      <c r="Y1435" s="32"/>
      <c r="Z1435" s="32"/>
      <c r="AA1435" s="32"/>
      <c r="AB1435" s="32"/>
    </row>
    <row r="1436" spans="1:28" ht="13" x14ac:dyDescent="0.15">
      <c r="A1436" s="32"/>
      <c r="B1436" s="32"/>
      <c r="C1436" s="32"/>
      <c r="D1436" s="32"/>
      <c r="E1436" s="32"/>
      <c r="F1436" s="32"/>
      <c r="G1436" s="32"/>
      <c r="H1436" s="32"/>
      <c r="I1436" s="32"/>
      <c r="J1436" s="32"/>
      <c r="K1436" s="32"/>
      <c r="L1436" s="32"/>
      <c r="M1436" s="23"/>
      <c r="N1436" s="32"/>
      <c r="O1436" s="32"/>
      <c r="P1436" s="32"/>
      <c r="Q1436" s="32"/>
      <c r="R1436" s="32"/>
      <c r="S1436" s="32"/>
      <c r="T1436" s="32"/>
      <c r="U1436" s="32"/>
      <c r="V1436" s="32"/>
      <c r="W1436" s="32"/>
      <c r="X1436" s="32"/>
      <c r="Y1436" s="32"/>
      <c r="Z1436" s="32"/>
      <c r="AA1436" s="32"/>
      <c r="AB1436" s="32"/>
    </row>
    <row r="1437" spans="1:28" ht="13" x14ac:dyDescent="0.15">
      <c r="A1437" s="32"/>
      <c r="B1437" s="32"/>
      <c r="C1437" s="32"/>
      <c r="D1437" s="32"/>
      <c r="E1437" s="32"/>
      <c r="F1437" s="32"/>
      <c r="G1437" s="32"/>
      <c r="H1437" s="32"/>
      <c r="I1437" s="32"/>
      <c r="J1437" s="32"/>
      <c r="K1437" s="32"/>
      <c r="L1437" s="32"/>
      <c r="M1437" s="23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  <c r="AA1437" s="32"/>
      <c r="AB1437" s="32"/>
    </row>
    <row r="1438" spans="1:28" ht="13" x14ac:dyDescent="0.15">
      <c r="A1438" s="32"/>
      <c r="B1438" s="32"/>
      <c r="C1438" s="32"/>
      <c r="D1438" s="32"/>
      <c r="E1438" s="32"/>
      <c r="F1438" s="32"/>
      <c r="G1438" s="32"/>
      <c r="H1438" s="32"/>
      <c r="I1438" s="32"/>
      <c r="J1438" s="32"/>
      <c r="K1438" s="32"/>
      <c r="L1438" s="32"/>
      <c r="M1438" s="23"/>
      <c r="N1438" s="32"/>
      <c r="O1438" s="32"/>
      <c r="P1438" s="32"/>
      <c r="Q1438" s="32"/>
      <c r="R1438" s="32"/>
      <c r="S1438" s="32"/>
      <c r="T1438" s="32"/>
      <c r="U1438" s="32"/>
      <c r="V1438" s="32"/>
      <c r="W1438" s="32"/>
      <c r="X1438" s="32"/>
      <c r="Y1438" s="32"/>
      <c r="Z1438" s="32"/>
      <c r="AA1438" s="32"/>
      <c r="AB1438" s="32"/>
    </row>
    <row r="1439" spans="1:28" ht="13" x14ac:dyDescent="0.15">
      <c r="A1439" s="32"/>
      <c r="B1439" s="32"/>
      <c r="C1439" s="32"/>
      <c r="D1439" s="32"/>
      <c r="E1439" s="32"/>
      <c r="F1439" s="32"/>
      <c r="G1439" s="32"/>
      <c r="H1439" s="32"/>
      <c r="I1439" s="32"/>
      <c r="J1439" s="32"/>
      <c r="K1439" s="32"/>
      <c r="L1439" s="32"/>
      <c r="M1439" s="23"/>
      <c r="N1439" s="32"/>
      <c r="O1439" s="32"/>
      <c r="P1439" s="32"/>
      <c r="Q1439" s="32"/>
      <c r="R1439" s="32"/>
      <c r="S1439" s="32"/>
      <c r="T1439" s="32"/>
      <c r="U1439" s="32"/>
      <c r="V1439" s="32"/>
      <c r="W1439" s="32"/>
      <c r="X1439" s="32"/>
      <c r="Y1439" s="32"/>
      <c r="Z1439" s="32"/>
      <c r="AA1439" s="32"/>
      <c r="AB1439" s="32"/>
    </row>
    <row r="1440" spans="1:28" ht="13" x14ac:dyDescent="0.15">
      <c r="A1440" s="32"/>
      <c r="B1440" s="32"/>
      <c r="C1440" s="32"/>
      <c r="D1440" s="32"/>
      <c r="E1440" s="32"/>
      <c r="F1440" s="32"/>
      <c r="G1440" s="32"/>
      <c r="H1440" s="32"/>
      <c r="I1440" s="32"/>
      <c r="J1440" s="32"/>
      <c r="K1440" s="32"/>
      <c r="L1440" s="32"/>
      <c r="M1440" s="23"/>
      <c r="N1440" s="32"/>
      <c r="O1440" s="32"/>
      <c r="P1440" s="32"/>
      <c r="Q1440" s="32"/>
      <c r="R1440" s="32"/>
      <c r="S1440" s="32"/>
      <c r="T1440" s="32"/>
      <c r="U1440" s="32"/>
      <c r="V1440" s="32"/>
      <c r="W1440" s="32"/>
      <c r="X1440" s="32"/>
      <c r="Y1440" s="32"/>
      <c r="Z1440" s="32"/>
      <c r="AA1440" s="32"/>
      <c r="AB1440" s="32"/>
    </row>
    <row r="1441" spans="1:28" ht="13" x14ac:dyDescent="0.15">
      <c r="A1441" s="32"/>
      <c r="B1441" s="32"/>
      <c r="C1441" s="32"/>
      <c r="D1441" s="32"/>
      <c r="E1441" s="32"/>
      <c r="F1441" s="32"/>
      <c r="G1441" s="32"/>
      <c r="H1441" s="32"/>
      <c r="I1441" s="32"/>
      <c r="J1441" s="32"/>
      <c r="K1441" s="32"/>
      <c r="L1441" s="32"/>
      <c r="M1441" s="23"/>
      <c r="N1441" s="32"/>
      <c r="O1441" s="32"/>
      <c r="P1441" s="32"/>
      <c r="Q1441" s="32"/>
      <c r="R1441" s="32"/>
      <c r="S1441" s="32"/>
      <c r="T1441" s="32"/>
      <c r="U1441" s="32"/>
      <c r="V1441" s="32"/>
      <c r="W1441" s="32"/>
      <c r="X1441" s="32"/>
      <c r="Y1441" s="32"/>
      <c r="Z1441" s="32"/>
      <c r="AA1441" s="32"/>
      <c r="AB1441" s="32"/>
    </row>
    <row r="1442" spans="1:28" ht="13" x14ac:dyDescent="0.15">
      <c r="A1442" s="32"/>
      <c r="B1442" s="32"/>
      <c r="C1442" s="32"/>
      <c r="D1442" s="32"/>
      <c r="E1442" s="32"/>
      <c r="F1442" s="32"/>
      <c r="G1442" s="32"/>
      <c r="H1442" s="32"/>
      <c r="I1442" s="32"/>
      <c r="J1442" s="32"/>
      <c r="K1442" s="32"/>
      <c r="L1442" s="32"/>
      <c r="M1442" s="23"/>
      <c r="N1442" s="32"/>
      <c r="O1442" s="32"/>
      <c r="P1442" s="32"/>
      <c r="Q1442" s="32"/>
      <c r="R1442" s="32"/>
      <c r="S1442" s="32"/>
      <c r="T1442" s="32"/>
      <c r="U1442" s="32"/>
      <c r="V1442" s="32"/>
      <c r="W1442" s="32"/>
      <c r="X1442" s="32"/>
      <c r="Y1442" s="32"/>
      <c r="Z1442" s="32"/>
      <c r="AA1442" s="32"/>
      <c r="AB1442" s="32"/>
    </row>
    <row r="1443" spans="1:28" ht="13" x14ac:dyDescent="0.15">
      <c r="A1443" s="32"/>
      <c r="B1443" s="32"/>
      <c r="C1443" s="32"/>
      <c r="D1443" s="32"/>
      <c r="E1443" s="32"/>
      <c r="F1443" s="32"/>
      <c r="G1443" s="32"/>
      <c r="H1443" s="32"/>
      <c r="I1443" s="32"/>
      <c r="J1443" s="32"/>
      <c r="K1443" s="32"/>
      <c r="L1443" s="32"/>
      <c r="M1443" s="23"/>
      <c r="N1443" s="32"/>
      <c r="O1443" s="32"/>
      <c r="P1443" s="32"/>
      <c r="Q1443" s="32"/>
      <c r="R1443" s="32"/>
      <c r="S1443" s="32"/>
      <c r="T1443" s="32"/>
      <c r="U1443" s="32"/>
      <c r="V1443" s="32"/>
      <c r="W1443" s="32"/>
      <c r="X1443" s="32"/>
      <c r="Y1443" s="32"/>
      <c r="Z1443" s="32"/>
      <c r="AA1443" s="32"/>
      <c r="AB1443" s="32"/>
    </row>
    <row r="1444" spans="1:28" ht="13" x14ac:dyDescent="0.15">
      <c r="A1444" s="32"/>
      <c r="B1444" s="32"/>
      <c r="C1444" s="32"/>
      <c r="D1444" s="32"/>
      <c r="E1444" s="32"/>
      <c r="F1444" s="32"/>
      <c r="G1444" s="32"/>
      <c r="H1444" s="32"/>
      <c r="I1444" s="32"/>
      <c r="J1444" s="32"/>
      <c r="K1444" s="32"/>
      <c r="L1444" s="32"/>
      <c r="M1444" s="23"/>
      <c r="N1444" s="32"/>
      <c r="O1444" s="32"/>
      <c r="P1444" s="32"/>
      <c r="Q1444" s="32"/>
      <c r="R1444" s="32"/>
      <c r="S1444" s="32"/>
      <c r="T1444" s="32"/>
      <c r="U1444" s="32"/>
      <c r="V1444" s="32"/>
      <c r="W1444" s="32"/>
      <c r="X1444" s="32"/>
      <c r="Y1444" s="32"/>
      <c r="Z1444" s="32"/>
      <c r="AA1444" s="32"/>
      <c r="AB1444" s="32"/>
    </row>
    <row r="1445" spans="1:28" ht="13" x14ac:dyDescent="0.15">
      <c r="A1445" s="32"/>
      <c r="B1445" s="32"/>
      <c r="C1445" s="32"/>
      <c r="D1445" s="32"/>
      <c r="E1445" s="32"/>
      <c r="F1445" s="32"/>
      <c r="G1445" s="32"/>
      <c r="H1445" s="32"/>
      <c r="I1445" s="32"/>
      <c r="J1445" s="32"/>
      <c r="K1445" s="32"/>
      <c r="L1445" s="32"/>
      <c r="M1445" s="23"/>
      <c r="N1445" s="32"/>
      <c r="O1445" s="32"/>
      <c r="P1445" s="32"/>
      <c r="Q1445" s="32"/>
      <c r="R1445" s="32"/>
      <c r="S1445" s="32"/>
      <c r="T1445" s="32"/>
      <c r="U1445" s="32"/>
      <c r="V1445" s="32"/>
      <c r="W1445" s="32"/>
      <c r="X1445" s="32"/>
      <c r="Y1445" s="32"/>
      <c r="Z1445" s="32"/>
      <c r="AA1445" s="32"/>
      <c r="AB1445" s="32"/>
    </row>
    <row r="1446" spans="1:28" ht="13" x14ac:dyDescent="0.15">
      <c r="A1446" s="32"/>
      <c r="B1446" s="32"/>
      <c r="C1446" s="32"/>
      <c r="D1446" s="32"/>
      <c r="E1446" s="32"/>
      <c r="F1446" s="32"/>
      <c r="G1446" s="32"/>
      <c r="H1446" s="32"/>
      <c r="I1446" s="32"/>
      <c r="J1446" s="32"/>
      <c r="K1446" s="32"/>
      <c r="L1446" s="32"/>
      <c r="M1446" s="23"/>
      <c r="N1446" s="32"/>
      <c r="O1446" s="32"/>
      <c r="P1446" s="32"/>
      <c r="Q1446" s="32"/>
      <c r="R1446" s="32"/>
      <c r="S1446" s="32"/>
      <c r="T1446" s="32"/>
      <c r="U1446" s="32"/>
      <c r="V1446" s="32"/>
      <c r="W1446" s="32"/>
      <c r="X1446" s="32"/>
      <c r="Y1446" s="32"/>
      <c r="Z1446" s="32"/>
      <c r="AA1446" s="32"/>
      <c r="AB1446" s="32"/>
    </row>
    <row r="1447" spans="1:28" ht="13" x14ac:dyDescent="0.15">
      <c r="A1447" s="32"/>
      <c r="B1447" s="32"/>
      <c r="C1447" s="32"/>
      <c r="D1447" s="32"/>
      <c r="E1447" s="32"/>
      <c r="F1447" s="32"/>
      <c r="G1447" s="32"/>
      <c r="H1447" s="32"/>
      <c r="I1447" s="32"/>
      <c r="J1447" s="32"/>
      <c r="K1447" s="32"/>
      <c r="L1447" s="32"/>
      <c r="M1447" s="23"/>
      <c r="N1447" s="32"/>
      <c r="O1447" s="32"/>
      <c r="P1447" s="32"/>
      <c r="Q1447" s="32"/>
      <c r="R1447" s="32"/>
      <c r="S1447" s="32"/>
      <c r="T1447" s="32"/>
      <c r="U1447" s="32"/>
      <c r="V1447" s="32"/>
      <c r="W1447" s="32"/>
      <c r="X1447" s="32"/>
      <c r="Y1447" s="32"/>
      <c r="Z1447" s="32"/>
      <c r="AA1447" s="32"/>
      <c r="AB1447" s="32"/>
    </row>
    <row r="1448" spans="1:28" ht="13" x14ac:dyDescent="0.15">
      <c r="A1448" s="32"/>
      <c r="B1448" s="32"/>
      <c r="C1448" s="32"/>
      <c r="D1448" s="32"/>
      <c r="E1448" s="32"/>
      <c r="F1448" s="32"/>
      <c r="G1448" s="32"/>
      <c r="H1448" s="32"/>
      <c r="I1448" s="32"/>
      <c r="J1448" s="32"/>
      <c r="K1448" s="32"/>
      <c r="L1448" s="32"/>
      <c r="M1448" s="23"/>
      <c r="N1448" s="32"/>
      <c r="O1448" s="32"/>
      <c r="P1448" s="32"/>
      <c r="Q1448" s="32"/>
      <c r="R1448" s="32"/>
      <c r="S1448" s="32"/>
      <c r="T1448" s="32"/>
      <c r="U1448" s="32"/>
      <c r="V1448" s="32"/>
      <c r="W1448" s="32"/>
      <c r="X1448" s="32"/>
      <c r="Y1448" s="32"/>
      <c r="Z1448" s="32"/>
      <c r="AA1448" s="32"/>
      <c r="AB1448" s="32"/>
    </row>
    <row r="1449" spans="1:28" ht="13" x14ac:dyDescent="0.15">
      <c r="A1449" s="32"/>
      <c r="B1449" s="32"/>
      <c r="C1449" s="32"/>
      <c r="D1449" s="32"/>
      <c r="E1449" s="32"/>
      <c r="F1449" s="32"/>
      <c r="G1449" s="32"/>
      <c r="H1449" s="32"/>
      <c r="I1449" s="32"/>
      <c r="J1449" s="32"/>
      <c r="K1449" s="32"/>
      <c r="L1449" s="32"/>
      <c r="M1449" s="23"/>
      <c r="N1449" s="32"/>
      <c r="O1449" s="32"/>
      <c r="P1449" s="32"/>
      <c r="Q1449" s="32"/>
      <c r="R1449" s="32"/>
      <c r="S1449" s="32"/>
      <c r="T1449" s="32"/>
      <c r="U1449" s="32"/>
      <c r="V1449" s="32"/>
      <c r="W1449" s="32"/>
      <c r="X1449" s="32"/>
      <c r="Y1449" s="32"/>
      <c r="Z1449" s="32"/>
      <c r="AA1449" s="32"/>
      <c r="AB1449" s="32"/>
    </row>
    <row r="1450" spans="1:28" ht="13" x14ac:dyDescent="0.15">
      <c r="A1450" s="32"/>
      <c r="B1450" s="32"/>
      <c r="C1450" s="32"/>
      <c r="D1450" s="32"/>
      <c r="E1450" s="32"/>
      <c r="F1450" s="32"/>
      <c r="G1450" s="32"/>
      <c r="H1450" s="32"/>
      <c r="I1450" s="32"/>
      <c r="J1450" s="32"/>
      <c r="K1450" s="32"/>
      <c r="L1450" s="32"/>
      <c r="M1450" s="23"/>
      <c r="N1450" s="32"/>
      <c r="O1450" s="32"/>
      <c r="P1450" s="32"/>
      <c r="Q1450" s="32"/>
      <c r="R1450" s="32"/>
      <c r="S1450" s="32"/>
      <c r="T1450" s="32"/>
      <c r="U1450" s="32"/>
      <c r="V1450" s="32"/>
      <c r="W1450" s="32"/>
      <c r="X1450" s="32"/>
      <c r="Y1450" s="32"/>
      <c r="Z1450" s="32"/>
      <c r="AA1450" s="32"/>
      <c r="AB1450" s="32"/>
    </row>
    <row r="1451" spans="1:28" ht="13" x14ac:dyDescent="0.15">
      <c r="A1451" s="32"/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  <c r="M1451" s="23"/>
      <c r="N1451" s="32"/>
      <c r="O1451" s="32"/>
      <c r="P1451" s="32"/>
      <c r="Q1451" s="32"/>
      <c r="R1451" s="32"/>
      <c r="S1451" s="32"/>
      <c r="T1451" s="32"/>
      <c r="U1451" s="32"/>
      <c r="V1451" s="32"/>
      <c r="W1451" s="32"/>
      <c r="X1451" s="32"/>
      <c r="Y1451" s="32"/>
      <c r="Z1451" s="32"/>
      <c r="AA1451" s="32"/>
      <c r="AB1451" s="32"/>
    </row>
    <row r="1452" spans="1:28" ht="13" x14ac:dyDescent="0.15">
      <c r="A1452" s="32"/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  <c r="M1452" s="23"/>
      <c r="N1452" s="32"/>
      <c r="O1452" s="32"/>
      <c r="P1452" s="32"/>
      <c r="Q1452" s="32"/>
      <c r="R1452" s="32"/>
      <c r="S1452" s="32"/>
      <c r="T1452" s="32"/>
      <c r="U1452" s="32"/>
      <c r="V1452" s="32"/>
      <c r="W1452" s="32"/>
      <c r="X1452" s="32"/>
      <c r="Y1452" s="32"/>
      <c r="Z1452" s="32"/>
      <c r="AA1452" s="32"/>
      <c r="AB1452" s="32"/>
    </row>
    <row r="1453" spans="1:28" ht="13" x14ac:dyDescent="0.15">
      <c r="A1453" s="32"/>
      <c r="B1453" s="32"/>
      <c r="C1453" s="32"/>
      <c r="D1453" s="32"/>
      <c r="E1453" s="32"/>
      <c r="F1453" s="32"/>
      <c r="G1453" s="32"/>
      <c r="H1453" s="32"/>
      <c r="I1453" s="32"/>
      <c r="J1453" s="32"/>
      <c r="K1453" s="32"/>
      <c r="L1453" s="32"/>
      <c r="M1453" s="23"/>
      <c r="N1453" s="32"/>
      <c r="O1453" s="32"/>
      <c r="P1453" s="32"/>
      <c r="Q1453" s="32"/>
      <c r="R1453" s="32"/>
      <c r="S1453" s="32"/>
      <c r="T1453" s="32"/>
      <c r="U1453" s="32"/>
      <c r="V1453" s="32"/>
      <c r="W1453" s="32"/>
      <c r="X1453" s="32"/>
      <c r="Y1453" s="32"/>
      <c r="Z1453" s="32"/>
      <c r="AA1453" s="32"/>
      <c r="AB1453" s="32"/>
    </row>
    <row r="1454" spans="1:28" ht="13" x14ac:dyDescent="0.15">
      <c r="A1454" s="32"/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  <c r="M1454" s="23"/>
      <c r="N1454" s="32"/>
      <c r="O1454" s="32"/>
      <c r="P1454" s="32"/>
      <c r="Q1454" s="32"/>
      <c r="R1454" s="32"/>
      <c r="S1454" s="32"/>
      <c r="T1454" s="32"/>
      <c r="U1454" s="32"/>
      <c r="V1454" s="32"/>
      <c r="W1454" s="32"/>
      <c r="X1454" s="32"/>
      <c r="Y1454" s="32"/>
      <c r="Z1454" s="32"/>
      <c r="AA1454" s="32"/>
      <c r="AB1454" s="32"/>
    </row>
    <row r="1455" spans="1:28" ht="13" x14ac:dyDescent="0.15">
      <c r="A1455" s="32"/>
      <c r="B1455" s="32"/>
      <c r="C1455" s="32"/>
      <c r="D1455" s="32"/>
      <c r="E1455" s="32"/>
      <c r="F1455" s="32"/>
      <c r="G1455" s="32"/>
      <c r="H1455" s="32"/>
      <c r="I1455" s="32"/>
      <c r="J1455" s="32"/>
      <c r="K1455" s="32"/>
      <c r="L1455" s="32"/>
      <c r="M1455" s="23"/>
      <c r="N1455" s="32"/>
      <c r="O1455" s="32"/>
      <c r="P1455" s="32"/>
      <c r="Q1455" s="32"/>
      <c r="R1455" s="32"/>
      <c r="S1455" s="32"/>
      <c r="T1455" s="32"/>
      <c r="U1455" s="32"/>
      <c r="V1455" s="32"/>
      <c r="W1455" s="32"/>
      <c r="X1455" s="32"/>
      <c r="Y1455" s="32"/>
      <c r="Z1455" s="32"/>
      <c r="AA1455" s="32"/>
      <c r="AB1455" s="32"/>
    </row>
    <row r="1456" spans="1:28" ht="13" x14ac:dyDescent="0.15">
      <c r="A1456" s="32"/>
      <c r="B1456" s="32"/>
      <c r="C1456" s="32"/>
      <c r="D1456" s="32"/>
      <c r="E1456" s="32"/>
      <c r="F1456" s="32"/>
      <c r="G1456" s="32"/>
      <c r="H1456" s="32"/>
      <c r="I1456" s="32"/>
      <c r="J1456" s="32"/>
      <c r="K1456" s="32"/>
      <c r="L1456" s="32"/>
      <c r="M1456" s="23"/>
      <c r="N1456" s="32"/>
      <c r="O1456" s="32"/>
      <c r="P1456" s="32"/>
      <c r="Q1456" s="32"/>
      <c r="R1456" s="32"/>
      <c r="S1456" s="32"/>
      <c r="T1456" s="32"/>
      <c r="U1456" s="32"/>
      <c r="V1456" s="32"/>
      <c r="W1456" s="32"/>
      <c r="X1456" s="32"/>
      <c r="Y1456" s="32"/>
      <c r="Z1456" s="32"/>
      <c r="AA1456" s="32"/>
      <c r="AB1456" s="32"/>
    </row>
    <row r="1457" spans="1:28" ht="13" x14ac:dyDescent="0.15">
      <c r="A1457" s="32"/>
      <c r="B1457" s="32"/>
      <c r="C1457" s="32"/>
      <c r="D1457" s="32"/>
      <c r="E1457" s="32"/>
      <c r="F1457" s="32"/>
      <c r="G1457" s="32"/>
      <c r="H1457" s="32"/>
      <c r="I1457" s="32"/>
      <c r="J1457" s="32"/>
      <c r="K1457" s="32"/>
      <c r="L1457" s="32"/>
      <c r="M1457" s="23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  <c r="AA1457" s="32"/>
      <c r="AB1457" s="32"/>
    </row>
    <row r="1458" spans="1:28" ht="13" x14ac:dyDescent="0.15">
      <c r="A1458" s="32"/>
      <c r="B1458" s="32"/>
      <c r="C1458" s="32"/>
      <c r="D1458" s="32"/>
      <c r="E1458" s="32"/>
      <c r="F1458" s="32"/>
      <c r="G1458" s="32"/>
      <c r="H1458" s="32"/>
      <c r="I1458" s="32"/>
      <c r="J1458" s="32"/>
      <c r="K1458" s="32"/>
      <c r="L1458" s="32"/>
      <c r="M1458" s="23"/>
      <c r="N1458" s="32"/>
      <c r="O1458" s="32"/>
      <c r="P1458" s="32"/>
      <c r="Q1458" s="32"/>
      <c r="R1458" s="32"/>
      <c r="S1458" s="32"/>
      <c r="T1458" s="32"/>
      <c r="U1458" s="32"/>
      <c r="V1458" s="32"/>
      <c r="W1458" s="32"/>
      <c r="X1458" s="32"/>
      <c r="Y1458" s="32"/>
      <c r="Z1458" s="32"/>
      <c r="AA1458" s="32"/>
      <c r="AB1458" s="32"/>
    </row>
    <row r="1459" spans="1:28" ht="13" x14ac:dyDescent="0.15">
      <c r="A1459" s="32"/>
      <c r="B1459" s="32"/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23"/>
      <c r="N1459" s="32"/>
      <c r="O1459" s="32"/>
      <c r="P1459" s="32"/>
      <c r="Q1459" s="32"/>
      <c r="R1459" s="32"/>
      <c r="S1459" s="32"/>
      <c r="T1459" s="32"/>
      <c r="U1459" s="32"/>
      <c r="V1459" s="32"/>
      <c r="W1459" s="32"/>
      <c r="X1459" s="32"/>
      <c r="Y1459" s="32"/>
      <c r="Z1459" s="32"/>
      <c r="AA1459" s="32"/>
      <c r="AB1459" s="32"/>
    </row>
    <row r="1460" spans="1:28" ht="13" x14ac:dyDescent="0.15">
      <c r="A1460" s="32"/>
      <c r="B1460" s="32"/>
      <c r="C1460" s="32"/>
      <c r="D1460" s="32"/>
      <c r="E1460" s="32"/>
      <c r="F1460" s="32"/>
      <c r="G1460" s="32"/>
      <c r="H1460" s="32"/>
      <c r="I1460" s="32"/>
      <c r="J1460" s="32"/>
      <c r="K1460" s="32"/>
      <c r="L1460" s="32"/>
      <c r="M1460" s="23"/>
      <c r="N1460" s="32"/>
      <c r="O1460" s="32"/>
      <c r="P1460" s="32"/>
      <c r="Q1460" s="32"/>
      <c r="R1460" s="32"/>
      <c r="S1460" s="32"/>
      <c r="T1460" s="32"/>
      <c r="U1460" s="32"/>
      <c r="V1460" s="32"/>
      <c r="W1460" s="32"/>
      <c r="X1460" s="32"/>
      <c r="Y1460" s="32"/>
      <c r="Z1460" s="32"/>
      <c r="AA1460" s="32"/>
      <c r="AB1460" s="32"/>
    </row>
    <row r="1461" spans="1:28" ht="13" x14ac:dyDescent="0.15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23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</row>
    <row r="1462" spans="1:28" ht="13" x14ac:dyDescent="0.15">
      <c r="A1462" s="32"/>
      <c r="B1462" s="32"/>
      <c r="C1462" s="32"/>
      <c r="D1462" s="32"/>
      <c r="E1462" s="32"/>
      <c r="F1462" s="32"/>
      <c r="G1462" s="32"/>
      <c r="H1462" s="32"/>
      <c r="I1462" s="32"/>
      <c r="J1462" s="32"/>
      <c r="K1462" s="32"/>
      <c r="L1462" s="32"/>
      <c r="M1462" s="23"/>
      <c r="N1462" s="32"/>
      <c r="O1462" s="32"/>
      <c r="P1462" s="32"/>
      <c r="Q1462" s="32"/>
      <c r="R1462" s="32"/>
      <c r="S1462" s="32"/>
      <c r="T1462" s="32"/>
      <c r="U1462" s="32"/>
      <c r="V1462" s="32"/>
      <c r="W1462" s="32"/>
      <c r="X1462" s="32"/>
      <c r="Y1462" s="32"/>
      <c r="Z1462" s="32"/>
      <c r="AA1462" s="32"/>
      <c r="AB1462" s="32"/>
    </row>
    <row r="1463" spans="1:28" ht="13" x14ac:dyDescent="0.15">
      <c r="A1463" s="32"/>
      <c r="B1463" s="32"/>
      <c r="C1463" s="32"/>
      <c r="D1463" s="32"/>
      <c r="E1463" s="32"/>
      <c r="F1463" s="32"/>
      <c r="G1463" s="32"/>
      <c r="H1463" s="32"/>
      <c r="I1463" s="32"/>
      <c r="J1463" s="32"/>
      <c r="K1463" s="32"/>
      <c r="L1463" s="32"/>
      <c r="M1463" s="23"/>
      <c r="N1463" s="32"/>
      <c r="O1463" s="32"/>
      <c r="P1463" s="32"/>
      <c r="Q1463" s="32"/>
      <c r="R1463" s="32"/>
      <c r="S1463" s="32"/>
      <c r="T1463" s="32"/>
      <c r="U1463" s="32"/>
      <c r="V1463" s="32"/>
      <c r="W1463" s="32"/>
      <c r="X1463" s="32"/>
      <c r="Y1463" s="32"/>
      <c r="Z1463" s="32"/>
      <c r="AA1463" s="32"/>
      <c r="AB1463" s="32"/>
    </row>
    <row r="1464" spans="1:28" ht="13" x14ac:dyDescent="0.15">
      <c r="A1464" s="32"/>
      <c r="B1464" s="32"/>
      <c r="C1464" s="32"/>
      <c r="D1464" s="32"/>
      <c r="E1464" s="32"/>
      <c r="F1464" s="32"/>
      <c r="G1464" s="32"/>
      <c r="H1464" s="32"/>
      <c r="I1464" s="32"/>
      <c r="J1464" s="32"/>
      <c r="K1464" s="32"/>
      <c r="L1464" s="32"/>
      <c r="M1464" s="23"/>
      <c r="N1464" s="32"/>
      <c r="O1464" s="32"/>
      <c r="P1464" s="32"/>
      <c r="Q1464" s="32"/>
      <c r="R1464" s="32"/>
      <c r="S1464" s="32"/>
      <c r="T1464" s="32"/>
      <c r="U1464" s="32"/>
      <c r="V1464" s="32"/>
      <c r="W1464" s="32"/>
      <c r="X1464" s="32"/>
      <c r="Y1464" s="32"/>
      <c r="Z1464" s="32"/>
      <c r="AA1464" s="32"/>
      <c r="AB1464" s="32"/>
    </row>
    <row r="1465" spans="1:28" ht="13" x14ac:dyDescent="0.15">
      <c r="A1465" s="32"/>
      <c r="B1465" s="32"/>
      <c r="C1465" s="32"/>
      <c r="D1465" s="32"/>
      <c r="E1465" s="32"/>
      <c r="F1465" s="32"/>
      <c r="G1465" s="32"/>
      <c r="H1465" s="32"/>
      <c r="I1465" s="32"/>
      <c r="J1465" s="32"/>
      <c r="K1465" s="32"/>
      <c r="L1465" s="32"/>
      <c r="M1465" s="23"/>
      <c r="N1465" s="32"/>
      <c r="O1465" s="32"/>
      <c r="P1465" s="32"/>
      <c r="Q1465" s="32"/>
      <c r="R1465" s="32"/>
      <c r="S1465" s="32"/>
      <c r="T1465" s="32"/>
      <c r="U1465" s="32"/>
      <c r="V1465" s="32"/>
      <c r="W1465" s="32"/>
      <c r="X1465" s="32"/>
      <c r="Y1465" s="32"/>
      <c r="Z1465" s="32"/>
      <c r="AA1465" s="32"/>
      <c r="AB1465" s="32"/>
    </row>
    <row r="1466" spans="1:28" ht="13" x14ac:dyDescent="0.15">
      <c r="A1466" s="32"/>
      <c r="B1466" s="32"/>
      <c r="C1466" s="32"/>
      <c r="D1466" s="32"/>
      <c r="E1466" s="32"/>
      <c r="F1466" s="32"/>
      <c r="G1466" s="32"/>
      <c r="H1466" s="32"/>
      <c r="I1466" s="32"/>
      <c r="J1466" s="32"/>
      <c r="K1466" s="32"/>
      <c r="L1466" s="32"/>
      <c r="M1466" s="23"/>
      <c r="N1466" s="32"/>
      <c r="O1466" s="32"/>
      <c r="P1466" s="32"/>
      <c r="Q1466" s="32"/>
      <c r="R1466" s="32"/>
      <c r="S1466" s="32"/>
      <c r="T1466" s="32"/>
      <c r="U1466" s="32"/>
      <c r="V1466" s="32"/>
      <c r="W1466" s="32"/>
      <c r="X1466" s="32"/>
      <c r="Y1466" s="32"/>
      <c r="Z1466" s="32"/>
      <c r="AA1466" s="32"/>
      <c r="AB1466" s="32"/>
    </row>
    <row r="1467" spans="1:28" ht="13" x14ac:dyDescent="0.15">
      <c r="A1467" s="32"/>
      <c r="B1467" s="32"/>
      <c r="C1467" s="32"/>
      <c r="D1467" s="32"/>
      <c r="E1467" s="32"/>
      <c r="F1467" s="32"/>
      <c r="G1467" s="32"/>
      <c r="H1467" s="32"/>
      <c r="I1467" s="32"/>
      <c r="J1467" s="32"/>
      <c r="K1467" s="32"/>
      <c r="L1467" s="32"/>
      <c r="M1467" s="23"/>
      <c r="N1467" s="32"/>
      <c r="O1467" s="32"/>
      <c r="P1467" s="32"/>
      <c r="Q1467" s="32"/>
      <c r="R1467" s="32"/>
      <c r="S1467" s="32"/>
      <c r="T1467" s="32"/>
      <c r="U1467" s="32"/>
      <c r="V1467" s="32"/>
      <c r="W1467" s="32"/>
      <c r="X1467" s="32"/>
      <c r="Y1467" s="32"/>
      <c r="Z1467" s="32"/>
      <c r="AA1467" s="32"/>
      <c r="AB1467" s="32"/>
    </row>
    <row r="1468" spans="1:28" ht="13" x14ac:dyDescent="0.15">
      <c r="A1468" s="32"/>
      <c r="B1468" s="32"/>
      <c r="C1468" s="32"/>
      <c r="D1468" s="32"/>
      <c r="E1468" s="32"/>
      <c r="F1468" s="32"/>
      <c r="G1468" s="32"/>
      <c r="H1468" s="32"/>
      <c r="I1468" s="32"/>
      <c r="J1468" s="32"/>
      <c r="K1468" s="32"/>
      <c r="L1468" s="32"/>
      <c r="M1468" s="23"/>
      <c r="N1468" s="32"/>
      <c r="O1468" s="32"/>
      <c r="P1468" s="32"/>
      <c r="Q1468" s="32"/>
      <c r="R1468" s="32"/>
      <c r="S1468" s="32"/>
      <c r="T1468" s="32"/>
      <c r="U1468" s="32"/>
      <c r="V1468" s="32"/>
      <c r="W1468" s="32"/>
      <c r="X1468" s="32"/>
      <c r="Y1468" s="32"/>
      <c r="Z1468" s="32"/>
      <c r="AA1468" s="32"/>
      <c r="AB1468" s="32"/>
    </row>
    <row r="1469" spans="1:28" ht="13" x14ac:dyDescent="0.15">
      <c r="A1469" s="32"/>
      <c r="B1469" s="32"/>
      <c r="C1469" s="32"/>
      <c r="D1469" s="32"/>
      <c r="E1469" s="32"/>
      <c r="F1469" s="32"/>
      <c r="G1469" s="32"/>
      <c r="H1469" s="32"/>
      <c r="I1469" s="32"/>
      <c r="J1469" s="32"/>
      <c r="K1469" s="32"/>
      <c r="L1469" s="32"/>
      <c r="M1469" s="23"/>
      <c r="N1469" s="32"/>
      <c r="O1469" s="32"/>
      <c r="P1469" s="32"/>
      <c r="Q1469" s="32"/>
      <c r="R1469" s="32"/>
      <c r="S1469" s="32"/>
      <c r="T1469" s="32"/>
      <c r="U1469" s="32"/>
      <c r="V1469" s="32"/>
      <c r="W1469" s="32"/>
      <c r="X1469" s="32"/>
      <c r="Y1469" s="32"/>
      <c r="Z1469" s="32"/>
      <c r="AA1469" s="32"/>
      <c r="AB1469" s="32"/>
    </row>
    <row r="1470" spans="1:28" ht="13" x14ac:dyDescent="0.15">
      <c r="A1470" s="32"/>
      <c r="B1470" s="32"/>
      <c r="C1470" s="32"/>
      <c r="D1470" s="32"/>
      <c r="E1470" s="32"/>
      <c r="F1470" s="32"/>
      <c r="G1470" s="32"/>
      <c r="H1470" s="32"/>
      <c r="I1470" s="32"/>
      <c r="J1470" s="32"/>
      <c r="K1470" s="32"/>
      <c r="L1470" s="32"/>
      <c r="M1470" s="23"/>
      <c r="N1470" s="32"/>
      <c r="O1470" s="32"/>
      <c r="P1470" s="32"/>
      <c r="Q1470" s="32"/>
      <c r="R1470" s="32"/>
      <c r="S1470" s="32"/>
      <c r="T1470" s="32"/>
      <c r="U1470" s="32"/>
      <c r="V1470" s="32"/>
      <c r="W1470" s="32"/>
      <c r="X1470" s="32"/>
      <c r="Y1470" s="32"/>
      <c r="Z1470" s="32"/>
      <c r="AA1470" s="32"/>
      <c r="AB1470" s="32"/>
    </row>
    <row r="1471" spans="1:28" ht="13" x14ac:dyDescent="0.15">
      <c r="A1471" s="32"/>
      <c r="B1471" s="32"/>
      <c r="C1471" s="32"/>
      <c r="D1471" s="32"/>
      <c r="E1471" s="32"/>
      <c r="F1471" s="32"/>
      <c r="G1471" s="32"/>
      <c r="H1471" s="32"/>
      <c r="I1471" s="32"/>
      <c r="J1471" s="32"/>
      <c r="K1471" s="32"/>
      <c r="L1471" s="32"/>
      <c r="M1471" s="23"/>
      <c r="N1471" s="32"/>
      <c r="O1471" s="32"/>
      <c r="P1471" s="32"/>
      <c r="Q1471" s="32"/>
      <c r="R1471" s="32"/>
      <c r="S1471" s="32"/>
      <c r="T1471" s="32"/>
      <c r="U1471" s="32"/>
      <c r="V1471" s="32"/>
      <c r="W1471" s="32"/>
      <c r="X1471" s="32"/>
      <c r="Y1471" s="32"/>
      <c r="Z1471" s="32"/>
      <c r="AA1471" s="32"/>
      <c r="AB1471" s="32"/>
    </row>
    <row r="1472" spans="1:28" ht="13" x14ac:dyDescent="0.15">
      <c r="A1472" s="32"/>
      <c r="B1472" s="32"/>
      <c r="C1472" s="32"/>
      <c r="D1472" s="32"/>
      <c r="E1472" s="32"/>
      <c r="F1472" s="32"/>
      <c r="G1472" s="32"/>
      <c r="H1472" s="32"/>
      <c r="I1472" s="32"/>
      <c r="J1472" s="32"/>
      <c r="K1472" s="32"/>
      <c r="L1472" s="32"/>
      <c r="M1472" s="23"/>
      <c r="N1472" s="32"/>
      <c r="O1472" s="32"/>
      <c r="P1472" s="32"/>
      <c r="Q1472" s="32"/>
      <c r="R1472" s="32"/>
      <c r="S1472" s="32"/>
      <c r="T1472" s="32"/>
      <c r="U1472" s="32"/>
      <c r="V1472" s="32"/>
      <c r="W1472" s="32"/>
      <c r="X1472" s="32"/>
      <c r="Y1472" s="32"/>
      <c r="Z1472" s="32"/>
      <c r="AA1472" s="32"/>
      <c r="AB1472" s="32"/>
    </row>
    <row r="1473" spans="1:28" ht="13" x14ac:dyDescent="0.15">
      <c r="A1473" s="32"/>
      <c r="B1473" s="32"/>
      <c r="C1473" s="32"/>
      <c r="D1473" s="32"/>
      <c r="E1473" s="32"/>
      <c r="F1473" s="32"/>
      <c r="G1473" s="32"/>
      <c r="H1473" s="32"/>
      <c r="I1473" s="32"/>
      <c r="J1473" s="32"/>
      <c r="K1473" s="32"/>
      <c r="L1473" s="32"/>
      <c r="M1473" s="23"/>
      <c r="N1473" s="32"/>
      <c r="O1473" s="32"/>
      <c r="P1473" s="32"/>
      <c r="Q1473" s="32"/>
      <c r="R1473" s="32"/>
      <c r="S1473" s="32"/>
      <c r="T1473" s="32"/>
      <c r="U1473" s="32"/>
      <c r="V1473" s="32"/>
      <c r="W1473" s="32"/>
      <c r="X1473" s="32"/>
      <c r="Y1473" s="32"/>
      <c r="Z1473" s="32"/>
      <c r="AA1473" s="32"/>
      <c r="AB1473" s="32"/>
    </row>
    <row r="1474" spans="1:28" ht="13" x14ac:dyDescent="0.15">
      <c r="A1474" s="32"/>
      <c r="B1474" s="32"/>
      <c r="C1474" s="32"/>
      <c r="D1474" s="32"/>
      <c r="E1474" s="32"/>
      <c r="F1474" s="32"/>
      <c r="G1474" s="32"/>
      <c r="H1474" s="32"/>
      <c r="I1474" s="32"/>
      <c r="J1474" s="32"/>
      <c r="K1474" s="32"/>
      <c r="L1474" s="32"/>
      <c r="M1474" s="23"/>
      <c r="N1474" s="32"/>
      <c r="O1474" s="32"/>
      <c r="P1474" s="32"/>
      <c r="Q1474" s="32"/>
      <c r="R1474" s="32"/>
      <c r="S1474" s="32"/>
      <c r="T1474" s="32"/>
      <c r="U1474" s="32"/>
      <c r="V1474" s="32"/>
      <c r="W1474" s="32"/>
      <c r="X1474" s="32"/>
      <c r="Y1474" s="32"/>
      <c r="Z1474" s="32"/>
      <c r="AA1474" s="32"/>
      <c r="AB1474" s="32"/>
    </row>
    <row r="1475" spans="1:28" ht="13" x14ac:dyDescent="0.15">
      <c r="A1475" s="32"/>
      <c r="B1475" s="32"/>
      <c r="C1475" s="32"/>
      <c r="D1475" s="32"/>
      <c r="E1475" s="32"/>
      <c r="F1475" s="32"/>
      <c r="G1475" s="32"/>
      <c r="H1475" s="32"/>
      <c r="I1475" s="32"/>
      <c r="J1475" s="32"/>
      <c r="K1475" s="32"/>
      <c r="L1475" s="32"/>
      <c r="M1475" s="23"/>
      <c r="N1475" s="32"/>
      <c r="O1475" s="32"/>
      <c r="P1475" s="32"/>
      <c r="Q1475" s="32"/>
      <c r="R1475" s="32"/>
      <c r="S1475" s="32"/>
      <c r="T1475" s="32"/>
      <c r="U1475" s="32"/>
      <c r="V1475" s="32"/>
      <c r="W1475" s="32"/>
      <c r="X1475" s="32"/>
      <c r="Y1475" s="32"/>
      <c r="Z1475" s="32"/>
      <c r="AA1475" s="32"/>
      <c r="AB1475" s="32"/>
    </row>
    <row r="1476" spans="1:28" ht="13" x14ac:dyDescent="0.15">
      <c r="A1476" s="32"/>
      <c r="B1476" s="32"/>
      <c r="C1476" s="32"/>
      <c r="D1476" s="32"/>
      <c r="E1476" s="32"/>
      <c r="F1476" s="32"/>
      <c r="G1476" s="32"/>
      <c r="H1476" s="32"/>
      <c r="I1476" s="32"/>
      <c r="J1476" s="32"/>
      <c r="K1476" s="32"/>
      <c r="L1476" s="32"/>
      <c r="M1476" s="23"/>
      <c r="N1476" s="32"/>
      <c r="O1476" s="32"/>
      <c r="P1476" s="32"/>
      <c r="Q1476" s="32"/>
      <c r="R1476" s="32"/>
      <c r="S1476" s="32"/>
      <c r="T1476" s="32"/>
      <c r="U1476" s="32"/>
      <c r="V1476" s="32"/>
      <c r="W1476" s="32"/>
      <c r="X1476" s="32"/>
      <c r="Y1476" s="32"/>
      <c r="Z1476" s="32"/>
      <c r="AA1476" s="32"/>
      <c r="AB1476" s="32"/>
    </row>
    <row r="1477" spans="1:28" ht="13" x14ac:dyDescent="0.15">
      <c r="A1477" s="32"/>
      <c r="B1477" s="32"/>
      <c r="C1477" s="32"/>
      <c r="D1477" s="32"/>
      <c r="E1477" s="32"/>
      <c r="F1477" s="32"/>
      <c r="G1477" s="32"/>
      <c r="H1477" s="32"/>
      <c r="I1477" s="32"/>
      <c r="J1477" s="32"/>
      <c r="K1477" s="32"/>
      <c r="L1477" s="32"/>
      <c r="M1477" s="23"/>
      <c r="N1477" s="32"/>
      <c r="O1477" s="32"/>
      <c r="P1477" s="32"/>
      <c r="Q1477" s="32"/>
      <c r="R1477" s="32"/>
      <c r="S1477" s="32"/>
      <c r="T1477" s="32"/>
      <c r="U1477" s="32"/>
      <c r="V1477" s="32"/>
      <c r="W1477" s="32"/>
      <c r="X1477" s="32"/>
      <c r="Y1477" s="32"/>
      <c r="Z1477" s="32"/>
      <c r="AA1477" s="32"/>
      <c r="AB1477" s="32"/>
    </row>
    <row r="1478" spans="1:28" ht="13" x14ac:dyDescent="0.15">
      <c r="A1478" s="32"/>
      <c r="B1478" s="32"/>
      <c r="C1478" s="32"/>
      <c r="D1478" s="32"/>
      <c r="E1478" s="32"/>
      <c r="F1478" s="32"/>
      <c r="G1478" s="32"/>
      <c r="H1478" s="32"/>
      <c r="I1478" s="32"/>
      <c r="J1478" s="32"/>
      <c r="K1478" s="32"/>
      <c r="L1478" s="32"/>
      <c r="M1478" s="23"/>
      <c r="N1478" s="32"/>
      <c r="O1478" s="32"/>
      <c r="P1478" s="32"/>
      <c r="Q1478" s="32"/>
      <c r="R1478" s="32"/>
      <c r="S1478" s="32"/>
      <c r="T1478" s="32"/>
      <c r="U1478" s="32"/>
      <c r="V1478" s="32"/>
      <c r="W1478" s="32"/>
      <c r="X1478" s="32"/>
      <c r="Y1478" s="32"/>
      <c r="Z1478" s="32"/>
      <c r="AA1478" s="32"/>
      <c r="AB1478" s="32"/>
    </row>
    <row r="1479" spans="1:28" ht="13" x14ac:dyDescent="0.15">
      <c r="A1479" s="32"/>
      <c r="B1479" s="32"/>
      <c r="C1479" s="32"/>
      <c r="D1479" s="32"/>
      <c r="E1479" s="32"/>
      <c r="F1479" s="32"/>
      <c r="G1479" s="32"/>
      <c r="H1479" s="32"/>
      <c r="I1479" s="32"/>
      <c r="J1479" s="32"/>
      <c r="K1479" s="32"/>
      <c r="L1479" s="32"/>
      <c r="M1479" s="23"/>
      <c r="N1479" s="32"/>
      <c r="O1479" s="32"/>
      <c r="P1479" s="32"/>
      <c r="Q1479" s="32"/>
      <c r="R1479" s="32"/>
      <c r="S1479" s="32"/>
      <c r="T1479" s="32"/>
      <c r="U1479" s="32"/>
      <c r="V1479" s="32"/>
      <c r="W1479" s="32"/>
      <c r="X1479" s="32"/>
      <c r="Y1479" s="32"/>
      <c r="Z1479" s="32"/>
      <c r="AA1479" s="32"/>
      <c r="AB1479" s="32"/>
    </row>
    <row r="1480" spans="1:28" ht="13" x14ac:dyDescent="0.15">
      <c r="A1480" s="32"/>
      <c r="B1480" s="32"/>
      <c r="C1480" s="32"/>
      <c r="D1480" s="32"/>
      <c r="E1480" s="32"/>
      <c r="F1480" s="32"/>
      <c r="G1480" s="32"/>
      <c r="H1480" s="32"/>
      <c r="I1480" s="32"/>
      <c r="J1480" s="32"/>
      <c r="K1480" s="32"/>
      <c r="L1480" s="32"/>
      <c r="M1480" s="23"/>
      <c r="N1480" s="32"/>
      <c r="O1480" s="32"/>
      <c r="P1480" s="32"/>
      <c r="Q1480" s="32"/>
      <c r="R1480" s="32"/>
      <c r="S1480" s="32"/>
      <c r="T1480" s="32"/>
      <c r="U1480" s="32"/>
      <c r="V1480" s="32"/>
      <c r="W1480" s="32"/>
      <c r="X1480" s="32"/>
      <c r="Y1480" s="32"/>
      <c r="Z1480" s="32"/>
      <c r="AA1480" s="32"/>
      <c r="AB1480" s="32"/>
    </row>
    <row r="1481" spans="1:28" ht="13" x14ac:dyDescent="0.15">
      <c r="A1481" s="32"/>
      <c r="B1481" s="32"/>
      <c r="C1481" s="32"/>
      <c r="D1481" s="32"/>
      <c r="E1481" s="32"/>
      <c r="F1481" s="32"/>
      <c r="G1481" s="32"/>
      <c r="H1481" s="32"/>
      <c r="I1481" s="32"/>
      <c r="J1481" s="32"/>
      <c r="K1481" s="32"/>
      <c r="L1481" s="32"/>
      <c r="M1481" s="23"/>
      <c r="N1481" s="32"/>
      <c r="O1481" s="32"/>
      <c r="P1481" s="32"/>
      <c r="Q1481" s="32"/>
      <c r="R1481" s="32"/>
      <c r="S1481" s="32"/>
      <c r="T1481" s="32"/>
      <c r="U1481" s="32"/>
      <c r="V1481" s="32"/>
      <c r="W1481" s="32"/>
      <c r="X1481" s="32"/>
      <c r="Y1481" s="32"/>
      <c r="Z1481" s="32"/>
      <c r="AA1481" s="32"/>
      <c r="AB1481" s="32"/>
    </row>
    <row r="1482" spans="1:28" ht="13" x14ac:dyDescent="0.15">
      <c r="A1482" s="32"/>
      <c r="B1482" s="32"/>
      <c r="C1482" s="32"/>
      <c r="D1482" s="32"/>
      <c r="E1482" s="32"/>
      <c r="F1482" s="32"/>
      <c r="G1482" s="32"/>
      <c r="H1482" s="32"/>
      <c r="I1482" s="32"/>
      <c r="J1482" s="32"/>
      <c r="K1482" s="32"/>
      <c r="L1482" s="32"/>
      <c r="M1482" s="23"/>
      <c r="N1482" s="32"/>
      <c r="O1482" s="32"/>
      <c r="P1482" s="32"/>
      <c r="Q1482" s="32"/>
      <c r="R1482" s="32"/>
      <c r="S1482" s="32"/>
      <c r="T1482" s="32"/>
      <c r="U1482" s="32"/>
      <c r="V1482" s="32"/>
      <c r="W1482" s="32"/>
      <c r="X1482" s="32"/>
      <c r="Y1482" s="32"/>
      <c r="Z1482" s="32"/>
      <c r="AA1482" s="32"/>
      <c r="AB1482" s="32"/>
    </row>
    <row r="1483" spans="1:28" ht="13" x14ac:dyDescent="0.15">
      <c r="A1483" s="32"/>
      <c r="B1483" s="32"/>
      <c r="C1483" s="32"/>
      <c r="D1483" s="32"/>
      <c r="E1483" s="32"/>
      <c r="F1483" s="32"/>
      <c r="G1483" s="32"/>
      <c r="H1483" s="32"/>
      <c r="I1483" s="32"/>
      <c r="J1483" s="32"/>
      <c r="K1483" s="32"/>
      <c r="L1483" s="32"/>
      <c r="M1483" s="23"/>
      <c r="N1483" s="32"/>
      <c r="O1483" s="32"/>
      <c r="P1483" s="32"/>
      <c r="Q1483" s="32"/>
      <c r="R1483" s="32"/>
      <c r="S1483" s="32"/>
      <c r="T1483" s="32"/>
      <c r="U1483" s="32"/>
      <c r="V1483" s="32"/>
      <c r="W1483" s="32"/>
      <c r="X1483" s="32"/>
      <c r="Y1483" s="32"/>
      <c r="Z1483" s="32"/>
      <c r="AA1483" s="32"/>
      <c r="AB1483" s="32"/>
    </row>
    <row r="1484" spans="1:28" ht="13" x14ac:dyDescent="0.15">
      <c r="A1484" s="32"/>
      <c r="B1484" s="32"/>
      <c r="C1484" s="32"/>
      <c r="D1484" s="32"/>
      <c r="E1484" s="32"/>
      <c r="F1484" s="32"/>
      <c r="G1484" s="32"/>
      <c r="H1484" s="32"/>
      <c r="I1484" s="32"/>
      <c r="J1484" s="32"/>
      <c r="K1484" s="32"/>
      <c r="L1484" s="32"/>
      <c r="M1484" s="23"/>
      <c r="N1484" s="32"/>
      <c r="O1484" s="32"/>
      <c r="P1484" s="32"/>
      <c r="Q1484" s="32"/>
      <c r="R1484" s="32"/>
      <c r="S1484" s="32"/>
      <c r="T1484" s="32"/>
      <c r="U1484" s="32"/>
      <c r="V1484" s="32"/>
      <c r="W1484" s="32"/>
      <c r="X1484" s="32"/>
      <c r="Y1484" s="32"/>
      <c r="Z1484" s="32"/>
      <c r="AA1484" s="32"/>
      <c r="AB1484" s="32"/>
    </row>
    <row r="1485" spans="1:28" ht="13" x14ac:dyDescent="0.15">
      <c r="A1485" s="32"/>
      <c r="B1485" s="32"/>
      <c r="C1485" s="32"/>
      <c r="D1485" s="32"/>
      <c r="E1485" s="32"/>
      <c r="F1485" s="32"/>
      <c r="G1485" s="32"/>
      <c r="H1485" s="32"/>
      <c r="I1485" s="32"/>
      <c r="J1485" s="32"/>
      <c r="K1485" s="32"/>
      <c r="L1485" s="32"/>
      <c r="M1485" s="23"/>
      <c r="N1485" s="32"/>
      <c r="O1485" s="32"/>
      <c r="P1485" s="32"/>
      <c r="Q1485" s="32"/>
      <c r="R1485" s="32"/>
      <c r="S1485" s="32"/>
      <c r="T1485" s="32"/>
      <c r="U1485" s="32"/>
      <c r="V1485" s="32"/>
      <c r="W1485" s="32"/>
      <c r="X1485" s="32"/>
      <c r="Y1485" s="32"/>
      <c r="Z1485" s="32"/>
      <c r="AA1485" s="32"/>
      <c r="AB1485" s="32"/>
    </row>
    <row r="1486" spans="1:28" ht="13" x14ac:dyDescent="0.15">
      <c r="A1486" s="32"/>
      <c r="B1486" s="32"/>
      <c r="C1486" s="32"/>
      <c r="D1486" s="32"/>
      <c r="E1486" s="32"/>
      <c r="F1486" s="32"/>
      <c r="G1486" s="32"/>
      <c r="H1486" s="32"/>
      <c r="I1486" s="32"/>
      <c r="J1486" s="32"/>
      <c r="K1486" s="32"/>
      <c r="L1486" s="32"/>
      <c r="M1486" s="23"/>
      <c r="N1486" s="32"/>
      <c r="O1486" s="32"/>
      <c r="P1486" s="32"/>
      <c r="Q1486" s="32"/>
      <c r="R1486" s="32"/>
      <c r="S1486" s="32"/>
      <c r="T1486" s="32"/>
      <c r="U1486" s="32"/>
      <c r="V1486" s="32"/>
      <c r="W1486" s="32"/>
      <c r="X1486" s="32"/>
      <c r="Y1486" s="32"/>
      <c r="Z1486" s="32"/>
      <c r="AA1486" s="32"/>
      <c r="AB1486" s="32"/>
    </row>
    <row r="1487" spans="1:28" ht="13" x14ac:dyDescent="0.15">
      <c r="A1487" s="32"/>
      <c r="B1487" s="32"/>
      <c r="C1487" s="32"/>
      <c r="D1487" s="32"/>
      <c r="E1487" s="32"/>
      <c r="F1487" s="32"/>
      <c r="G1487" s="32"/>
      <c r="H1487" s="32"/>
      <c r="I1487" s="32"/>
      <c r="J1487" s="32"/>
      <c r="K1487" s="32"/>
      <c r="L1487" s="32"/>
      <c r="M1487" s="23"/>
      <c r="N1487" s="32"/>
      <c r="O1487" s="32"/>
      <c r="P1487" s="32"/>
      <c r="Q1487" s="32"/>
      <c r="R1487" s="32"/>
      <c r="S1487" s="32"/>
      <c r="T1487" s="32"/>
      <c r="U1487" s="32"/>
      <c r="V1487" s="32"/>
      <c r="W1487" s="32"/>
      <c r="X1487" s="32"/>
      <c r="Y1487" s="32"/>
      <c r="Z1487" s="32"/>
      <c r="AA1487" s="32"/>
      <c r="AB1487" s="32"/>
    </row>
    <row r="1488" spans="1:28" ht="13" x14ac:dyDescent="0.15">
      <c r="A1488" s="32"/>
      <c r="B1488" s="32"/>
      <c r="C1488" s="32"/>
      <c r="D1488" s="32"/>
      <c r="E1488" s="32"/>
      <c r="F1488" s="32"/>
      <c r="G1488" s="32"/>
      <c r="H1488" s="32"/>
      <c r="I1488" s="32"/>
      <c r="J1488" s="32"/>
      <c r="K1488" s="32"/>
      <c r="L1488" s="32"/>
      <c r="M1488" s="23"/>
      <c r="N1488" s="32"/>
      <c r="O1488" s="32"/>
      <c r="P1488" s="32"/>
      <c r="Q1488" s="32"/>
      <c r="R1488" s="32"/>
      <c r="S1488" s="32"/>
      <c r="T1488" s="32"/>
      <c r="U1488" s="32"/>
      <c r="V1488" s="32"/>
      <c r="W1488" s="32"/>
      <c r="X1488" s="32"/>
      <c r="Y1488" s="32"/>
      <c r="Z1488" s="32"/>
      <c r="AA1488" s="32"/>
      <c r="AB1488" s="32"/>
    </row>
    <row r="1489" spans="1:28" ht="13" x14ac:dyDescent="0.15">
      <c r="A1489" s="32"/>
      <c r="B1489" s="32"/>
      <c r="C1489" s="32"/>
      <c r="D1489" s="32"/>
      <c r="E1489" s="32"/>
      <c r="F1489" s="32"/>
      <c r="G1489" s="32"/>
      <c r="H1489" s="32"/>
      <c r="I1489" s="32"/>
      <c r="J1489" s="32"/>
      <c r="K1489" s="32"/>
      <c r="L1489" s="32"/>
      <c r="M1489" s="23"/>
      <c r="N1489" s="32"/>
      <c r="O1489" s="32"/>
      <c r="P1489" s="32"/>
      <c r="Q1489" s="32"/>
      <c r="R1489" s="32"/>
      <c r="S1489" s="32"/>
      <c r="T1489" s="32"/>
      <c r="U1489" s="32"/>
      <c r="V1489" s="32"/>
      <c r="W1489" s="32"/>
      <c r="X1489" s="32"/>
      <c r="Y1489" s="32"/>
      <c r="Z1489" s="32"/>
      <c r="AA1489" s="32"/>
      <c r="AB1489" s="32"/>
    </row>
    <row r="1490" spans="1:28" ht="13" x14ac:dyDescent="0.15">
      <c r="A1490" s="32"/>
      <c r="B1490" s="32"/>
      <c r="C1490" s="32"/>
      <c r="D1490" s="32"/>
      <c r="E1490" s="32"/>
      <c r="F1490" s="32"/>
      <c r="G1490" s="32"/>
      <c r="H1490" s="32"/>
      <c r="I1490" s="32"/>
      <c r="J1490" s="32"/>
      <c r="K1490" s="32"/>
      <c r="L1490" s="32"/>
      <c r="M1490" s="23"/>
      <c r="N1490" s="32"/>
      <c r="O1490" s="32"/>
      <c r="P1490" s="32"/>
      <c r="Q1490" s="32"/>
      <c r="R1490" s="32"/>
      <c r="S1490" s="32"/>
      <c r="T1490" s="32"/>
      <c r="U1490" s="32"/>
      <c r="V1490" s="32"/>
      <c r="W1490" s="32"/>
      <c r="X1490" s="32"/>
      <c r="Y1490" s="32"/>
      <c r="Z1490" s="32"/>
      <c r="AA1490" s="32"/>
      <c r="AB1490" s="32"/>
    </row>
    <row r="1491" spans="1:28" ht="13" x14ac:dyDescent="0.15">
      <c r="A1491" s="32"/>
      <c r="B1491" s="32"/>
      <c r="C1491" s="32"/>
      <c r="D1491" s="32"/>
      <c r="E1491" s="32"/>
      <c r="F1491" s="32"/>
      <c r="G1491" s="32"/>
      <c r="H1491" s="32"/>
      <c r="I1491" s="32"/>
      <c r="J1491" s="32"/>
      <c r="K1491" s="32"/>
      <c r="L1491" s="32"/>
      <c r="M1491" s="23"/>
      <c r="N1491" s="32"/>
      <c r="O1491" s="32"/>
      <c r="P1491" s="32"/>
      <c r="Q1491" s="32"/>
      <c r="R1491" s="32"/>
      <c r="S1491" s="32"/>
      <c r="T1491" s="32"/>
      <c r="U1491" s="32"/>
      <c r="V1491" s="32"/>
      <c r="W1491" s="32"/>
      <c r="X1491" s="32"/>
      <c r="Y1491" s="32"/>
      <c r="Z1491" s="32"/>
      <c r="AA1491" s="32"/>
      <c r="AB1491" s="32"/>
    </row>
    <row r="1492" spans="1:28" ht="13" x14ac:dyDescent="0.15">
      <c r="A1492" s="32"/>
      <c r="B1492" s="32"/>
      <c r="C1492" s="32"/>
      <c r="D1492" s="32"/>
      <c r="E1492" s="32"/>
      <c r="F1492" s="32"/>
      <c r="G1492" s="32"/>
      <c r="H1492" s="32"/>
      <c r="I1492" s="32"/>
      <c r="J1492" s="32"/>
      <c r="K1492" s="32"/>
      <c r="L1492" s="32"/>
      <c r="M1492" s="23"/>
      <c r="N1492" s="32"/>
      <c r="O1492" s="32"/>
      <c r="P1492" s="32"/>
      <c r="Q1492" s="32"/>
      <c r="R1492" s="32"/>
      <c r="S1492" s="32"/>
      <c r="T1492" s="32"/>
      <c r="U1492" s="32"/>
      <c r="V1492" s="32"/>
      <c r="W1492" s="32"/>
      <c r="X1492" s="32"/>
      <c r="Y1492" s="32"/>
      <c r="Z1492" s="32"/>
      <c r="AA1492" s="32"/>
      <c r="AB1492" s="32"/>
    </row>
    <row r="1493" spans="1:28" ht="13" x14ac:dyDescent="0.15">
      <c r="A1493" s="32"/>
      <c r="B1493" s="32"/>
      <c r="C1493" s="32"/>
      <c r="D1493" s="32"/>
      <c r="E1493" s="32"/>
      <c r="F1493" s="32"/>
      <c r="G1493" s="32"/>
      <c r="H1493" s="32"/>
      <c r="I1493" s="32"/>
      <c r="J1493" s="32"/>
      <c r="K1493" s="32"/>
      <c r="L1493" s="32"/>
      <c r="M1493" s="23"/>
      <c r="N1493" s="32"/>
      <c r="O1493" s="32"/>
      <c r="P1493" s="32"/>
      <c r="Q1493" s="32"/>
      <c r="R1493" s="32"/>
      <c r="S1493" s="32"/>
      <c r="T1493" s="32"/>
      <c r="U1493" s="32"/>
      <c r="V1493" s="32"/>
      <c r="W1493" s="32"/>
      <c r="X1493" s="32"/>
      <c r="Y1493" s="32"/>
      <c r="Z1493" s="32"/>
      <c r="AA1493" s="32"/>
      <c r="AB1493" s="32"/>
    </row>
    <row r="1494" spans="1:28" ht="13" x14ac:dyDescent="0.15">
      <c r="A1494" s="32"/>
      <c r="B1494" s="32"/>
      <c r="C1494" s="32"/>
      <c r="D1494" s="32"/>
      <c r="E1494" s="32"/>
      <c r="F1494" s="32"/>
      <c r="G1494" s="32"/>
      <c r="H1494" s="32"/>
      <c r="I1494" s="32"/>
      <c r="J1494" s="32"/>
      <c r="K1494" s="32"/>
      <c r="L1494" s="32"/>
      <c r="M1494" s="23"/>
      <c r="N1494" s="32"/>
      <c r="O1494" s="32"/>
      <c r="P1494" s="32"/>
      <c r="Q1494" s="32"/>
      <c r="R1494" s="32"/>
      <c r="S1494" s="32"/>
      <c r="T1494" s="32"/>
      <c r="U1494" s="32"/>
      <c r="V1494" s="32"/>
      <c r="W1494" s="32"/>
      <c r="X1494" s="32"/>
      <c r="Y1494" s="32"/>
      <c r="Z1494" s="32"/>
      <c r="AA1494" s="32"/>
      <c r="AB1494" s="32"/>
    </row>
    <row r="1495" spans="1:28" ht="13" x14ac:dyDescent="0.15">
      <c r="A1495" s="32"/>
      <c r="B1495" s="32"/>
      <c r="C1495" s="32"/>
      <c r="D1495" s="32"/>
      <c r="E1495" s="32"/>
      <c r="F1495" s="32"/>
      <c r="G1495" s="32"/>
      <c r="H1495" s="32"/>
      <c r="I1495" s="32"/>
      <c r="J1495" s="32"/>
      <c r="K1495" s="32"/>
      <c r="L1495" s="32"/>
      <c r="M1495" s="23"/>
      <c r="N1495" s="32"/>
      <c r="O1495" s="32"/>
      <c r="P1495" s="32"/>
      <c r="Q1495" s="32"/>
      <c r="R1495" s="32"/>
      <c r="S1495" s="32"/>
      <c r="T1495" s="32"/>
      <c r="U1495" s="32"/>
      <c r="V1495" s="32"/>
      <c r="W1495" s="32"/>
      <c r="X1495" s="32"/>
      <c r="Y1495" s="32"/>
      <c r="Z1495" s="32"/>
      <c r="AA1495" s="32"/>
      <c r="AB1495" s="32"/>
    </row>
    <row r="1496" spans="1:28" ht="13" x14ac:dyDescent="0.15">
      <c r="A1496" s="32"/>
      <c r="B1496" s="32"/>
      <c r="C1496" s="32"/>
      <c r="D1496" s="32"/>
      <c r="E1496" s="32"/>
      <c r="F1496" s="32"/>
      <c r="G1496" s="32"/>
      <c r="H1496" s="32"/>
      <c r="I1496" s="32"/>
      <c r="J1496" s="32"/>
      <c r="K1496" s="32"/>
      <c r="L1496" s="32"/>
      <c r="M1496" s="23"/>
      <c r="N1496" s="32"/>
      <c r="O1496" s="32"/>
      <c r="P1496" s="32"/>
      <c r="Q1496" s="32"/>
      <c r="R1496" s="32"/>
      <c r="S1496" s="32"/>
      <c r="T1496" s="32"/>
      <c r="U1496" s="32"/>
      <c r="V1496" s="32"/>
      <c r="W1496" s="32"/>
      <c r="X1496" s="32"/>
      <c r="Y1496" s="32"/>
      <c r="Z1496" s="32"/>
      <c r="AA1496" s="32"/>
      <c r="AB1496" s="32"/>
    </row>
    <row r="1497" spans="1:28" ht="13" x14ac:dyDescent="0.15">
      <c r="A1497" s="32"/>
      <c r="B1497" s="32"/>
      <c r="C1497" s="32"/>
      <c r="D1497" s="32"/>
      <c r="E1497" s="32"/>
      <c r="F1497" s="32"/>
      <c r="G1497" s="32"/>
      <c r="H1497" s="32"/>
      <c r="I1497" s="32"/>
      <c r="J1497" s="32"/>
      <c r="K1497" s="32"/>
      <c r="L1497" s="32"/>
      <c r="M1497" s="23"/>
      <c r="N1497" s="32"/>
      <c r="O1497" s="32"/>
      <c r="P1497" s="32"/>
      <c r="Q1497" s="32"/>
      <c r="R1497" s="32"/>
      <c r="S1497" s="32"/>
      <c r="T1497" s="32"/>
      <c r="U1497" s="32"/>
      <c r="V1497" s="32"/>
      <c r="W1497" s="32"/>
      <c r="X1497" s="32"/>
      <c r="Y1497" s="32"/>
      <c r="Z1497" s="32"/>
      <c r="AA1497" s="32"/>
      <c r="AB1497" s="32"/>
    </row>
    <row r="1498" spans="1:28" ht="13" x14ac:dyDescent="0.15">
      <c r="A1498" s="32"/>
      <c r="B1498" s="32"/>
      <c r="C1498" s="32"/>
      <c r="D1498" s="32"/>
      <c r="E1498" s="32"/>
      <c r="F1498" s="32"/>
      <c r="G1498" s="32"/>
      <c r="H1498" s="32"/>
      <c r="I1498" s="32"/>
      <c r="J1498" s="32"/>
      <c r="K1498" s="32"/>
      <c r="L1498" s="32"/>
      <c r="M1498" s="23"/>
      <c r="N1498" s="32"/>
      <c r="O1498" s="32"/>
      <c r="P1498" s="32"/>
      <c r="Q1498" s="32"/>
      <c r="R1498" s="32"/>
      <c r="S1498" s="32"/>
      <c r="T1498" s="32"/>
      <c r="U1498" s="32"/>
      <c r="V1498" s="32"/>
      <c r="W1498" s="32"/>
      <c r="X1498" s="32"/>
      <c r="Y1498" s="32"/>
      <c r="Z1498" s="32"/>
      <c r="AA1498" s="32"/>
      <c r="AB1498" s="32"/>
    </row>
    <row r="1499" spans="1:28" ht="13" x14ac:dyDescent="0.15">
      <c r="A1499" s="32"/>
      <c r="B1499" s="32"/>
      <c r="C1499" s="32"/>
      <c r="D1499" s="32"/>
      <c r="E1499" s="32"/>
      <c r="F1499" s="32"/>
      <c r="G1499" s="32"/>
      <c r="H1499" s="32"/>
      <c r="I1499" s="32"/>
      <c r="J1499" s="32"/>
      <c r="K1499" s="32"/>
      <c r="L1499" s="32"/>
      <c r="M1499" s="23"/>
      <c r="N1499" s="32"/>
      <c r="O1499" s="32"/>
      <c r="P1499" s="32"/>
      <c r="Q1499" s="32"/>
      <c r="R1499" s="32"/>
      <c r="S1499" s="32"/>
      <c r="T1499" s="32"/>
      <c r="U1499" s="32"/>
      <c r="V1499" s="32"/>
      <c r="W1499" s="32"/>
      <c r="X1499" s="32"/>
      <c r="Y1499" s="32"/>
      <c r="Z1499" s="32"/>
      <c r="AA1499" s="32"/>
      <c r="AB1499" s="32"/>
    </row>
    <row r="1500" spans="1:28" ht="13" x14ac:dyDescent="0.15">
      <c r="A1500" s="32"/>
      <c r="B1500" s="32"/>
      <c r="C1500" s="32"/>
      <c r="D1500" s="32"/>
      <c r="E1500" s="32"/>
      <c r="F1500" s="32"/>
      <c r="G1500" s="32"/>
      <c r="H1500" s="32"/>
      <c r="I1500" s="32"/>
      <c r="J1500" s="32"/>
      <c r="K1500" s="32"/>
      <c r="L1500" s="32"/>
      <c r="M1500" s="23"/>
      <c r="N1500" s="32"/>
      <c r="O1500" s="32"/>
      <c r="P1500" s="32"/>
      <c r="Q1500" s="32"/>
      <c r="R1500" s="32"/>
      <c r="S1500" s="32"/>
      <c r="T1500" s="32"/>
      <c r="U1500" s="32"/>
      <c r="V1500" s="32"/>
      <c r="W1500" s="32"/>
      <c r="X1500" s="32"/>
      <c r="Y1500" s="32"/>
      <c r="Z1500" s="32"/>
      <c r="AA1500" s="32"/>
      <c r="AB1500" s="32"/>
    </row>
    <row r="1501" spans="1:28" ht="13" x14ac:dyDescent="0.15">
      <c r="A1501" s="32"/>
      <c r="B1501" s="32"/>
      <c r="C1501" s="32"/>
      <c r="D1501" s="32"/>
      <c r="E1501" s="32"/>
      <c r="F1501" s="32"/>
      <c r="G1501" s="32"/>
      <c r="H1501" s="32"/>
      <c r="I1501" s="32"/>
      <c r="J1501" s="32"/>
      <c r="K1501" s="32"/>
      <c r="L1501" s="32"/>
      <c r="M1501" s="23"/>
      <c r="N1501" s="32"/>
      <c r="O1501" s="32"/>
      <c r="P1501" s="32"/>
      <c r="Q1501" s="32"/>
      <c r="R1501" s="32"/>
      <c r="S1501" s="32"/>
      <c r="T1501" s="32"/>
      <c r="U1501" s="32"/>
      <c r="V1501" s="32"/>
      <c r="W1501" s="32"/>
      <c r="X1501" s="32"/>
      <c r="Y1501" s="32"/>
      <c r="Z1501" s="32"/>
      <c r="AA1501" s="32"/>
      <c r="AB1501" s="32"/>
    </row>
    <row r="1502" spans="1:28" ht="13" x14ac:dyDescent="0.15">
      <c r="A1502" s="32"/>
      <c r="B1502" s="32"/>
      <c r="C1502" s="32"/>
      <c r="D1502" s="32"/>
      <c r="E1502" s="32"/>
      <c r="F1502" s="32"/>
      <c r="G1502" s="32"/>
      <c r="H1502" s="32"/>
      <c r="I1502" s="32"/>
      <c r="J1502" s="32"/>
      <c r="K1502" s="32"/>
      <c r="L1502" s="32"/>
      <c r="M1502" s="23"/>
      <c r="N1502" s="32"/>
      <c r="O1502" s="32"/>
      <c r="P1502" s="32"/>
      <c r="Q1502" s="32"/>
      <c r="R1502" s="32"/>
      <c r="S1502" s="32"/>
      <c r="T1502" s="32"/>
      <c r="U1502" s="32"/>
      <c r="V1502" s="32"/>
      <c r="W1502" s="32"/>
      <c r="X1502" s="32"/>
      <c r="Y1502" s="32"/>
      <c r="Z1502" s="32"/>
      <c r="AA1502" s="32"/>
      <c r="AB1502" s="32"/>
    </row>
    <row r="1503" spans="1:28" ht="13" x14ac:dyDescent="0.15">
      <c r="A1503" s="32"/>
      <c r="B1503" s="32"/>
      <c r="C1503" s="32"/>
      <c r="D1503" s="32"/>
      <c r="E1503" s="32"/>
      <c r="F1503" s="32"/>
      <c r="G1503" s="32"/>
      <c r="H1503" s="32"/>
      <c r="I1503" s="32"/>
      <c r="J1503" s="32"/>
      <c r="K1503" s="32"/>
      <c r="L1503" s="32"/>
      <c r="M1503" s="23"/>
      <c r="N1503" s="32"/>
      <c r="O1503" s="32"/>
      <c r="P1503" s="32"/>
      <c r="Q1503" s="32"/>
      <c r="R1503" s="32"/>
      <c r="S1503" s="32"/>
      <c r="T1503" s="32"/>
      <c r="U1503" s="32"/>
      <c r="V1503" s="32"/>
      <c r="W1503" s="32"/>
      <c r="X1503" s="32"/>
      <c r="Y1503" s="32"/>
      <c r="Z1503" s="32"/>
      <c r="AA1503" s="32"/>
      <c r="AB1503" s="32"/>
    </row>
    <row r="1504" spans="1:28" ht="13" x14ac:dyDescent="0.15">
      <c r="A1504" s="32"/>
      <c r="B1504" s="32"/>
      <c r="C1504" s="32"/>
      <c r="D1504" s="32"/>
      <c r="E1504" s="32"/>
      <c r="F1504" s="32"/>
      <c r="G1504" s="32"/>
      <c r="H1504" s="32"/>
      <c r="I1504" s="32"/>
      <c r="J1504" s="32"/>
      <c r="K1504" s="32"/>
      <c r="L1504" s="32"/>
      <c r="M1504" s="23"/>
      <c r="N1504" s="32"/>
      <c r="O1504" s="32"/>
      <c r="P1504" s="32"/>
      <c r="Q1504" s="32"/>
      <c r="R1504" s="32"/>
      <c r="S1504" s="32"/>
      <c r="T1504" s="32"/>
      <c r="U1504" s="32"/>
      <c r="V1504" s="32"/>
      <c r="W1504" s="32"/>
      <c r="X1504" s="32"/>
      <c r="Y1504" s="32"/>
      <c r="Z1504" s="32"/>
      <c r="AA1504" s="32"/>
      <c r="AB1504" s="32"/>
    </row>
    <row r="1505" spans="1:28" ht="13" x14ac:dyDescent="0.15">
      <c r="A1505" s="32"/>
      <c r="B1505" s="32"/>
      <c r="C1505" s="32"/>
      <c r="D1505" s="32"/>
      <c r="E1505" s="32"/>
      <c r="F1505" s="32"/>
      <c r="G1505" s="32"/>
      <c r="H1505" s="32"/>
      <c r="I1505" s="32"/>
      <c r="J1505" s="32"/>
      <c r="K1505" s="32"/>
      <c r="L1505" s="32"/>
      <c r="M1505" s="23"/>
      <c r="N1505" s="32"/>
      <c r="O1505" s="32"/>
      <c r="P1505" s="32"/>
      <c r="Q1505" s="32"/>
      <c r="R1505" s="32"/>
      <c r="S1505" s="32"/>
      <c r="T1505" s="32"/>
      <c r="U1505" s="32"/>
      <c r="V1505" s="32"/>
      <c r="W1505" s="32"/>
      <c r="X1505" s="32"/>
      <c r="Y1505" s="32"/>
      <c r="Z1505" s="32"/>
      <c r="AA1505" s="32"/>
      <c r="AB1505" s="32"/>
    </row>
    <row r="1506" spans="1:28" ht="13" x14ac:dyDescent="0.15">
      <c r="A1506" s="32"/>
      <c r="B1506" s="32"/>
      <c r="C1506" s="32"/>
      <c r="D1506" s="32"/>
      <c r="E1506" s="32"/>
      <c r="F1506" s="32"/>
      <c r="G1506" s="32"/>
      <c r="H1506" s="32"/>
      <c r="I1506" s="32"/>
      <c r="J1506" s="32"/>
      <c r="K1506" s="32"/>
      <c r="L1506" s="32"/>
      <c r="M1506" s="23"/>
      <c r="N1506" s="32"/>
      <c r="O1506" s="32"/>
      <c r="P1506" s="32"/>
      <c r="Q1506" s="32"/>
      <c r="R1506" s="32"/>
      <c r="S1506" s="32"/>
      <c r="T1506" s="32"/>
      <c r="U1506" s="32"/>
      <c r="V1506" s="32"/>
      <c r="W1506" s="32"/>
      <c r="X1506" s="32"/>
      <c r="Y1506" s="32"/>
      <c r="Z1506" s="32"/>
      <c r="AA1506" s="32"/>
      <c r="AB1506" s="32"/>
    </row>
    <row r="1507" spans="1:28" ht="13" x14ac:dyDescent="0.15">
      <c r="A1507" s="32"/>
      <c r="B1507" s="32"/>
      <c r="C1507" s="32"/>
      <c r="D1507" s="32"/>
      <c r="E1507" s="32"/>
      <c r="F1507" s="32"/>
      <c r="G1507" s="32"/>
      <c r="H1507" s="32"/>
      <c r="I1507" s="32"/>
      <c r="J1507" s="32"/>
      <c r="K1507" s="32"/>
      <c r="L1507" s="32"/>
      <c r="M1507" s="23"/>
      <c r="N1507" s="32"/>
      <c r="O1507" s="32"/>
      <c r="P1507" s="32"/>
      <c r="Q1507" s="32"/>
      <c r="R1507" s="32"/>
      <c r="S1507" s="32"/>
      <c r="T1507" s="32"/>
      <c r="U1507" s="32"/>
      <c r="V1507" s="32"/>
      <c r="W1507" s="32"/>
      <c r="X1507" s="32"/>
      <c r="Y1507" s="32"/>
      <c r="Z1507" s="32"/>
      <c r="AA1507" s="32"/>
      <c r="AB1507" s="32"/>
    </row>
    <row r="1508" spans="1:28" ht="13" x14ac:dyDescent="0.15">
      <c r="A1508" s="32"/>
      <c r="B1508" s="32"/>
      <c r="C1508" s="32"/>
      <c r="D1508" s="32"/>
      <c r="E1508" s="32"/>
      <c r="F1508" s="32"/>
      <c r="G1508" s="32"/>
      <c r="H1508" s="32"/>
      <c r="I1508" s="32"/>
      <c r="J1508" s="32"/>
      <c r="K1508" s="32"/>
      <c r="L1508" s="32"/>
      <c r="M1508" s="23"/>
      <c r="N1508" s="32"/>
      <c r="O1508" s="32"/>
      <c r="P1508" s="32"/>
      <c r="Q1508" s="32"/>
      <c r="R1508" s="32"/>
      <c r="S1508" s="32"/>
      <c r="T1508" s="32"/>
      <c r="U1508" s="32"/>
      <c r="V1508" s="32"/>
      <c r="W1508" s="32"/>
      <c r="X1508" s="32"/>
      <c r="Y1508" s="32"/>
      <c r="Z1508" s="32"/>
      <c r="AA1508" s="32"/>
      <c r="AB1508" s="32"/>
    </row>
    <row r="1509" spans="1:28" ht="13" x14ac:dyDescent="0.15">
      <c r="A1509" s="32"/>
      <c r="B1509" s="32"/>
      <c r="C1509" s="32"/>
      <c r="D1509" s="32"/>
      <c r="E1509" s="32"/>
      <c r="F1509" s="32"/>
      <c r="G1509" s="32"/>
      <c r="H1509" s="32"/>
      <c r="I1509" s="32"/>
      <c r="J1509" s="32"/>
      <c r="K1509" s="32"/>
      <c r="L1509" s="32"/>
      <c r="M1509" s="23"/>
      <c r="N1509" s="32"/>
      <c r="O1509" s="32"/>
      <c r="P1509" s="32"/>
      <c r="Q1509" s="32"/>
      <c r="R1509" s="32"/>
      <c r="S1509" s="32"/>
      <c r="T1509" s="32"/>
      <c r="U1509" s="32"/>
      <c r="V1509" s="32"/>
      <c r="W1509" s="32"/>
      <c r="X1509" s="32"/>
      <c r="Y1509" s="32"/>
      <c r="Z1509" s="32"/>
      <c r="AA1509" s="32"/>
      <c r="AB1509" s="32"/>
    </row>
    <row r="1510" spans="1:28" ht="13" x14ac:dyDescent="0.15">
      <c r="A1510" s="32"/>
      <c r="B1510" s="32"/>
      <c r="C1510" s="32"/>
      <c r="D1510" s="32"/>
      <c r="E1510" s="32"/>
      <c r="F1510" s="32"/>
      <c r="G1510" s="32"/>
      <c r="H1510" s="32"/>
      <c r="I1510" s="32"/>
      <c r="J1510" s="32"/>
      <c r="K1510" s="32"/>
      <c r="L1510" s="32"/>
      <c r="M1510" s="23"/>
      <c r="N1510" s="32"/>
      <c r="O1510" s="32"/>
      <c r="P1510" s="32"/>
      <c r="Q1510" s="32"/>
      <c r="R1510" s="32"/>
      <c r="S1510" s="32"/>
      <c r="T1510" s="32"/>
      <c r="U1510" s="32"/>
      <c r="V1510" s="32"/>
      <c r="W1510" s="32"/>
      <c r="X1510" s="32"/>
      <c r="Y1510" s="32"/>
      <c r="Z1510" s="32"/>
      <c r="AA1510" s="32"/>
      <c r="AB1510" s="32"/>
    </row>
    <row r="1511" spans="1:28" ht="13" x14ac:dyDescent="0.15">
      <c r="A1511" s="32"/>
      <c r="B1511" s="32"/>
      <c r="C1511" s="32"/>
      <c r="D1511" s="32"/>
      <c r="E1511" s="32"/>
      <c r="F1511" s="32"/>
      <c r="G1511" s="32"/>
      <c r="H1511" s="32"/>
      <c r="I1511" s="32"/>
      <c r="J1511" s="32"/>
      <c r="K1511" s="32"/>
      <c r="L1511" s="32"/>
      <c r="M1511" s="23"/>
      <c r="N1511" s="32"/>
      <c r="O1511" s="32"/>
      <c r="P1511" s="32"/>
      <c r="Q1511" s="32"/>
      <c r="R1511" s="32"/>
      <c r="S1511" s="32"/>
      <c r="T1511" s="32"/>
      <c r="U1511" s="32"/>
      <c r="V1511" s="32"/>
      <c r="W1511" s="32"/>
      <c r="X1511" s="32"/>
      <c r="Y1511" s="32"/>
      <c r="Z1511" s="32"/>
      <c r="AA1511" s="32"/>
      <c r="AB1511" s="32"/>
    </row>
    <row r="1512" spans="1:28" ht="13" x14ac:dyDescent="0.15">
      <c r="A1512" s="32"/>
      <c r="B1512" s="32"/>
      <c r="C1512" s="32"/>
      <c r="D1512" s="32"/>
      <c r="E1512" s="32"/>
      <c r="F1512" s="32"/>
      <c r="G1512" s="32"/>
      <c r="H1512" s="32"/>
      <c r="I1512" s="32"/>
      <c r="J1512" s="32"/>
      <c r="K1512" s="32"/>
      <c r="L1512" s="32"/>
      <c r="M1512" s="23"/>
      <c r="N1512" s="32"/>
      <c r="O1512" s="32"/>
      <c r="P1512" s="32"/>
      <c r="Q1512" s="32"/>
      <c r="R1512" s="32"/>
      <c r="S1512" s="32"/>
      <c r="T1512" s="32"/>
      <c r="U1512" s="32"/>
      <c r="V1512" s="32"/>
      <c r="W1512" s="32"/>
      <c r="X1512" s="32"/>
      <c r="Y1512" s="32"/>
      <c r="Z1512" s="32"/>
      <c r="AA1512" s="32"/>
      <c r="AB1512" s="32"/>
    </row>
    <row r="1513" spans="1:28" ht="13" x14ac:dyDescent="0.15">
      <c r="A1513" s="32"/>
      <c r="B1513" s="32"/>
      <c r="C1513" s="32"/>
      <c r="D1513" s="32"/>
      <c r="E1513" s="32"/>
      <c r="F1513" s="32"/>
      <c r="G1513" s="32"/>
      <c r="H1513" s="32"/>
      <c r="I1513" s="32"/>
      <c r="J1513" s="32"/>
      <c r="K1513" s="32"/>
      <c r="L1513" s="32"/>
      <c r="M1513" s="23"/>
      <c r="N1513" s="32"/>
      <c r="O1513" s="32"/>
      <c r="P1513" s="32"/>
      <c r="Q1513" s="32"/>
      <c r="R1513" s="32"/>
      <c r="S1513" s="32"/>
      <c r="T1513" s="32"/>
      <c r="U1513" s="32"/>
      <c r="V1513" s="32"/>
      <c r="W1513" s="32"/>
      <c r="X1513" s="32"/>
      <c r="Y1513" s="32"/>
      <c r="Z1513" s="32"/>
      <c r="AA1513" s="32"/>
      <c r="AB1513" s="32"/>
    </row>
    <row r="1514" spans="1:28" ht="13" x14ac:dyDescent="0.15">
      <c r="A1514" s="32"/>
      <c r="B1514" s="32"/>
      <c r="C1514" s="32"/>
      <c r="D1514" s="32"/>
      <c r="E1514" s="32"/>
      <c r="F1514" s="32"/>
      <c r="G1514" s="32"/>
      <c r="H1514" s="32"/>
      <c r="I1514" s="32"/>
      <c r="J1514" s="32"/>
      <c r="K1514" s="32"/>
      <c r="L1514" s="32"/>
      <c r="M1514" s="23"/>
      <c r="N1514" s="32"/>
      <c r="O1514" s="32"/>
      <c r="P1514" s="32"/>
      <c r="Q1514" s="32"/>
      <c r="R1514" s="32"/>
      <c r="S1514" s="32"/>
      <c r="T1514" s="32"/>
      <c r="U1514" s="32"/>
      <c r="V1514" s="32"/>
      <c r="W1514" s="32"/>
      <c r="X1514" s="32"/>
      <c r="Y1514" s="32"/>
      <c r="Z1514" s="32"/>
      <c r="AA1514" s="32"/>
      <c r="AB1514" s="32"/>
    </row>
    <row r="1515" spans="1:28" ht="13" x14ac:dyDescent="0.15">
      <c r="A1515" s="32"/>
      <c r="B1515" s="32"/>
      <c r="C1515" s="32"/>
      <c r="D1515" s="32"/>
      <c r="E1515" s="32"/>
      <c r="F1515" s="32"/>
      <c r="G1515" s="32"/>
      <c r="H1515" s="32"/>
      <c r="I1515" s="32"/>
      <c r="J1515" s="32"/>
      <c r="K1515" s="32"/>
      <c r="L1515" s="32"/>
      <c r="M1515" s="23"/>
      <c r="N1515" s="32"/>
      <c r="O1515" s="32"/>
      <c r="P1515" s="32"/>
      <c r="Q1515" s="32"/>
      <c r="R1515" s="32"/>
      <c r="S1515" s="32"/>
      <c r="T1515" s="32"/>
      <c r="U1515" s="32"/>
      <c r="V1515" s="32"/>
      <c r="W1515" s="32"/>
      <c r="X1515" s="32"/>
      <c r="Y1515" s="32"/>
      <c r="Z1515" s="32"/>
      <c r="AA1515" s="32"/>
      <c r="AB1515" s="32"/>
    </row>
    <row r="1516" spans="1:28" ht="13" x14ac:dyDescent="0.15">
      <c r="A1516" s="32"/>
      <c r="B1516" s="32"/>
      <c r="C1516" s="32"/>
      <c r="D1516" s="32"/>
      <c r="E1516" s="32"/>
      <c r="F1516" s="32"/>
      <c r="G1516" s="32"/>
      <c r="H1516" s="32"/>
      <c r="I1516" s="32"/>
      <c r="J1516" s="32"/>
      <c r="K1516" s="32"/>
      <c r="L1516" s="32"/>
      <c r="M1516" s="23"/>
      <c r="N1516" s="32"/>
      <c r="O1516" s="32"/>
      <c r="P1516" s="32"/>
      <c r="Q1516" s="32"/>
      <c r="R1516" s="32"/>
      <c r="S1516" s="32"/>
      <c r="T1516" s="32"/>
      <c r="U1516" s="32"/>
      <c r="V1516" s="32"/>
      <c r="W1516" s="32"/>
      <c r="X1516" s="32"/>
      <c r="Y1516" s="32"/>
      <c r="Z1516" s="32"/>
      <c r="AA1516" s="32"/>
      <c r="AB1516" s="32"/>
    </row>
    <row r="1517" spans="1:28" ht="13" x14ac:dyDescent="0.15">
      <c r="A1517" s="32"/>
      <c r="B1517" s="32"/>
      <c r="C1517" s="32"/>
      <c r="D1517" s="32"/>
      <c r="E1517" s="32"/>
      <c r="F1517" s="32"/>
      <c r="G1517" s="32"/>
      <c r="H1517" s="32"/>
      <c r="I1517" s="32"/>
      <c r="J1517" s="32"/>
      <c r="K1517" s="32"/>
      <c r="L1517" s="32"/>
      <c r="M1517" s="23"/>
      <c r="N1517" s="32"/>
      <c r="O1517" s="32"/>
      <c r="P1517" s="32"/>
      <c r="Q1517" s="32"/>
      <c r="R1517" s="32"/>
      <c r="S1517" s="32"/>
      <c r="T1517" s="32"/>
      <c r="U1517" s="32"/>
      <c r="V1517" s="32"/>
      <c r="W1517" s="32"/>
      <c r="X1517" s="32"/>
      <c r="Y1517" s="32"/>
      <c r="Z1517" s="32"/>
      <c r="AA1517" s="32"/>
      <c r="AB1517" s="32"/>
    </row>
    <row r="1518" spans="1:28" ht="13" x14ac:dyDescent="0.15">
      <c r="A1518" s="32"/>
      <c r="B1518" s="32"/>
      <c r="C1518" s="32"/>
      <c r="D1518" s="32"/>
      <c r="E1518" s="32"/>
      <c r="F1518" s="32"/>
      <c r="G1518" s="32"/>
      <c r="H1518" s="32"/>
      <c r="I1518" s="32"/>
      <c r="J1518" s="32"/>
      <c r="K1518" s="32"/>
      <c r="L1518" s="32"/>
      <c r="M1518" s="23"/>
      <c r="N1518" s="32"/>
      <c r="O1518" s="32"/>
      <c r="P1518" s="32"/>
      <c r="Q1518" s="32"/>
      <c r="R1518" s="32"/>
      <c r="S1518" s="32"/>
      <c r="T1518" s="32"/>
      <c r="U1518" s="32"/>
      <c r="V1518" s="32"/>
      <c r="W1518" s="32"/>
      <c r="X1518" s="32"/>
      <c r="Y1518" s="32"/>
      <c r="Z1518" s="32"/>
      <c r="AA1518" s="32"/>
      <c r="AB1518" s="32"/>
    </row>
    <row r="1519" spans="1:28" ht="13" x14ac:dyDescent="0.15">
      <c r="A1519" s="32"/>
      <c r="B1519" s="32"/>
      <c r="C1519" s="32"/>
      <c r="D1519" s="32"/>
      <c r="E1519" s="32"/>
      <c r="F1519" s="32"/>
      <c r="G1519" s="32"/>
      <c r="H1519" s="32"/>
      <c r="I1519" s="32"/>
      <c r="J1519" s="32"/>
      <c r="K1519" s="32"/>
      <c r="L1519" s="32"/>
      <c r="M1519" s="23"/>
      <c r="N1519" s="32"/>
      <c r="O1519" s="32"/>
      <c r="P1519" s="32"/>
      <c r="Q1519" s="32"/>
      <c r="R1519" s="32"/>
      <c r="S1519" s="32"/>
      <c r="T1519" s="32"/>
      <c r="U1519" s="32"/>
      <c r="V1519" s="32"/>
      <c r="W1519" s="32"/>
      <c r="X1519" s="32"/>
      <c r="Y1519" s="32"/>
      <c r="Z1519" s="32"/>
      <c r="AA1519" s="32"/>
      <c r="AB1519" s="32"/>
    </row>
    <row r="1520" spans="1:28" ht="13" x14ac:dyDescent="0.15">
      <c r="A1520" s="32"/>
      <c r="B1520" s="32"/>
      <c r="C1520" s="32"/>
      <c r="D1520" s="32"/>
      <c r="E1520" s="32"/>
      <c r="F1520" s="32"/>
      <c r="G1520" s="32"/>
      <c r="H1520" s="32"/>
      <c r="I1520" s="32"/>
      <c r="J1520" s="32"/>
      <c r="K1520" s="32"/>
      <c r="L1520" s="32"/>
      <c r="M1520" s="23"/>
      <c r="N1520" s="32"/>
      <c r="O1520" s="32"/>
      <c r="P1520" s="32"/>
      <c r="Q1520" s="32"/>
      <c r="R1520" s="32"/>
      <c r="S1520" s="32"/>
      <c r="T1520" s="32"/>
      <c r="U1520" s="32"/>
      <c r="V1520" s="32"/>
      <c r="W1520" s="32"/>
      <c r="X1520" s="32"/>
      <c r="Y1520" s="32"/>
      <c r="Z1520" s="32"/>
      <c r="AA1520" s="32"/>
      <c r="AB1520" s="32"/>
    </row>
    <row r="1521" spans="1:28" ht="13" x14ac:dyDescent="0.15">
      <c r="A1521" s="32"/>
      <c r="B1521" s="32"/>
      <c r="C1521" s="32"/>
      <c r="D1521" s="32"/>
      <c r="E1521" s="32"/>
      <c r="F1521" s="32"/>
      <c r="G1521" s="32"/>
      <c r="H1521" s="32"/>
      <c r="I1521" s="32"/>
      <c r="J1521" s="32"/>
      <c r="K1521" s="32"/>
      <c r="L1521" s="32"/>
      <c r="M1521" s="23"/>
      <c r="N1521" s="32"/>
      <c r="O1521" s="32"/>
      <c r="P1521" s="32"/>
      <c r="Q1521" s="32"/>
      <c r="R1521" s="32"/>
      <c r="S1521" s="32"/>
      <c r="T1521" s="32"/>
      <c r="U1521" s="32"/>
      <c r="V1521" s="32"/>
      <c r="W1521" s="32"/>
      <c r="X1521" s="32"/>
      <c r="Y1521" s="32"/>
      <c r="Z1521" s="32"/>
      <c r="AA1521" s="32"/>
      <c r="AB1521" s="32"/>
    </row>
    <row r="1522" spans="1:28" ht="13" x14ac:dyDescent="0.15">
      <c r="A1522" s="32"/>
      <c r="B1522" s="32"/>
      <c r="C1522" s="32"/>
      <c r="D1522" s="32"/>
      <c r="E1522" s="32"/>
      <c r="F1522" s="32"/>
      <c r="G1522" s="32"/>
      <c r="H1522" s="32"/>
      <c r="I1522" s="32"/>
      <c r="J1522" s="32"/>
      <c r="K1522" s="32"/>
      <c r="L1522" s="32"/>
      <c r="M1522" s="23"/>
      <c r="N1522" s="32"/>
      <c r="O1522" s="32"/>
      <c r="P1522" s="32"/>
      <c r="Q1522" s="32"/>
      <c r="R1522" s="32"/>
      <c r="S1522" s="32"/>
      <c r="T1522" s="32"/>
      <c r="U1522" s="32"/>
      <c r="V1522" s="32"/>
      <c r="W1522" s="32"/>
      <c r="X1522" s="32"/>
      <c r="Y1522" s="32"/>
      <c r="Z1522" s="32"/>
      <c r="AA1522" s="32"/>
      <c r="AB1522" s="32"/>
    </row>
    <row r="1523" spans="1:28" ht="13" x14ac:dyDescent="0.15">
      <c r="A1523" s="32"/>
      <c r="B1523" s="32"/>
      <c r="C1523" s="32"/>
      <c r="D1523" s="32"/>
      <c r="E1523" s="32"/>
      <c r="F1523" s="32"/>
      <c r="G1523" s="32"/>
      <c r="H1523" s="32"/>
      <c r="I1523" s="32"/>
      <c r="J1523" s="32"/>
      <c r="K1523" s="32"/>
      <c r="L1523" s="32"/>
      <c r="M1523" s="23"/>
      <c r="N1523" s="32"/>
      <c r="O1523" s="32"/>
      <c r="P1523" s="32"/>
      <c r="Q1523" s="32"/>
      <c r="R1523" s="32"/>
      <c r="S1523" s="32"/>
      <c r="T1523" s="32"/>
      <c r="U1523" s="32"/>
      <c r="V1523" s="32"/>
      <c r="W1523" s="32"/>
      <c r="X1523" s="32"/>
      <c r="Y1523" s="32"/>
      <c r="Z1523" s="32"/>
      <c r="AA1523" s="32"/>
      <c r="AB1523" s="32"/>
    </row>
    <row r="1524" spans="1:28" ht="13" x14ac:dyDescent="0.15">
      <c r="A1524" s="32"/>
      <c r="B1524" s="32"/>
      <c r="C1524" s="32"/>
      <c r="D1524" s="32"/>
      <c r="E1524" s="32"/>
      <c r="F1524" s="32"/>
      <c r="G1524" s="32"/>
      <c r="H1524" s="32"/>
      <c r="I1524" s="32"/>
      <c r="J1524" s="32"/>
      <c r="K1524" s="32"/>
      <c r="L1524" s="32"/>
      <c r="M1524" s="23"/>
      <c r="N1524" s="32"/>
      <c r="O1524" s="32"/>
      <c r="P1524" s="32"/>
      <c r="Q1524" s="32"/>
      <c r="R1524" s="32"/>
      <c r="S1524" s="32"/>
      <c r="T1524" s="32"/>
      <c r="U1524" s="32"/>
      <c r="V1524" s="32"/>
      <c r="W1524" s="32"/>
      <c r="X1524" s="32"/>
      <c r="Y1524" s="32"/>
      <c r="Z1524" s="32"/>
      <c r="AA1524" s="32"/>
      <c r="AB1524" s="32"/>
    </row>
    <row r="1525" spans="1:28" ht="13" x14ac:dyDescent="0.15">
      <c r="A1525" s="32"/>
      <c r="B1525" s="32"/>
      <c r="C1525" s="32"/>
      <c r="D1525" s="32"/>
      <c r="E1525" s="32"/>
      <c r="F1525" s="32"/>
      <c r="G1525" s="32"/>
      <c r="H1525" s="32"/>
      <c r="I1525" s="32"/>
      <c r="J1525" s="32"/>
      <c r="K1525" s="32"/>
      <c r="L1525" s="32"/>
      <c r="M1525" s="23"/>
      <c r="N1525" s="32"/>
      <c r="O1525" s="32"/>
      <c r="P1525" s="32"/>
      <c r="Q1525" s="32"/>
      <c r="R1525" s="32"/>
      <c r="S1525" s="32"/>
      <c r="T1525" s="32"/>
      <c r="U1525" s="32"/>
      <c r="V1525" s="32"/>
      <c r="W1525" s="32"/>
      <c r="X1525" s="32"/>
      <c r="Y1525" s="32"/>
      <c r="Z1525" s="32"/>
      <c r="AA1525" s="32"/>
      <c r="AB1525" s="32"/>
    </row>
    <row r="1526" spans="1:28" ht="13" x14ac:dyDescent="0.15">
      <c r="A1526" s="32"/>
      <c r="B1526" s="32"/>
      <c r="C1526" s="32"/>
      <c r="D1526" s="32"/>
      <c r="E1526" s="32"/>
      <c r="F1526" s="32"/>
      <c r="G1526" s="32"/>
      <c r="H1526" s="32"/>
      <c r="I1526" s="32"/>
      <c r="J1526" s="32"/>
      <c r="K1526" s="32"/>
      <c r="L1526" s="32"/>
      <c r="M1526" s="23"/>
      <c r="N1526" s="32"/>
      <c r="O1526" s="32"/>
      <c r="P1526" s="32"/>
      <c r="Q1526" s="32"/>
      <c r="R1526" s="32"/>
      <c r="S1526" s="32"/>
      <c r="T1526" s="32"/>
      <c r="U1526" s="32"/>
      <c r="V1526" s="32"/>
      <c r="W1526" s="32"/>
      <c r="X1526" s="32"/>
      <c r="Y1526" s="32"/>
      <c r="Z1526" s="32"/>
      <c r="AA1526" s="32"/>
      <c r="AB1526" s="32"/>
    </row>
    <row r="1527" spans="1:28" ht="13" x14ac:dyDescent="0.15">
      <c r="A1527" s="32"/>
      <c r="B1527" s="32"/>
      <c r="C1527" s="32"/>
      <c r="D1527" s="32"/>
      <c r="E1527" s="32"/>
      <c r="F1527" s="32"/>
      <c r="G1527" s="32"/>
      <c r="H1527" s="32"/>
      <c r="I1527" s="32"/>
      <c r="J1527" s="32"/>
      <c r="K1527" s="32"/>
      <c r="L1527" s="32"/>
      <c r="M1527" s="23"/>
      <c r="N1527" s="32"/>
      <c r="O1527" s="32"/>
      <c r="P1527" s="32"/>
      <c r="Q1527" s="32"/>
      <c r="R1527" s="32"/>
      <c r="S1527" s="32"/>
      <c r="T1527" s="32"/>
      <c r="U1527" s="32"/>
      <c r="V1527" s="32"/>
      <c r="W1527" s="32"/>
      <c r="X1527" s="32"/>
      <c r="Y1527" s="32"/>
      <c r="Z1527" s="32"/>
      <c r="AA1527" s="32"/>
      <c r="AB1527" s="32"/>
    </row>
    <row r="1528" spans="1:28" ht="13" x14ac:dyDescent="0.15">
      <c r="A1528" s="32"/>
      <c r="B1528" s="32"/>
      <c r="C1528" s="32"/>
      <c r="D1528" s="32"/>
      <c r="E1528" s="32"/>
      <c r="F1528" s="32"/>
      <c r="G1528" s="32"/>
      <c r="H1528" s="32"/>
      <c r="I1528" s="32"/>
      <c r="J1528" s="32"/>
      <c r="K1528" s="32"/>
      <c r="L1528" s="32"/>
      <c r="M1528" s="23"/>
      <c r="N1528" s="32"/>
      <c r="O1528" s="32"/>
      <c r="P1528" s="32"/>
      <c r="Q1528" s="32"/>
      <c r="R1528" s="32"/>
      <c r="S1528" s="32"/>
      <c r="T1528" s="32"/>
      <c r="U1528" s="32"/>
      <c r="V1528" s="32"/>
      <c r="W1528" s="32"/>
      <c r="X1528" s="32"/>
      <c r="Y1528" s="32"/>
      <c r="Z1528" s="32"/>
      <c r="AA1528" s="32"/>
      <c r="AB1528" s="32"/>
    </row>
    <row r="1529" spans="1:28" ht="13" x14ac:dyDescent="0.15">
      <c r="A1529" s="32"/>
      <c r="B1529" s="32"/>
      <c r="C1529" s="32"/>
      <c r="D1529" s="32"/>
      <c r="E1529" s="32"/>
      <c r="F1529" s="32"/>
      <c r="G1529" s="32"/>
      <c r="H1529" s="32"/>
      <c r="I1529" s="32"/>
      <c r="J1529" s="32"/>
      <c r="K1529" s="32"/>
      <c r="L1529" s="32"/>
      <c r="M1529" s="23"/>
      <c r="N1529" s="32"/>
      <c r="O1529" s="32"/>
      <c r="P1529" s="32"/>
      <c r="Q1529" s="32"/>
      <c r="R1529" s="32"/>
      <c r="S1529" s="32"/>
      <c r="T1529" s="32"/>
      <c r="U1529" s="32"/>
      <c r="V1529" s="32"/>
      <c r="W1529" s="32"/>
      <c r="X1529" s="32"/>
      <c r="Y1529" s="32"/>
      <c r="Z1529" s="32"/>
      <c r="AA1529" s="32"/>
      <c r="AB1529" s="32"/>
    </row>
    <row r="1530" spans="1:28" ht="13" x14ac:dyDescent="0.15">
      <c r="A1530" s="32"/>
      <c r="B1530" s="32"/>
      <c r="C1530" s="32"/>
      <c r="D1530" s="32"/>
      <c r="E1530" s="32"/>
      <c r="F1530" s="32"/>
      <c r="G1530" s="32"/>
      <c r="H1530" s="32"/>
      <c r="I1530" s="32"/>
      <c r="J1530" s="32"/>
      <c r="K1530" s="32"/>
      <c r="L1530" s="32"/>
      <c r="M1530" s="23"/>
      <c r="N1530" s="32"/>
      <c r="O1530" s="32"/>
      <c r="P1530" s="32"/>
      <c r="Q1530" s="32"/>
      <c r="R1530" s="32"/>
      <c r="S1530" s="32"/>
      <c r="T1530" s="32"/>
      <c r="U1530" s="32"/>
      <c r="V1530" s="32"/>
      <c r="W1530" s="32"/>
      <c r="X1530" s="32"/>
      <c r="Y1530" s="32"/>
      <c r="Z1530" s="32"/>
      <c r="AA1530" s="32"/>
      <c r="AB1530" s="32"/>
    </row>
    <row r="1531" spans="1:28" ht="13" x14ac:dyDescent="0.15">
      <c r="A1531" s="32"/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23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</row>
    <row r="1532" spans="1:28" ht="13" x14ac:dyDescent="0.15">
      <c r="A1532" s="32"/>
      <c r="B1532" s="32"/>
      <c r="C1532" s="32"/>
      <c r="D1532" s="32"/>
      <c r="E1532" s="32"/>
      <c r="F1532" s="32"/>
      <c r="G1532" s="32"/>
      <c r="H1532" s="32"/>
      <c r="I1532" s="32"/>
      <c r="J1532" s="32"/>
      <c r="K1532" s="32"/>
      <c r="L1532" s="32"/>
      <c r="M1532" s="23"/>
      <c r="N1532" s="32"/>
      <c r="O1532" s="32"/>
      <c r="P1532" s="32"/>
      <c r="Q1532" s="32"/>
      <c r="R1532" s="32"/>
      <c r="S1532" s="32"/>
      <c r="T1532" s="32"/>
      <c r="U1532" s="32"/>
      <c r="V1532" s="32"/>
      <c r="W1532" s="32"/>
      <c r="X1532" s="32"/>
      <c r="Y1532" s="32"/>
      <c r="Z1532" s="32"/>
      <c r="AA1532" s="32"/>
      <c r="AB1532" s="32"/>
    </row>
    <row r="1533" spans="1:28" ht="13" x14ac:dyDescent="0.15">
      <c r="A1533" s="32"/>
      <c r="B1533" s="32"/>
      <c r="C1533" s="32"/>
      <c r="D1533" s="32"/>
      <c r="E1533" s="32"/>
      <c r="F1533" s="32"/>
      <c r="G1533" s="32"/>
      <c r="H1533" s="32"/>
      <c r="I1533" s="32"/>
      <c r="J1533" s="32"/>
      <c r="K1533" s="32"/>
      <c r="L1533" s="32"/>
      <c r="M1533" s="23"/>
      <c r="N1533" s="32"/>
      <c r="O1533" s="32"/>
      <c r="P1533" s="32"/>
      <c r="Q1533" s="32"/>
      <c r="R1533" s="32"/>
      <c r="S1533" s="32"/>
      <c r="T1533" s="32"/>
      <c r="U1533" s="32"/>
      <c r="V1533" s="32"/>
      <c r="W1533" s="32"/>
      <c r="X1533" s="32"/>
      <c r="Y1533" s="32"/>
      <c r="Z1533" s="32"/>
      <c r="AA1533" s="32"/>
      <c r="AB1533" s="32"/>
    </row>
    <row r="1534" spans="1:28" ht="13" x14ac:dyDescent="0.15">
      <c r="A1534" s="32"/>
      <c r="B1534" s="32"/>
      <c r="C1534" s="32"/>
      <c r="D1534" s="32"/>
      <c r="E1534" s="32"/>
      <c r="F1534" s="32"/>
      <c r="G1534" s="32"/>
      <c r="H1534" s="32"/>
      <c r="I1534" s="32"/>
      <c r="J1534" s="32"/>
      <c r="K1534" s="32"/>
      <c r="L1534" s="32"/>
      <c r="M1534" s="23"/>
      <c r="N1534" s="32"/>
      <c r="O1534" s="32"/>
      <c r="P1534" s="32"/>
      <c r="Q1534" s="32"/>
      <c r="R1534" s="32"/>
      <c r="S1534" s="32"/>
      <c r="T1534" s="32"/>
      <c r="U1534" s="32"/>
      <c r="V1534" s="32"/>
      <c r="W1534" s="32"/>
      <c r="X1534" s="32"/>
      <c r="Y1534" s="32"/>
      <c r="Z1534" s="32"/>
      <c r="AA1534" s="32"/>
      <c r="AB1534" s="32"/>
    </row>
    <row r="1535" spans="1:28" ht="13" x14ac:dyDescent="0.15">
      <c r="A1535" s="32"/>
      <c r="B1535" s="32"/>
      <c r="C1535" s="32"/>
      <c r="D1535" s="32"/>
      <c r="E1535" s="32"/>
      <c r="F1535" s="32"/>
      <c r="G1535" s="32"/>
      <c r="H1535" s="32"/>
      <c r="I1535" s="32"/>
      <c r="J1535" s="32"/>
      <c r="K1535" s="32"/>
      <c r="L1535" s="32"/>
      <c r="M1535" s="23"/>
      <c r="N1535" s="32"/>
      <c r="O1535" s="32"/>
      <c r="P1535" s="32"/>
      <c r="Q1535" s="32"/>
      <c r="R1535" s="32"/>
      <c r="S1535" s="32"/>
      <c r="T1535" s="32"/>
      <c r="U1535" s="32"/>
      <c r="V1535" s="32"/>
      <c r="W1535" s="32"/>
      <c r="X1535" s="32"/>
      <c r="Y1535" s="32"/>
      <c r="Z1535" s="32"/>
      <c r="AA1535" s="32"/>
      <c r="AB1535" s="32"/>
    </row>
    <row r="1536" spans="1:28" ht="13" x14ac:dyDescent="0.15">
      <c r="A1536" s="32"/>
      <c r="B1536" s="32"/>
      <c r="C1536" s="32"/>
      <c r="D1536" s="32"/>
      <c r="E1536" s="32"/>
      <c r="F1536" s="32"/>
      <c r="G1536" s="32"/>
      <c r="H1536" s="32"/>
      <c r="I1536" s="32"/>
      <c r="J1536" s="32"/>
      <c r="K1536" s="32"/>
      <c r="L1536" s="32"/>
      <c r="M1536" s="23"/>
      <c r="N1536" s="32"/>
      <c r="O1536" s="32"/>
      <c r="P1536" s="32"/>
      <c r="Q1536" s="32"/>
      <c r="R1536" s="32"/>
      <c r="S1536" s="32"/>
      <c r="T1536" s="32"/>
      <c r="U1536" s="32"/>
      <c r="V1536" s="32"/>
      <c r="W1536" s="32"/>
      <c r="X1536" s="32"/>
      <c r="Y1536" s="32"/>
      <c r="Z1536" s="32"/>
      <c r="AA1536" s="32"/>
      <c r="AB1536" s="32"/>
    </row>
    <row r="1537" spans="1:28" ht="13" x14ac:dyDescent="0.15">
      <c r="A1537" s="32"/>
      <c r="B1537" s="32"/>
      <c r="C1537" s="32"/>
      <c r="D1537" s="32"/>
      <c r="E1537" s="32"/>
      <c r="F1537" s="32"/>
      <c r="G1537" s="32"/>
      <c r="H1537" s="32"/>
      <c r="I1537" s="32"/>
      <c r="J1537" s="32"/>
      <c r="K1537" s="32"/>
      <c r="L1537" s="32"/>
      <c r="M1537" s="23"/>
      <c r="N1537" s="32"/>
      <c r="O1537" s="32"/>
      <c r="P1537" s="32"/>
      <c r="Q1537" s="32"/>
      <c r="R1537" s="32"/>
      <c r="S1537" s="32"/>
      <c r="T1537" s="32"/>
      <c r="U1537" s="32"/>
      <c r="V1537" s="32"/>
      <c r="W1537" s="32"/>
      <c r="X1537" s="32"/>
      <c r="Y1537" s="32"/>
      <c r="Z1537" s="32"/>
      <c r="AA1537" s="32"/>
      <c r="AB1537" s="32"/>
    </row>
    <row r="1538" spans="1:28" ht="13" x14ac:dyDescent="0.15">
      <c r="A1538" s="32"/>
      <c r="B1538" s="32"/>
      <c r="C1538" s="32"/>
      <c r="D1538" s="32"/>
      <c r="E1538" s="32"/>
      <c r="F1538" s="32"/>
      <c r="G1538" s="32"/>
      <c r="H1538" s="32"/>
      <c r="I1538" s="32"/>
      <c r="J1538" s="32"/>
      <c r="K1538" s="32"/>
      <c r="L1538" s="32"/>
      <c r="M1538" s="23"/>
      <c r="N1538" s="32"/>
      <c r="O1538" s="32"/>
      <c r="P1538" s="32"/>
      <c r="Q1538" s="32"/>
      <c r="R1538" s="32"/>
      <c r="S1538" s="32"/>
      <c r="T1538" s="32"/>
      <c r="U1538" s="32"/>
      <c r="V1538" s="32"/>
      <c r="W1538" s="32"/>
      <c r="X1538" s="32"/>
      <c r="Y1538" s="32"/>
      <c r="Z1538" s="32"/>
      <c r="AA1538" s="32"/>
      <c r="AB1538" s="32"/>
    </row>
    <row r="1539" spans="1:28" ht="13" x14ac:dyDescent="0.15">
      <c r="A1539" s="32"/>
      <c r="B1539" s="32"/>
      <c r="C1539" s="32"/>
      <c r="D1539" s="32"/>
      <c r="E1539" s="32"/>
      <c r="F1539" s="32"/>
      <c r="G1539" s="32"/>
      <c r="H1539" s="32"/>
      <c r="I1539" s="32"/>
      <c r="J1539" s="32"/>
      <c r="K1539" s="32"/>
      <c r="L1539" s="32"/>
      <c r="M1539" s="23"/>
      <c r="N1539" s="32"/>
      <c r="O1539" s="32"/>
      <c r="P1539" s="32"/>
      <c r="Q1539" s="32"/>
      <c r="R1539" s="32"/>
      <c r="S1539" s="32"/>
      <c r="T1539" s="32"/>
      <c r="U1539" s="32"/>
      <c r="V1539" s="32"/>
      <c r="W1539" s="32"/>
      <c r="X1539" s="32"/>
      <c r="Y1539" s="32"/>
      <c r="Z1539" s="32"/>
      <c r="AA1539" s="32"/>
      <c r="AB1539" s="32"/>
    </row>
    <row r="1540" spans="1:28" ht="13" x14ac:dyDescent="0.15">
      <c r="A1540" s="32"/>
      <c r="B1540" s="32"/>
      <c r="C1540" s="32"/>
      <c r="D1540" s="32"/>
      <c r="E1540" s="32"/>
      <c r="F1540" s="32"/>
      <c r="G1540" s="32"/>
      <c r="H1540" s="32"/>
      <c r="I1540" s="32"/>
      <c r="J1540" s="32"/>
      <c r="K1540" s="32"/>
      <c r="L1540" s="32"/>
      <c r="M1540" s="23"/>
      <c r="N1540" s="32"/>
      <c r="O1540" s="32"/>
      <c r="P1540" s="32"/>
      <c r="Q1540" s="32"/>
      <c r="R1540" s="32"/>
      <c r="S1540" s="32"/>
      <c r="T1540" s="32"/>
      <c r="U1540" s="32"/>
      <c r="V1540" s="32"/>
      <c r="W1540" s="32"/>
      <c r="X1540" s="32"/>
      <c r="Y1540" s="32"/>
      <c r="Z1540" s="32"/>
      <c r="AA1540" s="32"/>
      <c r="AB1540" s="32"/>
    </row>
    <row r="1541" spans="1:28" ht="13" x14ac:dyDescent="0.15">
      <c r="A1541" s="32"/>
      <c r="B1541" s="32"/>
      <c r="C1541" s="32"/>
      <c r="D1541" s="32"/>
      <c r="E1541" s="32"/>
      <c r="F1541" s="32"/>
      <c r="G1541" s="32"/>
      <c r="H1541" s="32"/>
      <c r="I1541" s="32"/>
      <c r="J1541" s="32"/>
      <c r="K1541" s="32"/>
      <c r="L1541" s="32"/>
      <c r="M1541" s="23"/>
      <c r="N1541" s="32"/>
      <c r="O1541" s="32"/>
      <c r="P1541" s="32"/>
      <c r="Q1541" s="32"/>
      <c r="R1541" s="32"/>
      <c r="S1541" s="32"/>
      <c r="T1541" s="32"/>
      <c r="U1541" s="32"/>
      <c r="V1541" s="32"/>
      <c r="W1541" s="32"/>
      <c r="X1541" s="32"/>
      <c r="Y1541" s="32"/>
      <c r="Z1541" s="32"/>
      <c r="AA1541" s="32"/>
      <c r="AB1541" s="32"/>
    </row>
    <row r="1542" spans="1:28" ht="13" x14ac:dyDescent="0.15">
      <c r="A1542" s="32"/>
      <c r="B1542" s="32"/>
      <c r="C1542" s="32"/>
      <c r="D1542" s="32"/>
      <c r="E1542" s="32"/>
      <c r="F1542" s="32"/>
      <c r="G1542" s="32"/>
      <c r="H1542" s="32"/>
      <c r="I1542" s="32"/>
      <c r="J1542" s="32"/>
      <c r="K1542" s="32"/>
      <c r="L1542" s="32"/>
      <c r="M1542" s="23"/>
      <c r="N1542" s="32"/>
      <c r="O1542" s="32"/>
      <c r="P1542" s="32"/>
      <c r="Q1542" s="32"/>
      <c r="R1542" s="32"/>
      <c r="S1542" s="32"/>
      <c r="T1542" s="32"/>
      <c r="U1542" s="32"/>
      <c r="V1542" s="32"/>
      <c r="W1542" s="32"/>
      <c r="X1542" s="32"/>
      <c r="Y1542" s="32"/>
      <c r="Z1542" s="32"/>
      <c r="AA1542" s="32"/>
      <c r="AB1542" s="32"/>
    </row>
    <row r="1543" spans="1:28" ht="13" x14ac:dyDescent="0.15">
      <c r="A1543" s="32"/>
      <c r="B1543" s="32"/>
      <c r="C1543" s="32"/>
      <c r="D1543" s="32"/>
      <c r="E1543" s="32"/>
      <c r="F1543" s="32"/>
      <c r="G1543" s="32"/>
      <c r="H1543" s="32"/>
      <c r="I1543" s="32"/>
      <c r="J1543" s="32"/>
      <c r="K1543" s="32"/>
      <c r="L1543" s="32"/>
      <c r="M1543" s="23"/>
      <c r="N1543" s="32"/>
      <c r="O1543" s="32"/>
      <c r="P1543" s="32"/>
      <c r="Q1543" s="32"/>
      <c r="R1543" s="32"/>
      <c r="S1543" s="32"/>
      <c r="T1543" s="32"/>
      <c r="U1543" s="32"/>
      <c r="V1543" s="32"/>
      <c r="W1543" s="32"/>
      <c r="X1543" s="32"/>
      <c r="Y1543" s="32"/>
      <c r="Z1543" s="32"/>
      <c r="AA1543" s="32"/>
      <c r="AB1543" s="32"/>
    </row>
    <row r="1544" spans="1:28" ht="13" x14ac:dyDescent="0.15">
      <c r="A1544" s="32"/>
      <c r="B1544" s="32"/>
      <c r="C1544" s="32"/>
      <c r="D1544" s="32"/>
      <c r="E1544" s="32"/>
      <c r="F1544" s="32"/>
      <c r="G1544" s="32"/>
      <c r="H1544" s="32"/>
      <c r="I1544" s="32"/>
      <c r="J1544" s="32"/>
      <c r="K1544" s="32"/>
      <c r="L1544" s="32"/>
      <c r="M1544" s="23"/>
      <c r="N1544" s="32"/>
      <c r="O1544" s="32"/>
      <c r="P1544" s="32"/>
      <c r="Q1544" s="32"/>
      <c r="R1544" s="32"/>
      <c r="S1544" s="32"/>
      <c r="T1544" s="32"/>
      <c r="U1544" s="32"/>
      <c r="V1544" s="32"/>
      <c r="W1544" s="32"/>
      <c r="X1544" s="32"/>
      <c r="Y1544" s="32"/>
      <c r="Z1544" s="32"/>
      <c r="AA1544" s="32"/>
      <c r="AB1544" s="32"/>
    </row>
    <row r="1545" spans="1:28" ht="13" x14ac:dyDescent="0.15">
      <c r="A1545" s="32"/>
      <c r="B1545" s="32"/>
      <c r="C1545" s="32"/>
      <c r="D1545" s="32"/>
      <c r="E1545" s="32"/>
      <c r="F1545" s="32"/>
      <c r="G1545" s="32"/>
      <c r="H1545" s="32"/>
      <c r="I1545" s="32"/>
      <c r="J1545" s="32"/>
      <c r="K1545" s="32"/>
      <c r="L1545" s="32"/>
      <c r="M1545" s="23"/>
      <c r="N1545" s="32"/>
      <c r="O1545" s="32"/>
      <c r="P1545" s="32"/>
      <c r="Q1545" s="32"/>
      <c r="R1545" s="32"/>
      <c r="S1545" s="32"/>
      <c r="T1545" s="32"/>
      <c r="U1545" s="32"/>
      <c r="V1545" s="32"/>
      <c r="W1545" s="32"/>
      <c r="X1545" s="32"/>
      <c r="Y1545" s="32"/>
      <c r="Z1545" s="32"/>
      <c r="AA1545" s="32"/>
      <c r="AB1545" s="32"/>
    </row>
    <row r="1546" spans="1:28" ht="13" x14ac:dyDescent="0.15">
      <c r="A1546" s="32"/>
      <c r="B1546" s="32"/>
      <c r="C1546" s="32"/>
      <c r="D1546" s="32"/>
      <c r="E1546" s="32"/>
      <c r="F1546" s="32"/>
      <c r="G1546" s="32"/>
      <c r="H1546" s="32"/>
      <c r="I1546" s="32"/>
      <c r="J1546" s="32"/>
      <c r="K1546" s="32"/>
      <c r="L1546" s="32"/>
      <c r="M1546" s="23"/>
      <c r="N1546" s="32"/>
      <c r="O1546" s="32"/>
      <c r="P1546" s="32"/>
      <c r="Q1546" s="32"/>
      <c r="R1546" s="32"/>
      <c r="S1546" s="32"/>
      <c r="T1546" s="32"/>
      <c r="U1546" s="32"/>
      <c r="V1546" s="32"/>
      <c r="W1546" s="32"/>
      <c r="X1546" s="32"/>
      <c r="Y1546" s="32"/>
      <c r="Z1546" s="32"/>
      <c r="AA1546" s="32"/>
      <c r="AB1546" s="32"/>
    </row>
    <row r="1547" spans="1:28" ht="13" x14ac:dyDescent="0.15">
      <c r="A1547" s="32"/>
      <c r="B1547" s="32"/>
      <c r="C1547" s="32"/>
      <c r="D1547" s="32"/>
      <c r="E1547" s="32"/>
      <c r="F1547" s="32"/>
      <c r="G1547" s="32"/>
      <c r="H1547" s="32"/>
      <c r="I1547" s="32"/>
      <c r="J1547" s="32"/>
      <c r="K1547" s="32"/>
      <c r="L1547" s="32"/>
      <c r="M1547" s="23"/>
      <c r="N1547" s="32"/>
      <c r="O1547" s="32"/>
      <c r="P1547" s="32"/>
      <c r="Q1547" s="32"/>
      <c r="R1547" s="32"/>
      <c r="S1547" s="32"/>
      <c r="T1547" s="32"/>
      <c r="U1547" s="32"/>
      <c r="V1547" s="32"/>
      <c r="W1547" s="32"/>
      <c r="X1547" s="32"/>
      <c r="Y1547" s="32"/>
      <c r="Z1547" s="32"/>
      <c r="AA1547" s="32"/>
      <c r="AB1547" s="32"/>
    </row>
    <row r="1548" spans="1:28" ht="13" x14ac:dyDescent="0.15">
      <c r="A1548" s="32"/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23"/>
      <c r="N1548" s="32"/>
      <c r="O1548" s="32"/>
      <c r="P1548" s="32"/>
      <c r="Q1548" s="32"/>
      <c r="R1548" s="32"/>
      <c r="S1548" s="32"/>
      <c r="T1548" s="32"/>
      <c r="U1548" s="32"/>
      <c r="V1548" s="32"/>
      <c r="W1548" s="32"/>
      <c r="X1548" s="32"/>
      <c r="Y1548" s="32"/>
      <c r="Z1548" s="32"/>
      <c r="AA1548" s="32"/>
      <c r="AB1548" s="32"/>
    </row>
    <row r="1549" spans="1:28" ht="13" x14ac:dyDescent="0.15">
      <c r="A1549" s="32"/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23"/>
      <c r="N1549" s="32"/>
      <c r="O1549" s="32"/>
      <c r="P1549" s="32"/>
      <c r="Q1549" s="32"/>
      <c r="R1549" s="32"/>
      <c r="S1549" s="32"/>
      <c r="T1549" s="32"/>
      <c r="U1549" s="32"/>
      <c r="V1549" s="32"/>
      <c r="W1549" s="32"/>
      <c r="X1549" s="32"/>
      <c r="Y1549" s="32"/>
      <c r="Z1549" s="32"/>
      <c r="AA1549" s="32"/>
      <c r="AB1549" s="32"/>
    </row>
    <row r="1550" spans="1:28" ht="13" x14ac:dyDescent="0.15">
      <c r="A1550" s="32"/>
      <c r="B1550" s="32"/>
      <c r="C1550" s="32"/>
      <c r="D1550" s="32"/>
      <c r="E1550" s="32"/>
      <c r="F1550" s="32"/>
      <c r="G1550" s="32"/>
      <c r="H1550" s="32"/>
      <c r="I1550" s="32"/>
      <c r="J1550" s="32"/>
      <c r="K1550" s="32"/>
      <c r="L1550" s="32"/>
      <c r="M1550" s="23"/>
      <c r="N1550" s="32"/>
      <c r="O1550" s="32"/>
      <c r="P1550" s="32"/>
      <c r="Q1550" s="32"/>
      <c r="R1550" s="32"/>
      <c r="S1550" s="32"/>
      <c r="T1550" s="32"/>
      <c r="U1550" s="32"/>
      <c r="V1550" s="32"/>
      <c r="W1550" s="32"/>
      <c r="X1550" s="32"/>
      <c r="Y1550" s="32"/>
      <c r="Z1550" s="32"/>
      <c r="AA1550" s="32"/>
      <c r="AB1550" s="32"/>
    </row>
    <row r="1551" spans="1:28" ht="13" x14ac:dyDescent="0.15">
      <c r="A1551" s="32"/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23"/>
      <c r="N1551" s="32"/>
      <c r="O1551" s="32"/>
      <c r="P1551" s="32"/>
      <c r="Q1551" s="32"/>
      <c r="R1551" s="32"/>
      <c r="S1551" s="32"/>
      <c r="T1551" s="32"/>
      <c r="U1551" s="32"/>
      <c r="V1551" s="32"/>
      <c r="W1551" s="32"/>
      <c r="X1551" s="32"/>
      <c r="Y1551" s="32"/>
      <c r="Z1551" s="32"/>
      <c r="AA1551" s="32"/>
      <c r="AB1551" s="32"/>
    </row>
    <row r="1552" spans="1:28" ht="13" x14ac:dyDescent="0.15">
      <c r="A1552" s="32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23"/>
      <c r="N1552" s="32"/>
      <c r="O1552" s="32"/>
      <c r="P1552" s="32"/>
      <c r="Q1552" s="32"/>
      <c r="R1552" s="32"/>
      <c r="S1552" s="32"/>
      <c r="T1552" s="32"/>
      <c r="U1552" s="32"/>
      <c r="V1552" s="32"/>
      <c r="W1552" s="32"/>
      <c r="X1552" s="32"/>
      <c r="Y1552" s="32"/>
      <c r="Z1552" s="32"/>
      <c r="AA1552" s="32"/>
      <c r="AB1552" s="32"/>
    </row>
    <row r="1553" spans="1:28" ht="13" x14ac:dyDescent="0.15">
      <c r="A1553" s="32"/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  <c r="M1553" s="23"/>
      <c r="N1553" s="32"/>
      <c r="O1553" s="32"/>
      <c r="P1553" s="32"/>
      <c r="Q1553" s="32"/>
      <c r="R1553" s="32"/>
      <c r="S1553" s="32"/>
      <c r="T1553" s="32"/>
      <c r="U1553" s="32"/>
      <c r="V1553" s="32"/>
      <c r="W1553" s="32"/>
      <c r="X1553" s="32"/>
      <c r="Y1553" s="32"/>
      <c r="Z1553" s="32"/>
      <c r="AA1553" s="32"/>
      <c r="AB1553" s="32"/>
    </row>
    <row r="1554" spans="1:28" ht="13" x14ac:dyDescent="0.15">
      <c r="A1554" s="32"/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  <c r="M1554" s="23"/>
      <c r="N1554" s="32"/>
      <c r="O1554" s="32"/>
      <c r="P1554" s="32"/>
      <c r="Q1554" s="32"/>
      <c r="R1554" s="32"/>
      <c r="S1554" s="32"/>
      <c r="T1554" s="32"/>
      <c r="U1554" s="32"/>
      <c r="V1554" s="32"/>
      <c r="W1554" s="32"/>
      <c r="X1554" s="32"/>
      <c r="Y1554" s="32"/>
      <c r="Z1554" s="32"/>
      <c r="AA1554" s="32"/>
      <c r="AB1554" s="32"/>
    </row>
    <row r="1555" spans="1:28" ht="13" x14ac:dyDescent="0.15">
      <c r="A1555" s="32"/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23"/>
      <c r="N1555" s="32"/>
      <c r="O1555" s="32"/>
      <c r="P1555" s="32"/>
      <c r="Q1555" s="32"/>
      <c r="R1555" s="32"/>
      <c r="S1555" s="32"/>
      <c r="T1555" s="32"/>
      <c r="U1555" s="32"/>
      <c r="V1555" s="32"/>
      <c r="W1555" s="32"/>
      <c r="X1555" s="32"/>
      <c r="Y1555" s="32"/>
      <c r="Z1555" s="32"/>
      <c r="AA1555" s="32"/>
      <c r="AB1555" s="32"/>
    </row>
    <row r="1556" spans="1:28" ht="13" x14ac:dyDescent="0.15">
      <c r="A1556" s="32"/>
      <c r="B1556" s="32"/>
      <c r="C1556" s="32"/>
      <c r="D1556" s="32"/>
      <c r="E1556" s="32"/>
      <c r="F1556" s="32"/>
      <c r="G1556" s="32"/>
      <c r="H1556" s="32"/>
      <c r="I1556" s="32"/>
      <c r="J1556" s="32"/>
      <c r="K1556" s="32"/>
      <c r="L1556" s="32"/>
      <c r="M1556" s="23"/>
      <c r="N1556" s="32"/>
      <c r="O1556" s="32"/>
      <c r="P1556" s="32"/>
      <c r="Q1556" s="32"/>
      <c r="R1556" s="32"/>
      <c r="S1556" s="32"/>
      <c r="T1556" s="32"/>
      <c r="U1556" s="32"/>
      <c r="V1556" s="32"/>
      <c r="W1556" s="32"/>
      <c r="X1556" s="32"/>
      <c r="Y1556" s="32"/>
      <c r="Z1556" s="32"/>
      <c r="AA1556" s="32"/>
      <c r="AB1556" s="32"/>
    </row>
    <row r="1557" spans="1:28" ht="13" x14ac:dyDescent="0.15">
      <c r="A1557" s="32"/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23"/>
      <c r="N1557" s="32"/>
      <c r="O1557" s="32"/>
      <c r="P1557" s="32"/>
      <c r="Q1557" s="32"/>
      <c r="R1557" s="32"/>
      <c r="S1557" s="32"/>
      <c r="T1557" s="32"/>
      <c r="U1557" s="32"/>
      <c r="V1557" s="32"/>
      <c r="W1557" s="32"/>
      <c r="X1557" s="32"/>
      <c r="Y1557" s="32"/>
      <c r="Z1557" s="32"/>
      <c r="AA1557" s="32"/>
      <c r="AB1557" s="32"/>
    </row>
    <row r="1558" spans="1:28" ht="13" x14ac:dyDescent="0.15">
      <c r="A1558" s="32"/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23"/>
      <c r="N1558" s="32"/>
      <c r="O1558" s="32"/>
      <c r="P1558" s="32"/>
      <c r="Q1558" s="32"/>
      <c r="R1558" s="32"/>
      <c r="S1558" s="32"/>
      <c r="T1558" s="32"/>
      <c r="U1558" s="32"/>
      <c r="V1558" s="32"/>
      <c r="W1558" s="32"/>
      <c r="X1558" s="32"/>
      <c r="Y1558" s="32"/>
      <c r="Z1558" s="32"/>
      <c r="AA1558" s="32"/>
      <c r="AB1558" s="32"/>
    </row>
    <row r="1559" spans="1:28" ht="13" x14ac:dyDescent="0.15">
      <c r="A1559" s="32"/>
      <c r="B1559" s="32"/>
      <c r="C1559" s="32"/>
      <c r="D1559" s="32"/>
      <c r="E1559" s="32"/>
      <c r="F1559" s="32"/>
      <c r="G1559" s="32"/>
      <c r="H1559" s="32"/>
      <c r="I1559" s="32"/>
      <c r="J1559" s="32"/>
      <c r="K1559" s="32"/>
      <c r="L1559" s="32"/>
      <c r="M1559" s="23"/>
      <c r="N1559" s="32"/>
      <c r="O1559" s="32"/>
      <c r="P1559" s="32"/>
      <c r="Q1559" s="32"/>
      <c r="R1559" s="32"/>
      <c r="S1559" s="32"/>
      <c r="T1559" s="32"/>
      <c r="U1559" s="32"/>
      <c r="V1559" s="32"/>
      <c r="W1559" s="32"/>
      <c r="X1559" s="32"/>
      <c r="Y1559" s="32"/>
      <c r="Z1559" s="32"/>
      <c r="AA1559" s="32"/>
      <c r="AB1559" s="32"/>
    </row>
    <row r="1560" spans="1:28" ht="13" x14ac:dyDescent="0.15">
      <c r="A1560" s="32"/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23"/>
      <c r="N1560" s="32"/>
      <c r="O1560" s="32"/>
      <c r="P1560" s="32"/>
      <c r="Q1560" s="32"/>
      <c r="R1560" s="32"/>
      <c r="S1560" s="32"/>
      <c r="T1560" s="32"/>
      <c r="U1560" s="32"/>
      <c r="V1560" s="32"/>
      <c r="W1560" s="32"/>
      <c r="X1560" s="32"/>
      <c r="Y1560" s="32"/>
      <c r="Z1560" s="32"/>
      <c r="AA1560" s="32"/>
      <c r="AB1560" s="32"/>
    </row>
    <row r="1561" spans="1:28" ht="13" x14ac:dyDescent="0.15">
      <c r="A1561" s="32"/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32"/>
      <c r="M1561" s="23"/>
      <c r="N1561" s="32"/>
      <c r="O1561" s="32"/>
      <c r="P1561" s="32"/>
      <c r="Q1561" s="32"/>
      <c r="R1561" s="32"/>
      <c r="S1561" s="32"/>
      <c r="T1561" s="32"/>
      <c r="U1561" s="32"/>
      <c r="V1561" s="32"/>
      <c r="W1561" s="32"/>
      <c r="X1561" s="32"/>
      <c r="Y1561" s="32"/>
      <c r="Z1561" s="32"/>
      <c r="AA1561" s="32"/>
      <c r="AB1561" s="32"/>
    </row>
    <row r="1562" spans="1:28" ht="13" x14ac:dyDescent="0.15">
      <c r="A1562" s="32"/>
      <c r="B1562" s="32"/>
      <c r="C1562" s="32"/>
      <c r="D1562" s="32"/>
      <c r="E1562" s="32"/>
      <c r="F1562" s="32"/>
      <c r="G1562" s="32"/>
      <c r="H1562" s="32"/>
      <c r="I1562" s="32"/>
      <c r="J1562" s="32"/>
      <c r="K1562" s="32"/>
      <c r="L1562" s="32"/>
      <c r="M1562" s="23"/>
      <c r="N1562" s="32"/>
      <c r="O1562" s="32"/>
      <c r="P1562" s="32"/>
      <c r="Q1562" s="32"/>
      <c r="R1562" s="32"/>
      <c r="S1562" s="32"/>
      <c r="T1562" s="32"/>
      <c r="U1562" s="32"/>
      <c r="V1562" s="32"/>
      <c r="W1562" s="32"/>
      <c r="X1562" s="32"/>
      <c r="Y1562" s="32"/>
      <c r="Z1562" s="32"/>
      <c r="AA1562" s="32"/>
      <c r="AB1562" s="32"/>
    </row>
    <row r="1563" spans="1:28" ht="13" x14ac:dyDescent="0.15">
      <c r="A1563" s="32"/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32"/>
      <c r="M1563" s="23"/>
      <c r="N1563" s="32"/>
      <c r="O1563" s="32"/>
      <c r="P1563" s="32"/>
      <c r="Q1563" s="32"/>
      <c r="R1563" s="32"/>
      <c r="S1563" s="32"/>
      <c r="T1563" s="32"/>
      <c r="U1563" s="32"/>
      <c r="V1563" s="32"/>
      <c r="W1563" s="32"/>
      <c r="X1563" s="32"/>
      <c r="Y1563" s="32"/>
      <c r="Z1563" s="32"/>
      <c r="AA1563" s="32"/>
      <c r="AB1563" s="32"/>
    </row>
    <row r="1564" spans="1:28" ht="13" x14ac:dyDescent="0.15">
      <c r="A1564" s="32"/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32"/>
      <c r="M1564" s="23"/>
      <c r="N1564" s="32"/>
      <c r="O1564" s="32"/>
      <c r="P1564" s="32"/>
      <c r="Q1564" s="32"/>
      <c r="R1564" s="32"/>
      <c r="S1564" s="32"/>
      <c r="T1564" s="32"/>
      <c r="U1564" s="32"/>
      <c r="V1564" s="32"/>
      <c r="W1564" s="32"/>
      <c r="X1564" s="32"/>
      <c r="Y1564" s="32"/>
      <c r="Z1564" s="32"/>
      <c r="AA1564" s="32"/>
      <c r="AB1564" s="32"/>
    </row>
    <row r="1565" spans="1:28" ht="13" x14ac:dyDescent="0.15">
      <c r="A1565" s="32"/>
      <c r="B1565" s="32"/>
      <c r="C1565" s="32"/>
      <c r="D1565" s="32"/>
      <c r="E1565" s="32"/>
      <c r="F1565" s="32"/>
      <c r="G1565" s="32"/>
      <c r="H1565" s="32"/>
      <c r="I1565" s="32"/>
      <c r="J1565" s="32"/>
      <c r="K1565" s="32"/>
      <c r="L1565" s="32"/>
      <c r="M1565" s="23"/>
      <c r="N1565" s="32"/>
      <c r="O1565" s="32"/>
      <c r="P1565" s="32"/>
      <c r="Q1565" s="32"/>
      <c r="R1565" s="32"/>
      <c r="S1565" s="32"/>
      <c r="T1565" s="32"/>
      <c r="U1565" s="32"/>
      <c r="V1565" s="32"/>
      <c r="W1565" s="32"/>
      <c r="X1565" s="32"/>
      <c r="Y1565" s="32"/>
      <c r="Z1565" s="32"/>
      <c r="AA1565" s="32"/>
      <c r="AB1565" s="32"/>
    </row>
    <row r="1566" spans="1:28" ht="13" x14ac:dyDescent="0.15">
      <c r="A1566" s="32"/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32"/>
      <c r="M1566" s="23"/>
      <c r="N1566" s="32"/>
      <c r="O1566" s="32"/>
      <c r="P1566" s="32"/>
      <c r="Q1566" s="32"/>
      <c r="R1566" s="32"/>
      <c r="S1566" s="32"/>
      <c r="T1566" s="32"/>
      <c r="U1566" s="32"/>
      <c r="V1566" s="32"/>
      <c r="W1566" s="32"/>
      <c r="X1566" s="32"/>
      <c r="Y1566" s="32"/>
      <c r="Z1566" s="32"/>
      <c r="AA1566" s="32"/>
      <c r="AB1566" s="32"/>
    </row>
    <row r="1567" spans="1:28" ht="13" x14ac:dyDescent="0.15">
      <c r="A1567" s="32"/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32"/>
      <c r="M1567" s="23"/>
      <c r="N1567" s="32"/>
      <c r="O1567" s="32"/>
      <c r="P1567" s="32"/>
      <c r="Q1567" s="32"/>
      <c r="R1567" s="32"/>
      <c r="S1567" s="32"/>
      <c r="T1567" s="32"/>
      <c r="U1567" s="32"/>
      <c r="V1567" s="32"/>
      <c r="W1567" s="32"/>
      <c r="X1567" s="32"/>
      <c r="Y1567" s="32"/>
      <c r="Z1567" s="32"/>
      <c r="AA1567" s="32"/>
      <c r="AB1567" s="32"/>
    </row>
    <row r="1568" spans="1:28" ht="13" x14ac:dyDescent="0.15">
      <c r="A1568" s="32"/>
      <c r="B1568" s="32"/>
      <c r="C1568" s="32"/>
      <c r="D1568" s="32"/>
      <c r="E1568" s="32"/>
      <c r="F1568" s="32"/>
      <c r="G1568" s="32"/>
      <c r="H1568" s="32"/>
      <c r="I1568" s="32"/>
      <c r="J1568" s="32"/>
      <c r="K1568" s="32"/>
      <c r="L1568" s="32"/>
      <c r="M1568" s="23"/>
      <c r="N1568" s="32"/>
      <c r="O1568" s="32"/>
      <c r="P1568" s="32"/>
      <c r="Q1568" s="32"/>
      <c r="R1568" s="32"/>
      <c r="S1568" s="32"/>
      <c r="T1568" s="32"/>
      <c r="U1568" s="32"/>
      <c r="V1568" s="32"/>
      <c r="W1568" s="32"/>
      <c r="X1568" s="32"/>
      <c r="Y1568" s="32"/>
      <c r="Z1568" s="32"/>
      <c r="AA1568" s="32"/>
      <c r="AB1568" s="32"/>
    </row>
    <row r="1569" spans="1:28" ht="13" x14ac:dyDescent="0.15">
      <c r="A1569" s="32"/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32"/>
      <c r="M1569" s="23"/>
      <c r="N1569" s="32"/>
      <c r="O1569" s="32"/>
      <c r="P1569" s="32"/>
      <c r="Q1569" s="32"/>
      <c r="R1569" s="32"/>
      <c r="S1569" s="32"/>
      <c r="T1569" s="32"/>
      <c r="U1569" s="32"/>
      <c r="V1569" s="32"/>
      <c r="W1569" s="32"/>
      <c r="X1569" s="32"/>
      <c r="Y1569" s="32"/>
      <c r="Z1569" s="32"/>
      <c r="AA1569" s="32"/>
      <c r="AB1569" s="32"/>
    </row>
    <row r="1570" spans="1:28" ht="13" x14ac:dyDescent="0.15">
      <c r="A1570" s="32"/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23"/>
      <c r="N1570" s="32"/>
      <c r="O1570" s="32"/>
      <c r="P1570" s="32"/>
      <c r="Q1570" s="32"/>
      <c r="R1570" s="32"/>
      <c r="S1570" s="32"/>
      <c r="T1570" s="32"/>
      <c r="U1570" s="32"/>
      <c r="V1570" s="32"/>
      <c r="W1570" s="32"/>
      <c r="X1570" s="32"/>
      <c r="Y1570" s="32"/>
      <c r="Z1570" s="32"/>
      <c r="AA1570" s="32"/>
      <c r="AB1570" s="32"/>
    </row>
    <row r="1571" spans="1:28" ht="13" x14ac:dyDescent="0.15">
      <c r="A1571" s="32"/>
      <c r="B1571" s="32"/>
      <c r="C1571" s="32"/>
      <c r="D1571" s="32"/>
      <c r="E1571" s="32"/>
      <c r="F1571" s="32"/>
      <c r="G1571" s="32"/>
      <c r="H1571" s="32"/>
      <c r="I1571" s="32"/>
      <c r="J1571" s="32"/>
      <c r="K1571" s="32"/>
      <c r="L1571" s="32"/>
      <c r="M1571" s="23"/>
      <c r="N1571" s="32"/>
      <c r="O1571" s="32"/>
      <c r="P1571" s="32"/>
      <c r="Q1571" s="32"/>
      <c r="R1571" s="32"/>
      <c r="S1571" s="32"/>
      <c r="T1571" s="32"/>
      <c r="U1571" s="32"/>
      <c r="V1571" s="32"/>
      <c r="W1571" s="32"/>
      <c r="X1571" s="32"/>
      <c r="Y1571" s="32"/>
      <c r="Z1571" s="32"/>
      <c r="AA1571" s="32"/>
      <c r="AB1571" s="32"/>
    </row>
    <row r="1572" spans="1:28" ht="13" x14ac:dyDescent="0.15">
      <c r="A1572" s="32"/>
      <c r="B1572" s="32"/>
      <c r="C1572" s="32"/>
      <c r="D1572" s="32"/>
      <c r="E1572" s="32"/>
      <c r="F1572" s="32"/>
      <c r="G1572" s="32"/>
      <c r="H1572" s="32"/>
      <c r="I1572" s="32"/>
      <c r="J1572" s="32"/>
      <c r="K1572" s="32"/>
      <c r="L1572" s="32"/>
      <c r="M1572" s="23"/>
      <c r="N1572" s="32"/>
      <c r="O1572" s="32"/>
      <c r="P1572" s="32"/>
      <c r="Q1572" s="32"/>
      <c r="R1572" s="32"/>
      <c r="S1572" s="32"/>
      <c r="T1572" s="32"/>
      <c r="U1572" s="32"/>
      <c r="V1572" s="32"/>
      <c r="W1572" s="32"/>
      <c r="X1572" s="32"/>
      <c r="Y1572" s="32"/>
      <c r="Z1572" s="32"/>
      <c r="AA1572" s="32"/>
      <c r="AB1572" s="32"/>
    </row>
    <row r="1573" spans="1:28" ht="13" x14ac:dyDescent="0.15">
      <c r="A1573" s="32"/>
      <c r="B1573" s="32"/>
      <c r="C1573" s="32"/>
      <c r="D1573" s="32"/>
      <c r="E1573" s="32"/>
      <c r="F1573" s="32"/>
      <c r="G1573" s="32"/>
      <c r="H1573" s="32"/>
      <c r="I1573" s="32"/>
      <c r="J1573" s="32"/>
      <c r="K1573" s="32"/>
      <c r="L1573" s="32"/>
      <c r="M1573" s="23"/>
      <c r="N1573" s="32"/>
      <c r="O1573" s="32"/>
      <c r="P1573" s="32"/>
      <c r="Q1573" s="32"/>
      <c r="R1573" s="32"/>
      <c r="S1573" s="32"/>
      <c r="T1573" s="32"/>
      <c r="U1573" s="32"/>
      <c r="V1573" s="32"/>
      <c r="W1573" s="32"/>
      <c r="X1573" s="32"/>
      <c r="Y1573" s="32"/>
      <c r="Z1573" s="32"/>
      <c r="AA1573" s="32"/>
      <c r="AB1573" s="32"/>
    </row>
    <row r="1574" spans="1:28" ht="13" x14ac:dyDescent="0.15">
      <c r="A1574" s="32"/>
      <c r="B1574" s="32"/>
      <c r="C1574" s="32"/>
      <c r="D1574" s="32"/>
      <c r="E1574" s="32"/>
      <c r="F1574" s="32"/>
      <c r="G1574" s="32"/>
      <c r="H1574" s="32"/>
      <c r="I1574" s="32"/>
      <c r="J1574" s="32"/>
      <c r="K1574" s="32"/>
      <c r="L1574" s="32"/>
      <c r="M1574" s="23"/>
      <c r="N1574" s="32"/>
      <c r="O1574" s="32"/>
      <c r="P1574" s="32"/>
      <c r="Q1574" s="32"/>
      <c r="R1574" s="32"/>
      <c r="S1574" s="32"/>
      <c r="T1574" s="32"/>
      <c r="U1574" s="32"/>
      <c r="V1574" s="32"/>
      <c r="W1574" s="32"/>
      <c r="X1574" s="32"/>
      <c r="Y1574" s="32"/>
      <c r="Z1574" s="32"/>
      <c r="AA1574" s="32"/>
      <c r="AB1574" s="32"/>
    </row>
    <row r="1575" spans="1:28" ht="13" x14ac:dyDescent="0.15">
      <c r="A1575" s="32"/>
      <c r="B1575" s="32"/>
      <c r="C1575" s="32"/>
      <c r="D1575" s="32"/>
      <c r="E1575" s="32"/>
      <c r="F1575" s="32"/>
      <c r="G1575" s="32"/>
      <c r="H1575" s="32"/>
      <c r="I1575" s="32"/>
      <c r="J1575" s="32"/>
      <c r="K1575" s="32"/>
      <c r="L1575" s="32"/>
      <c r="M1575" s="23"/>
      <c r="N1575" s="32"/>
      <c r="O1575" s="32"/>
      <c r="P1575" s="32"/>
      <c r="Q1575" s="32"/>
      <c r="R1575" s="32"/>
      <c r="S1575" s="32"/>
      <c r="T1575" s="32"/>
      <c r="U1575" s="32"/>
      <c r="V1575" s="32"/>
      <c r="W1575" s="32"/>
      <c r="X1575" s="32"/>
      <c r="Y1575" s="32"/>
      <c r="Z1575" s="32"/>
      <c r="AA1575" s="32"/>
      <c r="AB1575" s="32"/>
    </row>
    <row r="1576" spans="1:28" ht="13" x14ac:dyDescent="0.15">
      <c r="A1576" s="32"/>
      <c r="B1576" s="32"/>
      <c r="C1576" s="32"/>
      <c r="D1576" s="32"/>
      <c r="E1576" s="32"/>
      <c r="F1576" s="32"/>
      <c r="G1576" s="32"/>
      <c r="H1576" s="32"/>
      <c r="I1576" s="32"/>
      <c r="J1576" s="32"/>
      <c r="K1576" s="32"/>
      <c r="L1576" s="32"/>
      <c r="M1576" s="23"/>
      <c r="N1576" s="32"/>
      <c r="O1576" s="32"/>
      <c r="P1576" s="32"/>
      <c r="Q1576" s="32"/>
      <c r="R1576" s="32"/>
      <c r="S1576" s="32"/>
      <c r="T1576" s="32"/>
      <c r="U1576" s="32"/>
      <c r="V1576" s="32"/>
      <c r="W1576" s="32"/>
      <c r="X1576" s="32"/>
      <c r="Y1576" s="32"/>
      <c r="Z1576" s="32"/>
      <c r="AA1576" s="32"/>
      <c r="AB1576" s="32"/>
    </row>
    <row r="1577" spans="1:28" ht="13" x14ac:dyDescent="0.15">
      <c r="A1577" s="32"/>
      <c r="B1577" s="32"/>
      <c r="C1577" s="32"/>
      <c r="D1577" s="32"/>
      <c r="E1577" s="32"/>
      <c r="F1577" s="32"/>
      <c r="G1577" s="32"/>
      <c r="H1577" s="32"/>
      <c r="I1577" s="32"/>
      <c r="J1577" s="32"/>
      <c r="K1577" s="32"/>
      <c r="L1577" s="32"/>
      <c r="M1577" s="23"/>
      <c r="N1577" s="32"/>
      <c r="O1577" s="32"/>
      <c r="P1577" s="32"/>
      <c r="Q1577" s="32"/>
      <c r="R1577" s="32"/>
      <c r="S1577" s="32"/>
      <c r="T1577" s="32"/>
      <c r="U1577" s="32"/>
      <c r="V1577" s="32"/>
      <c r="W1577" s="32"/>
      <c r="X1577" s="32"/>
      <c r="Y1577" s="32"/>
      <c r="Z1577" s="32"/>
      <c r="AA1577" s="32"/>
      <c r="AB1577" s="32"/>
    </row>
    <row r="1578" spans="1:28" ht="13" x14ac:dyDescent="0.15">
      <c r="A1578" s="32"/>
      <c r="B1578" s="32"/>
      <c r="C1578" s="32"/>
      <c r="D1578" s="32"/>
      <c r="E1578" s="32"/>
      <c r="F1578" s="32"/>
      <c r="G1578" s="32"/>
      <c r="H1578" s="32"/>
      <c r="I1578" s="32"/>
      <c r="J1578" s="32"/>
      <c r="K1578" s="32"/>
      <c r="L1578" s="32"/>
      <c r="M1578" s="23"/>
      <c r="N1578" s="32"/>
      <c r="O1578" s="32"/>
      <c r="P1578" s="32"/>
      <c r="Q1578" s="32"/>
      <c r="R1578" s="32"/>
      <c r="S1578" s="32"/>
      <c r="T1578" s="32"/>
      <c r="U1578" s="32"/>
      <c r="V1578" s="32"/>
      <c r="W1578" s="32"/>
      <c r="X1578" s="32"/>
      <c r="Y1578" s="32"/>
      <c r="Z1578" s="32"/>
      <c r="AA1578" s="32"/>
      <c r="AB1578" s="32"/>
    </row>
    <row r="1579" spans="1:28" ht="13" x14ac:dyDescent="0.15">
      <c r="A1579" s="32"/>
      <c r="B1579" s="32"/>
      <c r="C1579" s="32"/>
      <c r="D1579" s="32"/>
      <c r="E1579" s="32"/>
      <c r="F1579" s="32"/>
      <c r="G1579" s="32"/>
      <c r="H1579" s="32"/>
      <c r="I1579" s="32"/>
      <c r="J1579" s="32"/>
      <c r="K1579" s="32"/>
      <c r="L1579" s="32"/>
      <c r="M1579" s="23"/>
      <c r="N1579" s="32"/>
      <c r="O1579" s="32"/>
      <c r="P1579" s="32"/>
      <c r="Q1579" s="32"/>
      <c r="R1579" s="32"/>
      <c r="S1579" s="32"/>
      <c r="T1579" s="32"/>
      <c r="U1579" s="32"/>
      <c r="V1579" s="32"/>
      <c r="W1579" s="32"/>
      <c r="X1579" s="32"/>
      <c r="Y1579" s="32"/>
      <c r="Z1579" s="32"/>
      <c r="AA1579" s="32"/>
      <c r="AB1579" s="32"/>
    </row>
    <row r="1580" spans="1:28" ht="13" x14ac:dyDescent="0.15">
      <c r="A1580" s="32"/>
      <c r="B1580" s="32"/>
      <c r="C1580" s="32"/>
      <c r="D1580" s="32"/>
      <c r="E1580" s="32"/>
      <c r="F1580" s="32"/>
      <c r="G1580" s="32"/>
      <c r="H1580" s="32"/>
      <c r="I1580" s="32"/>
      <c r="J1580" s="32"/>
      <c r="K1580" s="32"/>
      <c r="L1580" s="32"/>
      <c r="M1580" s="23"/>
      <c r="N1580" s="32"/>
      <c r="O1580" s="32"/>
      <c r="P1580" s="32"/>
      <c r="Q1580" s="32"/>
      <c r="R1580" s="32"/>
      <c r="S1580" s="32"/>
      <c r="T1580" s="32"/>
      <c r="U1580" s="32"/>
      <c r="V1580" s="32"/>
      <c r="W1580" s="32"/>
      <c r="X1580" s="32"/>
      <c r="Y1580" s="32"/>
      <c r="Z1580" s="32"/>
      <c r="AA1580" s="32"/>
      <c r="AB1580" s="32"/>
    </row>
    <row r="1581" spans="1:28" ht="13" x14ac:dyDescent="0.15">
      <c r="A1581" s="32"/>
      <c r="B1581" s="32"/>
      <c r="C1581" s="32"/>
      <c r="D1581" s="32"/>
      <c r="E1581" s="32"/>
      <c r="F1581" s="32"/>
      <c r="G1581" s="32"/>
      <c r="H1581" s="32"/>
      <c r="I1581" s="32"/>
      <c r="J1581" s="32"/>
      <c r="K1581" s="32"/>
      <c r="L1581" s="32"/>
      <c r="M1581" s="23"/>
      <c r="N1581" s="32"/>
      <c r="O1581" s="32"/>
      <c r="P1581" s="32"/>
      <c r="Q1581" s="32"/>
      <c r="R1581" s="32"/>
      <c r="S1581" s="32"/>
      <c r="T1581" s="32"/>
      <c r="U1581" s="32"/>
      <c r="V1581" s="32"/>
      <c r="W1581" s="32"/>
      <c r="X1581" s="32"/>
      <c r="Y1581" s="32"/>
      <c r="Z1581" s="32"/>
      <c r="AA1581" s="32"/>
      <c r="AB1581" s="32"/>
    </row>
    <row r="1582" spans="1:28" ht="13" x14ac:dyDescent="0.15">
      <c r="A1582" s="32"/>
      <c r="B1582" s="32"/>
      <c r="C1582" s="32"/>
      <c r="D1582" s="32"/>
      <c r="E1582" s="32"/>
      <c r="F1582" s="32"/>
      <c r="G1582" s="32"/>
      <c r="H1582" s="32"/>
      <c r="I1582" s="32"/>
      <c r="J1582" s="32"/>
      <c r="K1582" s="32"/>
      <c r="L1582" s="32"/>
      <c r="M1582" s="23"/>
      <c r="N1582" s="32"/>
      <c r="O1582" s="32"/>
      <c r="P1582" s="32"/>
      <c r="Q1582" s="32"/>
      <c r="R1582" s="32"/>
      <c r="S1582" s="32"/>
      <c r="T1582" s="32"/>
      <c r="U1582" s="32"/>
      <c r="V1582" s="32"/>
      <c r="W1582" s="32"/>
      <c r="X1582" s="32"/>
      <c r="Y1582" s="32"/>
      <c r="Z1582" s="32"/>
      <c r="AA1582" s="32"/>
      <c r="AB1582" s="32"/>
    </row>
    <row r="1583" spans="1:28" ht="13" x14ac:dyDescent="0.15">
      <c r="A1583" s="32"/>
      <c r="B1583" s="32"/>
      <c r="C1583" s="32"/>
      <c r="D1583" s="32"/>
      <c r="E1583" s="32"/>
      <c r="F1583" s="32"/>
      <c r="G1583" s="32"/>
      <c r="H1583" s="32"/>
      <c r="I1583" s="32"/>
      <c r="J1583" s="32"/>
      <c r="K1583" s="32"/>
      <c r="L1583" s="32"/>
      <c r="M1583" s="23"/>
      <c r="N1583" s="32"/>
      <c r="O1583" s="32"/>
      <c r="P1583" s="32"/>
      <c r="Q1583" s="32"/>
      <c r="R1583" s="32"/>
      <c r="S1583" s="32"/>
      <c r="T1583" s="32"/>
      <c r="U1583" s="32"/>
      <c r="V1583" s="32"/>
      <c r="W1583" s="32"/>
      <c r="X1583" s="32"/>
      <c r="Y1583" s="32"/>
      <c r="Z1583" s="32"/>
      <c r="AA1583" s="32"/>
      <c r="AB1583" s="32"/>
    </row>
    <row r="1584" spans="1:28" ht="13" x14ac:dyDescent="0.15">
      <c r="A1584" s="32"/>
      <c r="B1584" s="32"/>
      <c r="C1584" s="32"/>
      <c r="D1584" s="32"/>
      <c r="E1584" s="32"/>
      <c r="F1584" s="32"/>
      <c r="G1584" s="32"/>
      <c r="H1584" s="32"/>
      <c r="I1584" s="32"/>
      <c r="J1584" s="32"/>
      <c r="K1584" s="32"/>
      <c r="L1584" s="32"/>
      <c r="M1584" s="23"/>
      <c r="N1584" s="32"/>
      <c r="O1584" s="32"/>
      <c r="P1584" s="32"/>
      <c r="Q1584" s="32"/>
      <c r="R1584" s="32"/>
      <c r="S1584" s="32"/>
      <c r="T1584" s="32"/>
      <c r="U1584" s="32"/>
      <c r="V1584" s="32"/>
      <c r="W1584" s="32"/>
      <c r="X1584" s="32"/>
      <c r="Y1584" s="32"/>
      <c r="Z1584" s="32"/>
      <c r="AA1584" s="32"/>
      <c r="AB1584" s="32"/>
    </row>
    <row r="1585" spans="1:28" ht="13" x14ac:dyDescent="0.15">
      <c r="A1585" s="32"/>
      <c r="B1585" s="32"/>
      <c r="C1585" s="32"/>
      <c r="D1585" s="32"/>
      <c r="E1585" s="32"/>
      <c r="F1585" s="32"/>
      <c r="G1585" s="32"/>
      <c r="H1585" s="32"/>
      <c r="I1585" s="32"/>
      <c r="J1585" s="32"/>
      <c r="K1585" s="32"/>
      <c r="L1585" s="32"/>
      <c r="M1585" s="23"/>
      <c r="N1585" s="32"/>
      <c r="O1585" s="32"/>
      <c r="P1585" s="32"/>
      <c r="Q1585" s="32"/>
      <c r="R1585" s="32"/>
      <c r="S1585" s="32"/>
      <c r="T1585" s="32"/>
      <c r="U1585" s="32"/>
      <c r="V1585" s="32"/>
      <c r="W1585" s="32"/>
      <c r="X1585" s="32"/>
      <c r="Y1585" s="32"/>
      <c r="Z1585" s="32"/>
      <c r="AA1585" s="32"/>
      <c r="AB1585" s="32"/>
    </row>
    <row r="1586" spans="1:28" ht="13" x14ac:dyDescent="0.15">
      <c r="A1586" s="32"/>
      <c r="B1586" s="32"/>
      <c r="C1586" s="32"/>
      <c r="D1586" s="32"/>
      <c r="E1586" s="32"/>
      <c r="F1586" s="32"/>
      <c r="G1586" s="32"/>
      <c r="H1586" s="32"/>
      <c r="I1586" s="32"/>
      <c r="J1586" s="32"/>
      <c r="K1586" s="32"/>
      <c r="L1586" s="32"/>
      <c r="M1586" s="23"/>
      <c r="N1586" s="32"/>
      <c r="O1586" s="32"/>
      <c r="P1586" s="32"/>
      <c r="Q1586" s="32"/>
      <c r="R1586" s="32"/>
      <c r="S1586" s="32"/>
      <c r="T1586" s="32"/>
      <c r="U1586" s="32"/>
      <c r="V1586" s="32"/>
      <c r="W1586" s="32"/>
      <c r="X1586" s="32"/>
      <c r="Y1586" s="32"/>
      <c r="Z1586" s="32"/>
      <c r="AA1586" s="32"/>
      <c r="AB1586" s="32"/>
    </row>
    <row r="1587" spans="1:28" ht="13" x14ac:dyDescent="0.15">
      <c r="A1587" s="32"/>
      <c r="B1587" s="32"/>
      <c r="C1587" s="32"/>
      <c r="D1587" s="32"/>
      <c r="E1587" s="32"/>
      <c r="F1587" s="32"/>
      <c r="G1587" s="32"/>
      <c r="H1587" s="32"/>
      <c r="I1587" s="32"/>
      <c r="J1587" s="32"/>
      <c r="K1587" s="32"/>
      <c r="L1587" s="32"/>
      <c r="M1587" s="23"/>
      <c r="N1587" s="32"/>
      <c r="O1587" s="32"/>
      <c r="P1587" s="32"/>
      <c r="Q1587" s="32"/>
      <c r="R1587" s="32"/>
      <c r="S1587" s="32"/>
      <c r="T1587" s="32"/>
      <c r="U1587" s="32"/>
      <c r="V1587" s="32"/>
      <c r="W1587" s="32"/>
      <c r="X1587" s="32"/>
      <c r="Y1587" s="32"/>
      <c r="Z1587" s="32"/>
      <c r="AA1587" s="32"/>
      <c r="AB1587" s="32"/>
    </row>
    <row r="1588" spans="1:28" ht="13" x14ac:dyDescent="0.15">
      <c r="A1588" s="32"/>
      <c r="B1588" s="32"/>
      <c r="C1588" s="32"/>
      <c r="D1588" s="32"/>
      <c r="E1588" s="32"/>
      <c r="F1588" s="32"/>
      <c r="G1588" s="32"/>
      <c r="H1588" s="32"/>
      <c r="I1588" s="32"/>
      <c r="J1588" s="32"/>
      <c r="K1588" s="32"/>
      <c r="L1588" s="32"/>
      <c r="M1588" s="23"/>
      <c r="N1588" s="32"/>
      <c r="O1588" s="32"/>
      <c r="P1588" s="32"/>
      <c r="Q1588" s="32"/>
      <c r="R1588" s="32"/>
      <c r="S1588" s="32"/>
      <c r="T1588" s="32"/>
      <c r="U1588" s="32"/>
      <c r="V1588" s="32"/>
      <c r="W1588" s="32"/>
      <c r="X1588" s="32"/>
      <c r="Y1588" s="32"/>
      <c r="Z1588" s="32"/>
      <c r="AA1588" s="32"/>
      <c r="AB1588" s="32"/>
    </row>
    <row r="1589" spans="1:28" ht="13" x14ac:dyDescent="0.15">
      <c r="A1589" s="32"/>
      <c r="B1589" s="32"/>
      <c r="C1589" s="32"/>
      <c r="D1589" s="32"/>
      <c r="E1589" s="32"/>
      <c r="F1589" s="32"/>
      <c r="G1589" s="32"/>
      <c r="H1589" s="32"/>
      <c r="I1589" s="32"/>
      <c r="J1589" s="32"/>
      <c r="K1589" s="32"/>
      <c r="L1589" s="32"/>
      <c r="M1589" s="23"/>
      <c r="N1589" s="32"/>
      <c r="O1589" s="32"/>
      <c r="P1589" s="32"/>
      <c r="Q1589" s="32"/>
      <c r="R1589" s="32"/>
      <c r="S1589" s="32"/>
      <c r="T1589" s="32"/>
      <c r="U1589" s="32"/>
      <c r="V1589" s="32"/>
      <c r="W1589" s="32"/>
      <c r="X1589" s="32"/>
      <c r="Y1589" s="32"/>
      <c r="Z1589" s="32"/>
      <c r="AA1589" s="32"/>
      <c r="AB1589" s="32"/>
    </row>
    <row r="1590" spans="1:28" ht="13" x14ac:dyDescent="0.15">
      <c r="A1590" s="32"/>
      <c r="B1590" s="32"/>
      <c r="C1590" s="32"/>
      <c r="D1590" s="32"/>
      <c r="E1590" s="32"/>
      <c r="F1590" s="32"/>
      <c r="G1590" s="32"/>
      <c r="H1590" s="32"/>
      <c r="I1590" s="32"/>
      <c r="J1590" s="32"/>
      <c r="K1590" s="32"/>
      <c r="L1590" s="32"/>
      <c r="M1590" s="23"/>
      <c r="N1590" s="32"/>
      <c r="O1590" s="32"/>
      <c r="P1590" s="32"/>
      <c r="Q1590" s="32"/>
      <c r="R1590" s="32"/>
      <c r="S1590" s="32"/>
      <c r="T1590" s="32"/>
      <c r="U1590" s="32"/>
      <c r="V1590" s="32"/>
      <c r="W1590" s="32"/>
      <c r="X1590" s="32"/>
      <c r="Y1590" s="32"/>
      <c r="Z1590" s="32"/>
      <c r="AA1590" s="32"/>
      <c r="AB1590" s="32"/>
    </row>
    <row r="1591" spans="1:28" ht="13" x14ac:dyDescent="0.15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23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</row>
    <row r="1592" spans="1:28" ht="13" x14ac:dyDescent="0.15">
      <c r="A1592" s="32"/>
      <c r="B1592" s="32"/>
      <c r="C1592" s="32"/>
      <c r="D1592" s="32"/>
      <c r="E1592" s="32"/>
      <c r="F1592" s="32"/>
      <c r="G1592" s="32"/>
      <c r="H1592" s="32"/>
      <c r="I1592" s="32"/>
      <c r="J1592" s="32"/>
      <c r="K1592" s="32"/>
      <c r="L1592" s="32"/>
      <c r="M1592" s="23"/>
      <c r="N1592" s="32"/>
      <c r="O1592" s="32"/>
      <c r="P1592" s="32"/>
      <c r="Q1592" s="32"/>
      <c r="R1592" s="32"/>
      <c r="S1592" s="32"/>
      <c r="T1592" s="32"/>
      <c r="U1592" s="32"/>
      <c r="V1592" s="32"/>
      <c r="W1592" s="32"/>
      <c r="X1592" s="32"/>
      <c r="Y1592" s="32"/>
      <c r="Z1592" s="32"/>
      <c r="AA1592" s="32"/>
      <c r="AB1592" s="32"/>
    </row>
    <row r="1593" spans="1:28" ht="13" x14ac:dyDescent="0.15">
      <c r="A1593" s="32"/>
      <c r="B1593" s="32"/>
      <c r="C1593" s="32"/>
      <c r="D1593" s="32"/>
      <c r="E1593" s="32"/>
      <c r="F1593" s="32"/>
      <c r="G1593" s="32"/>
      <c r="H1593" s="32"/>
      <c r="I1593" s="32"/>
      <c r="J1593" s="32"/>
      <c r="K1593" s="32"/>
      <c r="L1593" s="32"/>
      <c r="M1593" s="23"/>
      <c r="N1593" s="32"/>
      <c r="O1593" s="32"/>
      <c r="P1593" s="32"/>
      <c r="Q1593" s="32"/>
      <c r="R1593" s="32"/>
      <c r="S1593" s="32"/>
      <c r="T1593" s="32"/>
      <c r="U1593" s="32"/>
      <c r="V1593" s="32"/>
      <c r="W1593" s="32"/>
      <c r="X1593" s="32"/>
      <c r="Y1593" s="32"/>
      <c r="Z1593" s="32"/>
      <c r="AA1593" s="32"/>
      <c r="AB1593" s="32"/>
    </row>
    <row r="1594" spans="1:28" ht="13" x14ac:dyDescent="0.15">
      <c r="A1594" s="32"/>
      <c r="B1594" s="32"/>
      <c r="C1594" s="32"/>
      <c r="D1594" s="32"/>
      <c r="E1594" s="32"/>
      <c r="F1594" s="32"/>
      <c r="G1594" s="32"/>
      <c r="H1594" s="32"/>
      <c r="I1594" s="32"/>
      <c r="J1594" s="32"/>
      <c r="K1594" s="32"/>
      <c r="L1594" s="32"/>
      <c r="M1594" s="23"/>
      <c r="N1594" s="32"/>
      <c r="O1594" s="32"/>
      <c r="P1594" s="32"/>
      <c r="Q1594" s="32"/>
      <c r="R1594" s="32"/>
      <c r="S1594" s="32"/>
      <c r="T1594" s="32"/>
      <c r="U1594" s="32"/>
      <c r="V1594" s="32"/>
      <c r="W1594" s="32"/>
      <c r="X1594" s="32"/>
      <c r="Y1594" s="32"/>
      <c r="Z1594" s="32"/>
      <c r="AA1594" s="32"/>
      <c r="AB1594" s="32"/>
    </row>
    <row r="1595" spans="1:28" ht="13" x14ac:dyDescent="0.15">
      <c r="A1595" s="32"/>
      <c r="B1595" s="32"/>
      <c r="C1595" s="32"/>
      <c r="D1595" s="32"/>
      <c r="E1595" s="32"/>
      <c r="F1595" s="32"/>
      <c r="G1595" s="32"/>
      <c r="H1595" s="32"/>
      <c r="I1595" s="32"/>
      <c r="J1595" s="32"/>
      <c r="K1595" s="32"/>
      <c r="L1595" s="32"/>
      <c r="M1595" s="23"/>
      <c r="N1595" s="32"/>
      <c r="O1595" s="32"/>
      <c r="P1595" s="32"/>
      <c r="Q1595" s="32"/>
      <c r="R1595" s="32"/>
      <c r="S1595" s="32"/>
      <c r="T1595" s="32"/>
      <c r="U1595" s="32"/>
      <c r="V1595" s="32"/>
      <c r="W1595" s="32"/>
      <c r="X1595" s="32"/>
      <c r="Y1595" s="32"/>
      <c r="Z1595" s="32"/>
      <c r="AA1595" s="32"/>
      <c r="AB1595" s="32"/>
    </row>
    <row r="1596" spans="1:28" ht="13" x14ac:dyDescent="0.15">
      <c r="A1596" s="32"/>
      <c r="B1596" s="32"/>
      <c r="C1596" s="32"/>
      <c r="D1596" s="32"/>
      <c r="E1596" s="32"/>
      <c r="F1596" s="32"/>
      <c r="G1596" s="32"/>
      <c r="H1596" s="32"/>
      <c r="I1596" s="32"/>
      <c r="J1596" s="32"/>
      <c r="K1596" s="32"/>
      <c r="L1596" s="32"/>
      <c r="M1596" s="23"/>
      <c r="N1596" s="32"/>
      <c r="O1596" s="32"/>
      <c r="P1596" s="32"/>
      <c r="Q1596" s="32"/>
      <c r="R1596" s="32"/>
      <c r="S1596" s="32"/>
      <c r="T1596" s="32"/>
      <c r="U1596" s="32"/>
      <c r="V1596" s="32"/>
      <c r="W1596" s="32"/>
      <c r="X1596" s="32"/>
      <c r="Y1596" s="32"/>
      <c r="Z1596" s="32"/>
      <c r="AA1596" s="32"/>
      <c r="AB1596" s="32"/>
    </row>
    <row r="1597" spans="1:28" ht="13" x14ac:dyDescent="0.15">
      <c r="A1597" s="32"/>
      <c r="B1597" s="32"/>
      <c r="C1597" s="32"/>
      <c r="D1597" s="32"/>
      <c r="E1597" s="32"/>
      <c r="F1597" s="32"/>
      <c r="G1597" s="32"/>
      <c r="H1597" s="32"/>
      <c r="I1597" s="32"/>
      <c r="J1597" s="32"/>
      <c r="K1597" s="32"/>
      <c r="L1597" s="32"/>
      <c r="M1597" s="23"/>
      <c r="N1597" s="32"/>
      <c r="O1597" s="32"/>
      <c r="P1597" s="32"/>
      <c r="Q1597" s="32"/>
      <c r="R1597" s="32"/>
      <c r="S1597" s="32"/>
      <c r="T1597" s="32"/>
      <c r="U1597" s="32"/>
      <c r="V1597" s="32"/>
      <c r="W1597" s="32"/>
      <c r="X1597" s="32"/>
      <c r="Y1597" s="32"/>
      <c r="Z1597" s="32"/>
      <c r="AA1597" s="32"/>
      <c r="AB1597" s="32"/>
    </row>
    <row r="1598" spans="1:28" ht="13" x14ac:dyDescent="0.15">
      <c r="A1598" s="32"/>
      <c r="B1598" s="32"/>
      <c r="C1598" s="32"/>
      <c r="D1598" s="32"/>
      <c r="E1598" s="32"/>
      <c r="F1598" s="32"/>
      <c r="G1598" s="32"/>
      <c r="H1598" s="32"/>
      <c r="I1598" s="32"/>
      <c r="J1598" s="32"/>
      <c r="K1598" s="32"/>
      <c r="L1598" s="32"/>
      <c r="M1598" s="23"/>
      <c r="N1598" s="32"/>
      <c r="O1598" s="32"/>
      <c r="P1598" s="32"/>
      <c r="Q1598" s="32"/>
      <c r="R1598" s="32"/>
      <c r="S1598" s="32"/>
      <c r="T1598" s="32"/>
      <c r="U1598" s="32"/>
      <c r="V1598" s="32"/>
      <c r="W1598" s="32"/>
      <c r="X1598" s="32"/>
      <c r="Y1598" s="32"/>
      <c r="Z1598" s="32"/>
      <c r="AA1598" s="32"/>
      <c r="AB1598" s="32"/>
    </row>
    <row r="1599" spans="1:28" ht="13" x14ac:dyDescent="0.15">
      <c r="A1599" s="32"/>
      <c r="B1599" s="32"/>
      <c r="C1599" s="32"/>
      <c r="D1599" s="32"/>
      <c r="E1599" s="32"/>
      <c r="F1599" s="32"/>
      <c r="G1599" s="32"/>
      <c r="H1599" s="32"/>
      <c r="I1599" s="32"/>
      <c r="J1599" s="32"/>
      <c r="K1599" s="32"/>
      <c r="L1599" s="32"/>
      <c r="M1599" s="23"/>
      <c r="N1599" s="32"/>
      <c r="O1599" s="32"/>
      <c r="P1599" s="32"/>
      <c r="Q1599" s="32"/>
      <c r="R1599" s="32"/>
      <c r="S1599" s="32"/>
      <c r="T1599" s="32"/>
      <c r="U1599" s="32"/>
      <c r="V1599" s="32"/>
      <c r="W1599" s="32"/>
      <c r="X1599" s="32"/>
      <c r="Y1599" s="32"/>
      <c r="Z1599" s="32"/>
      <c r="AA1599" s="32"/>
      <c r="AB1599" s="32"/>
    </row>
    <row r="1600" spans="1:28" ht="13" x14ac:dyDescent="0.15">
      <c r="A1600" s="32"/>
      <c r="B1600" s="32"/>
      <c r="C1600" s="32"/>
      <c r="D1600" s="32"/>
      <c r="E1600" s="32"/>
      <c r="F1600" s="32"/>
      <c r="G1600" s="32"/>
      <c r="H1600" s="32"/>
      <c r="I1600" s="32"/>
      <c r="J1600" s="32"/>
      <c r="K1600" s="32"/>
      <c r="L1600" s="32"/>
      <c r="M1600" s="23"/>
      <c r="N1600" s="32"/>
      <c r="O1600" s="32"/>
      <c r="P1600" s="32"/>
      <c r="Q1600" s="32"/>
      <c r="R1600" s="32"/>
      <c r="S1600" s="32"/>
      <c r="T1600" s="32"/>
      <c r="U1600" s="32"/>
      <c r="V1600" s="32"/>
      <c r="W1600" s="32"/>
      <c r="X1600" s="32"/>
      <c r="Y1600" s="32"/>
      <c r="Z1600" s="32"/>
      <c r="AA1600" s="32"/>
      <c r="AB1600" s="32"/>
    </row>
    <row r="1601" spans="1:28" ht="13" x14ac:dyDescent="0.15">
      <c r="A1601" s="32"/>
      <c r="B1601" s="32"/>
      <c r="C1601" s="32"/>
      <c r="D1601" s="32"/>
      <c r="E1601" s="32"/>
      <c r="F1601" s="32"/>
      <c r="G1601" s="32"/>
      <c r="H1601" s="32"/>
      <c r="I1601" s="32"/>
      <c r="J1601" s="32"/>
      <c r="K1601" s="32"/>
      <c r="L1601" s="32"/>
      <c r="M1601" s="23"/>
      <c r="N1601" s="32"/>
      <c r="O1601" s="32"/>
      <c r="P1601" s="32"/>
      <c r="Q1601" s="32"/>
      <c r="R1601" s="32"/>
      <c r="S1601" s="32"/>
      <c r="T1601" s="32"/>
      <c r="U1601" s="32"/>
      <c r="V1601" s="32"/>
      <c r="W1601" s="32"/>
      <c r="X1601" s="32"/>
      <c r="Y1601" s="32"/>
      <c r="Z1601" s="32"/>
      <c r="AA1601" s="32"/>
      <c r="AB1601" s="32"/>
    </row>
    <row r="1602" spans="1:28" ht="13" x14ac:dyDescent="0.15">
      <c r="A1602" s="32"/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23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</row>
    <row r="1603" spans="1:28" ht="13" x14ac:dyDescent="0.15">
      <c r="A1603" s="32"/>
      <c r="B1603" s="32"/>
      <c r="C1603" s="32"/>
      <c r="D1603" s="32"/>
      <c r="E1603" s="32"/>
      <c r="F1603" s="32"/>
      <c r="G1603" s="32"/>
      <c r="H1603" s="32"/>
      <c r="I1603" s="32"/>
      <c r="J1603" s="32"/>
      <c r="K1603" s="32"/>
      <c r="L1603" s="32"/>
      <c r="M1603" s="23"/>
      <c r="N1603" s="32"/>
      <c r="O1603" s="32"/>
      <c r="P1603" s="32"/>
      <c r="Q1603" s="32"/>
      <c r="R1603" s="32"/>
      <c r="S1603" s="32"/>
      <c r="T1603" s="32"/>
      <c r="U1603" s="32"/>
      <c r="V1603" s="32"/>
      <c r="W1603" s="32"/>
      <c r="X1603" s="32"/>
      <c r="Y1603" s="32"/>
      <c r="Z1603" s="32"/>
      <c r="AA1603" s="32"/>
      <c r="AB1603" s="32"/>
    </row>
    <row r="1604" spans="1:28" ht="13" x14ac:dyDescent="0.15">
      <c r="A1604" s="32"/>
      <c r="B1604" s="32"/>
      <c r="C1604" s="32"/>
      <c r="D1604" s="32"/>
      <c r="E1604" s="32"/>
      <c r="F1604" s="32"/>
      <c r="G1604" s="32"/>
      <c r="H1604" s="32"/>
      <c r="I1604" s="32"/>
      <c r="J1604" s="32"/>
      <c r="K1604" s="32"/>
      <c r="L1604" s="32"/>
      <c r="M1604" s="23"/>
      <c r="N1604" s="32"/>
      <c r="O1604" s="32"/>
      <c r="P1604" s="32"/>
      <c r="Q1604" s="32"/>
      <c r="R1604" s="32"/>
      <c r="S1604" s="32"/>
      <c r="T1604" s="32"/>
      <c r="U1604" s="32"/>
      <c r="V1604" s="32"/>
      <c r="W1604" s="32"/>
      <c r="X1604" s="32"/>
      <c r="Y1604" s="32"/>
      <c r="Z1604" s="32"/>
      <c r="AA1604" s="32"/>
      <c r="AB1604" s="32"/>
    </row>
    <row r="1605" spans="1:28" ht="13" x14ac:dyDescent="0.15">
      <c r="A1605" s="32"/>
      <c r="B1605" s="32"/>
      <c r="C1605" s="32"/>
      <c r="D1605" s="32"/>
      <c r="E1605" s="32"/>
      <c r="F1605" s="32"/>
      <c r="G1605" s="32"/>
      <c r="H1605" s="32"/>
      <c r="I1605" s="32"/>
      <c r="J1605" s="32"/>
      <c r="K1605" s="32"/>
      <c r="L1605" s="32"/>
      <c r="M1605" s="23"/>
      <c r="N1605" s="32"/>
      <c r="O1605" s="32"/>
      <c r="P1605" s="32"/>
      <c r="Q1605" s="32"/>
      <c r="R1605" s="32"/>
      <c r="S1605" s="32"/>
      <c r="T1605" s="32"/>
      <c r="U1605" s="32"/>
      <c r="V1605" s="32"/>
      <c r="W1605" s="32"/>
      <c r="X1605" s="32"/>
      <c r="Y1605" s="32"/>
      <c r="Z1605" s="32"/>
      <c r="AA1605" s="32"/>
      <c r="AB1605" s="32"/>
    </row>
    <row r="1606" spans="1:28" ht="13" x14ac:dyDescent="0.15">
      <c r="A1606" s="32"/>
      <c r="B1606" s="32"/>
      <c r="C1606" s="32"/>
      <c r="D1606" s="32"/>
      <c r="E1606" s="32"/>
      <c r="F1606" s="32"/>
      <c r="G1606" s="32"/>
      <c r="H1606" s="32"/>
      <c r="I1606" s="32"/>
      <c r="J1606" s="32"/>
      <c r="K1606" s="32"/>
      <c r="L1606" s="32"/>
      <c r="M1606" s="23"/>
      <c r="N1606" s="32"/>
      <c r="O1606" s="32"/>
      <c r="P1606" s="32"/>
      <c r="Q1606" s="32"/>
      <c r="R1606" s="32"/>
      <c r="S1606" s="32"/>
      <c r="T1606" s="32"/>
      <c r="U1606" s="32"/>
      <c r="V1606" s="32"/>
      <c r="W1606" s="32"/>
      <c r="X1606" s="32"/>
      <c r="Y1606" s="32"/>
      <c r="Z1606" s="32"/>
      <c r="AA1606" s="32"/>
      <c r="AB1606" s="32"/>
    </row>
    <row r="1607" spans="1:28" ht="13" x14ac:dyDescent="0.15">
      <c r="A1607" s="32"/>
      <c r="B1607" s="32"/>
      <c r="C1607" s="32"/>
      <c r="D1607" s="32"/>
      <c r="E1607" s="32"/>
      <c r="F1607" s="32"/>
      <c r="G1607" s="32"/>
      <c r="H1607" s="32"/>
      <c r="I1607" s="32"/>
      <c r="J1607" s="32"/>
      <c r="K1607" s="32"/>
      <c r="L1607" s="32"/>
      <c r="M1607" s="23"/>
      <c r="N1607" s="32"/>
      <c r="O1607" s="32"/>
      <c r="P1607" s="32"/>
      <c r="Q1607" s="32"/>
      <c r="R1607" s="32"/>
      <c r="S1607" s="32"/>
      <c r="T1607" s="32"/>
      <c r="U1607" s="32"/>
      <c r="V1607" s="32"/>
      <c r="W1607" s="32"/>
      <c r="X1607" s="32"/>
      <c r="Y1607" s="32"/>
      <c r="Z1607" s="32"/>
      <c r="AA1607" s="32"/>
      <c r="AB1607" s="32"/>
    </row>
    <row r="1608" spans="1:28" ht="13" x14ac:dyDescent="0.15">
      <c r="A1608" s="32"/>
      <c r="B1608" s="32"/>
      <c r="C1608" s="32"/>
      <c r="D1608" s="32"/>
      <c r="E1608" s="32"/>
      <c r="F1608" s="32"/>
      <c r="G1608" s="32"/>
      <c r="H1608" s="32"/>
      <c r="I1608" s="32"/>
      <c r="J1608" s="32"/>
      <c r="K1608" s="32"/>
      <c r="L1608" s="32"/>
      <c r="M1608" s="23"/>
      <c r="N1608" s="32"/>
      <c r="O1608" s="32"/>
      <c r="P1608" s="32"/>
      <c r="Q1608" s="32"/>
      <c r="R1608" s="32"/>
      <c r="S1608" s="32"/>
      <c r="T1608" s="32"/>
      <c r="U1608" s="32"/>
      <c r="V1608" s="32"/>
      <c r="W1608" s="32"/>
      <c r="X1608" s="32"/>
      <c r="Y1608" s="32"/>
      <c r="Z1608" s="32"/>
      <c r="AA1608" s="32"/>
      <c r="AB1608" s="32"/>
    </row>
    <row r="1609" spans="1:28" ht="13" x14ac:dyDescent="0.15">
      <c r="A1609" s="32"/>
      <c r="B1609" s="32"/>
      <c r="C1609" s="32"/>
      <c r="D1609" s="32"/>
      <c r="E1609" s="32"/>
      <c r="F1609" s="32"/>
      <c r="G1609" s="32"/>
      <c r="H1609" s="32"/>
      <c r="I1609" s="32"/>
      <c r="J1609" s="32"/>
      <c r="K1609" s="32"/>
      <c r="L1609" s="32"/>
      <c r="M1609" s="23"/>
      <c r="N1609" s="32"/>
      <c r="O1609" s="32"/>
      <c r="P1609" s="32"/>
      <c r="Q1609" s="32"/>
      <c r="R1609" s="32"/>
      <c r="S1609" s="32"/>
      <c r="T1609" s="32"/>
      <c r="U1609" s="32"/>
      <c r="V1609" s="32"/>
      <c r="W1609" s="32"/>
      <c r="X1609" s="32"/>
      <c r="Y1609" s="32"/>
      <c r="Z1609" s="32"/>
      <c r="AA1609" s="32"/>
      <c r="AB1609" s="32"/>
    </row>
    <row r="1610" spans="1:28" ht="13" x14ac:dyDescent="0.15">
      <c r="A1610" s="32"/>
      <c r="B1610" s="32"/>
      <c r="C1610" s="32"/>
      <c r="D1610" s="32"/>
      <c r="E1610" s="32"/>
      <c r="F1610" s="32"/>
      <c r="G1610" s="32"/>
      <c r="H1610" s="32"/>
      <c r="I1610" s="32"/>
      <c r="J1610" s="32"/>
      <c r="K1610" s="32"/>
      <c r="L1610" s="32"/>
      <c r="M1610" s="23"/>
      <c r="N1610" s="32"/>
      <c r="O1610" s="32"/>
      <c r="P1610" s="32"/>
      <c r="Q1610" s="32"/>
      <c r="R1610" s="32"/>
      <c r="S1610" s="32"/>
      <c r="T1610" s="32"/>
      <c r="U1610" s="32"/>
      <c r="V1610" s="32"/>
      <c r="W1610" s="32"/>
      <c r="X1610" s="32"/>
      <c r="Y1610" s="32"/>
      <c r="Z1610" s="32"/>
      <c r="AA1610" s="32"/>
      <c r="AB1610" s="32"/>
    </row>
    <row r="1611" spans="1:28" ht="13" x14ac:dyDescent="0.15">
      <c r="A1611" s="32"/>
      <c r="B1611" s="32"/>
      <c r="C1611" s="32"/>
      <c r="D1611" s="32"/>
      <c r="E1611" s="32"/>
      <c r="F1611" s="32"/>
      <c r="G1611" s="32"/>
      <c r="H1611" s="32"/>
      <c r="I1611" s="32"/>
      <c r="J1611" s="32"/>
      <c r="K1611" s="32"/>
      <c r="L1611" s="32"/>
      <c r="M1611" s="23"/>
      <c r="N1611" s="32"/>
      <c r="O1611" s="32"/>
      <c r="P1611" s="32"/>
      <c r="Q1611" s="32"/>
      <c r="R1611" s="32"/>
      <c r="S1611" s="32"/>
      <c r="T1611" s="32"/>
      <c r="U1611" s="32"/>
      <c r="V1611" s="32"/>
      <c r="W1611" s="32"/>
      <c r="X1611" s="32"/>
      <c r="Y1611" s="32"/>
      <c r="Z1611" s="32"/>
      <c r="AA1611" s="32"/>
      <c r="AB1611" s="32"/>
    </row>
    <row r="1612" spans="1:28" ht="13" x14ac:dyDescent="0.15">
      <c r="A1612" s="32"/>
      <c r="B1612" s="32"/>
      <c r="C1612" s="32"/>
      <c r="D1612" s="32"/>
      <c r="E1612" s="32"/>
      <c r="F1612" s="32"/>
      <c r="G1612" s="32"/>
      <c r="H1612" s="32"/>
      <c r="I1612" s="32"/>
      <c r="J1612" s="32"/>
      <c r="K1612" s="32"/>
      <c r="L1612" s="32"/>
      <c r="M1612" s="23"/>
      <c r="N1612" s="32"/>
      <c r="O1612" s="32"/>
      <c r="P1612" s="32"/>
      <c r="Q1612" s="32"/>
      <c r="R1612" s="32"/>
      <c r="S1612" s="32"/>
      <c r="T1612" s="32"/>
      <c r="U1612" s="32"/>
      <c r="V1612" s="32"/>
      <c r="W1612" s="32"/>
      <c r="X1612" s="32"/>
      <c r="Y1612" s="32"/>
      <c r="Z1612" s="32"/>
      <c r="AA1612" s="32"/>
      <c r="AB1612" s="32"/>
    </row>
    <row r="1613" spans="1:28" ht="13" x14ac:dyDescent="0.15">
      <c r="A1613" s="32"/>
      <c r="B1613" s="32"/>
      <c r="C1613" s="32"/>
      <c r="D1613" s="32"/>
      <c r="E1613" s="32"/>
      <c r="F1613" s="32"/>
      <c r="G1613" s="32"/>
      <c r="H1613" s="32"/>
      <c r="I1613" s="32"/>
      <c r="J1613" s="32"/>
      <c r="K1613" s="32"/>
      <c r="L1613" s="32"/>
      <c r="M1613" s="23"/>
      <c r="N1613" s="32"/>
      <c r="O1613" s="32"/>
      <c r="P1613" s="32"/>
      <c r="Q1613" s="32"/>
      <c r="R1613" s="32"/>
      <c r="S1613" s="32"/>
      <c r="T1613" s="32"/>
      <c r="U1613" s="32"/>
      <c r="V1613" s="32"/>
      <c r="W1613" s="32"/>
      <c r="X1613" s="32"/>
      <c r="Y1613" s="32"/>
      <c r="Z1613" s="32"/>
      <c r="AA1613" s="32"/>
      <c r="AB1613" s="32"/>
    </row>
    <row r="1614" spans="1:28" ht="13" x14ac:dyDescent="0.15">
      <c r="A1614" s="32"/>
      <c r="B1614" s="32"/>
      <c r="C1614" s="32"/>
      <c r="D1614" s="32"/>
      <c r="E1614" s="32"/>
      <c r="F1614" s="32"/>
      <c r="G1614" s="32"/>
      <c r="H1614" s="32"/>
      <c r="I1614" s="32"/>
      <c r="J1614" s="32"/>
      <c r="K1614" s="32"/>
      <c r="L1614" s="32"/>
      <c r="M1614" s="23"/>
      <c r="N1614" s="32"/>
      <c r="O1614" s="32"/>
      <c r="P1614" s="32"/>
      <c r="Q1614" s="32"/>
      <c r="R1614" s="32"/>
      <c r="S1614" s="32"/>
      <c r="T1614" s="32"/>
      <c r="U1614" s="32"/>
      <c r="V1614" s="32"/>
      <c r="W1614" s="32"/>
      <c r="X1614" s="32"/>
      <c r="Y1614" s="32"/>
      <c r="Z1614" s="32"/>
      <c r="AA1614" s="32"/>
      <c r="AB1614" s="32"/>
    </row>
    <row r="1615" spans="1:28" ht="13" x14ac:dyDescent="0.15">
      <c r="A1615" s="32"/>
      <c r="B1615" s="32"/>
      <c r="C1615" s="32"/>
      <c r="D1615" s="32"/>
      <c r="E1615" s="32"/>
      <c r="F1615" s="32"/>
      <c r="G1615" s="32"/>
      <c r="H1615" s="32"/>
      <c r="I1615" s="32"/>
      <c r="J1615" s="32"/>
      <c r="K1615" s="32"/>
      <c r="L1615" s="32"/>
      <c r="M1615" s="23"/>
      <c r="N1615" s="32"/>
      <c r="O1615" s="32"/>
      <c r="P1615" s="32"/>
      <c r="Q1615" s="32"/>
      <c r="R1615" s="32"/>
      <c r="S1615" s="32"/>
      <c r="T1615" s="32"/>
      <c r="U1615" s="32"/>
      <c r="V1615" s="32"/>
      <c r="W1615" s="32"/>
      <c r="X1615" s="32"/>
      <c r="Y1615" s="32"/>
      <c r="Z1615" s="32"/>
      <c r="AA1615" s="32"/>
      <c r="AB1615" s="32"/>
    </row>
    <row r="1616" spans="1:28" ht="13" x14ac:dyDescent="0.15">
      <c r="A1616" s="32"/>
      <c r="B1616" s="32"/>
      <c r="C1616" s="32"/>
      <c r="D1616" s="32"/>
      <c r="E1616" s="32"/>
      <c r="F1616" s="32"/>
      <c r="G1616" s="32"/>
      <c r="H1616" s="32"/>
      <c r="I1616" s="32"/>
      <c r="J1616" s="32"/>
      <c r="K1616" s="32"/>
      <c r="L1616" s="32"/>
      <c r="M1616" s="23"/>
      <c r="N1616" s="32"/>
      <c r="O1616" s="32"/>
      <c r="P1616" s="32"/>
      <c r="Q1616" s="32"/>
      <c r="R1616" s="32"/>
      <c r="S1616" s="32"/>
      <c r="T1616" s="32"/>
      <c r="U1616" s="32"/>
      <c r="V1616" s="32"/>
      <c r="W1616" s="32"/>
      <c r="X1616" s="32"/>
      <c r="Y1616" s="32"/>
      <c r="Z1616" s="32"/>
      <c r="AA1616" s="32"/>
      <c r="AB1616" s="32"/>
    </row>
    <row r="1617" spans="1:28" ht="13" x14ac:dyDescent="0.15">
      <c r="A1617" s="32"/>
      <c r="B1617" s="32"/>
      <c r="C1617" s="32"/>
      <c r="D1617" s="32"/>
      <c r="E1617" s="32"/>
      <c r="F1617" s="32"/>
      <c r="G1617" s="32"/>
      <c r="H1617" s="32"/>
      <c r="I1617" s="32"/>
      <c r="J1617" s="32"/>
      <c r="K1617" s="32"/>
      <c r="L1617" s="32"/>
      <c r="M1617" s="23"/>
      <c r="N1617" s="32"/>
      <c r="O1617" s="32"/>
      <c r="P1617" s="32"/>
      <c r="Q1617" s="32"/>
      <c r="R1617" s="32"/>
      <c r="S1617" s="32"/>
      <c r="T1617" s="32"/>
      <c r="U1617" s="32"/>
      <c r="V1617" s="32"/>
      <c r="W1617" s="32"/>
      <c r="X1617" s="32"/>
      <c r="Y1617" s="32"/>
      <c r="Z1617" s="32"/>
      <c r="AA1617" s="32"/>
      <c r="AB1617" s="32"/>
    </row>
    <row r="1618" spans="1:28" ht="13" x14ac:dyDescent="0.15">
      <c r="A1618" s="32"/>
      <c r="B1618" s="32"/>
      <c r="C1618" s="32"/>
      <c r="D1618" s="32"/>
      <c r="E1618" s="32"/>
      <c r="F1618" s="32"/>
      <c r="G1618" s="32"/>
      <c r="H1618" s="32"/>
      <c r="I1618" s="32"/>
      <c r="J1618" s="32"/>
      <c r="K1618" s="32"/>
      <c r="L1618" s="32"/>
      <c r="M1618" s="23"/>
      <c r="N1618" s="32"/>
      <c r="O1618" s="32"/>
      <c r="P1618" s="32"/>
      <c r="Q1618" s="32"/>
      <c r="R1618" s="32"/>
      <c r="S1618" s="32"/>
      <c r="T1618" s="32"/>
      <c r="U1618" s="32"/>
      <c r="V1618" s="32"/>
      <c r="W1618" s="32"/>
      <c r="X1618" s="32"/>
      <c r="Y1618" s="32"/>
      <c r="Z1618" s="32"/>
      <c r="AA1618" s="32"/>
      <c r="AB1618" s="32"/>
    </row>
    <row r="1619" spans="1:28" ht="13" x14ac:dyDescent="0.15">
      <c r="A1619" s="32"/>
      <c r="B1619" s="32"/>
      <c r="C1619" s="32"/>
      <c r="D1619" s="32"/>
      <c r="E1619" s="32"/>
      <c r="F1619" s="32"/>
      <c r="G1619" s="32"/>
      <c r="H1619" s="32"/>
      <c r="I1619" s="32"/>
      <c r="J1619" s="32"/>
      <c r="K1619" s="32"/>
      <c r="L1619" s="32"/>
      <c r="M1619" s="23"/>
      <c r="N1619" s="32"/>
      <c r="O1619" s="32"/>
      <c r="P1619" s="32"/>
      <c r="Q1619" s="32"/>
      <c r="R1619" s="32"/>
      <c r="S1619" s="32"/>
      <c r="T1619" s="32"/>
      <c r="U1619" s="32"/>
      <c r="V1619" s="32"/>
      <c r="W1619" s="32"/>
      <c r="X1619" s="32"/>
      <c r="Y1619" s="32"/>
      <c r="Z1619" s="32"/>
      <c r="AA1619" s="32"/>
      <c r="AB1619" s="32"/>
    </row>
    <row r="1620" spans="1:28" ht="13" x14ac:dyDescent="0.15">
      <c r="A1620" s="32"/>
      <c r="B1620" s="32"/>
      <c r="C1620" s="32"/>
      <c r="D1620" s="32"/>
      <c r="E1620" s="32"/>
      <c r="F1620" s="32"/>
      <c r="G1620" s="32"/>
      <c r="H1620" s="32"/>
      <c r="I1620" s="32"/>
      <c r="J1620" s="32"/>
      <c r="K1620" s="32"/>
      <c r="L1620" s="32"/>
      <c r="M1620" s="23"/>
      <c r="N1620" s="32"/>
      <c r="O1620" s="32"/>
      <c r="P1620" s="32"/>
      <c r="Q1620" s="32"/>
      <c r="R1620" s="32"/>
      <c r="S1620" s="32"/>
      <c r="T1620" s="32"/>
      <c r="U1620" s="32"/>
      <c r="V1620" s="32"/>
      <c r="W1620" s="32"/>
      <c r="X1620" s="32"/>
      <c r="Y1620" s="32"/>
      <c r="Z1620" s="32"/>
      <c r="AA1620" s="32"/>
      <c r="AB1620" s="32"/>
    </row>
    <row r="1621" spans="1:28" ht="13" x14ac:dyDescent="0.15">
      <c r="A1621" s="32"/>
      <c r="B1621" s="32"/>
      <c r="C1621" s="32"/>
      <c r="D1621" s="32"/>
      <c r="E1621" s="32"/>
      <c r="F1621" s="32"/>
      <c r="G1621" s="32"/>
      <c r="H1621" s="32"/>
      <c r="I1621" s="32"/>
      <c r="J1621" s="32"/>
      <c r="K1621" s="32"/>
      <c r="L1621" s="32"/>
      <c r="M1621" s="23"/>
      <c r="N1621" s="32"/>
      <c r="O1621" s="32"/>
      <c r="P1621" s="32"/>
      <c r="Q1621" s="32"/>
      <c r="R1621" s="32"/>
      <c r="S1621" s="32"/>
      <c r="T1621" s="32"/>
      <c r="U1621" s="32"/>
      <c r="V1621" s="32"/>
      <c r="W1621" s="32"/>
      <c r="X1621" s="32"/>
      <c r="Y1621" s="32"/>
      <c r="Z1621" s="32"/>
      <c r="AA1621" s="32"/>
      <c r="AB1621" s="32"/>
    </row>
    <row r="1622" spans="1:28" ht="13" x14ac:dyDescent="0.15">
      <c r="A1622" s="32"/>
      <c r="B1622" s="32"/>
      <c r="C1622" s="32"/>
      <c r="D1622" s="32"/>
      <c r="E1622" s="32"/>
      <c r="F1622" s="32"/>
      <c r="G1622" s="32"/>
      <c r="H1622" s="32"/>
      <c r="I1622" s="32"/>
      <c r="J1622" s="32"/>
      <c r="K1622" s="32"/>
      <c r="L1622" s="32"/>
      <c r="M1622" s="23"/>
      <c r="N1622" s="32"/>
      <c r="O1622" s="32"/>
      <c r="P1622" s="32"/>
      <c r="Q1622" s="32"/>
      <c r="R1622" s="32"/>
      <c r="S1622" s="32"/>
      <c r="T1622" s="32"/>
      <c r="U1622" s="32"/>
      <c r="V1622" s="32"/>
      <c r="W1622" s="32"/>
      <c r="X1622" s="32"/>
      <c r="Y1622" s="32"/>
      <c r="Z1622" s="32"/>
      <c r="AA1622" s="32"/>
      <c r="AB1622" s="32"/>
    </row>
    <row r="1623" spans="1:28" ht="13" x14ac:dyDescent="0.15">
      <c r="A1623" s="32"/>
      <c r="B1623" s="32"/>
      <c r="C1623" s="32"/>
      <c r="D1623" s="32"/>
      <c r="E1623" s="32"/>
      <c r="F1623" s="32"/>
      <c r="G1623" s="32"/>
      <c r="H1623" s="32"/>
      <c r="I1623" s="32"/>
      <c r="J1623" s="32"/>
      <c r="K1623" s="32"/>
      <c r="L1623" s="32"/>
      <c r="M1623" s="23"/>
      <c r="N1623" s="32"/>
      <c r="O1623" s="32"/>
      <c r="P1623" s="32"/>
      <c r="Q1623" s="32"/>
      <c r="R1623" s="32"/>
      <c r="S1623" s="32"/>
      <c r="T1623" s="32"/>
      <c r="U1623" s="32"/>
      <c r="V1623" s="32"/>
      <c r="W1623" s="32"/>
      <c r="X1623" s="32"/>
      <c r="Y1623" s="32"/>
      <c r="Z1623" s="32"/>
      <c r="AA1623" s="32"/>
      <c r="AB1623" s="32"/>
    </row>
    <row r="1624" spans="1:28" ht="13" x14ac:dyDescent="0.15">
      <c r="A1624" s="32"/>
      <c r="B1624" s="32"/>
      <c r="C1624" s="32"/>
      <c r="D1624" s="32"/>
      <c r="E1624" s="32"/>
      <c r="F1624" s="32"/>
      <c r="G1624" s="32"/>
      <c r="H1624" s="32"/>
      <c r="I1624" s="32"/>
      <c r="J1624" s="32"/>
      <c r="K1624" s="32"/>
      <c r="L1624" s="32"/>
      <c r="M1624" s="23"/>
      <c r="N1624" s="32"/>
      <c r="O1624" s="32"/>
      <c r="P1624" s="32"/>
      <c r="Q1624" s="32"/>
      <c r="R1624" s="32"/>
      <c r="S1624" s="32"/>
      <c r="T1624" s="32"/>
      <c r="U1624" s="32"/>
      <c r="V1624" s="32"/>
      <c r="W1624" s="32"/>
      <c r="X1624" s="32"/>
      <c r="Y1624" s="32"/>
      <c r="Z1624" s="32"/>
      <c r="AA1624" s="32"/>
      <c r="AB1624" s="32"/>
    </row>
    <row r="1625" spans="1:28" ht="13" x14ac:dyDescent="0.15">
      <c r="A1625" s="32"/>
      <c r="B1625" s="32"/>
      <c r="C1625" s="32"/>
      <c r="D1625" s="32"/>
      <c r="E1625" s="32"/>
      <c r="F1625" s="32"/>
      <c r="G1625" s="32"/>
      <c r="H1625" s="32"/>
      <c r="I1625" s="32"/>
      <c r="J1625" s="32"/>
      <c r="K1625" s="32"/>
      <c r="L1625" s="32"/>
      <c r="M1625" s="23"/>
      <c r="N1625" s="32"/>
      <c r="O1625" s="32"/>
      <c r="P1625" s="32"/>
      <c r="Q1625" s="32"/>
      <c r="R1625" s="32"/>
      <c r="S1625" s="32"/>
      <c r="T1625" s="32"/>
      <c r="U1625" s="32"/>
      <c r="V1625" s="32"/>
      <c r="W1625" s="32"/>
      <c r="X1625" s="32"/>
      <c r="Y1625" s="32"/>
      <c r="Z1625" s="32"/>
      <c r="AA1625" s="32"/>
      <c r="AB1625" s="32"/>
    </row>
    <row r="1626" spans="1:28" ht="13" x14ac:dyDescent="0.15">
      <c r="A1626" s="32"/>
      <c r="B1626" s="32"/>
      <c r="C1626" s="32"/>
      <c r="D1626" s="32"/>
      <c r="E1626" s="32"/>
      <c r="F1626" s="32"/>
      <c r="G1626" s="32"/>
      <c r="H1626" s="32"/>
      <c r="I1626" s="32"/>
      <c r="J1626" s="32"/>
      <c r="K1626" s="32"/>
      <c r="L1626" s="32"/>
      <c r="M1626" s="23"/>
      <c r="N1626" s="32"/>
      <c r="O1626" s="32"/>
      <c r="P1626" s="32"/>
      <c r="Q1626" s="32"/>
      <c r="R1626" s="32"/>
      <c r="S1626" s="32"/>
      <c r="T1626" s="32"/>
      <c r="U1626" s="32"/>
      <c r="V1626" s="32"/>
      <c r="W1626" s="32"/>
      <c r="X1626" s="32"/>
      <c r="Y1626" s="32"/>
      <c r="Z1626" s="32"/>
      <c r="AA1626" s="32"/>
      <c r="AB1626" s="32"/>
    </row>
    <row r="1627" spans="1:28" ht="13" x14ac:dyDescent="0.15">
      <c r="A1627" s="32"/>
      <c r="B1627" s="32"/>
      <c r="C1627" s="32"/>
      <c r="D1627" s="32"/>
      <c r="E1627" s="32"/>
      <c r="F1627" s="32"/>
      <c r="G1627" s="32"/>
      <c r="H1627" s="32"/>
      <c r="I1627" s="32"/>
      <c r="J1627" s="32"/>
      <c r="K1627" s="32"/>
      <c r="L1627" s="32"/>
      <c r="M1627" s="23"/>
      <c r="N1627" s="32"/>
      <c r="O1627" s="32"/>
      <c r="P1627" s="32"/>
      <c r="Q1627" s="32"/>
      <c r="R1627" s="32"/>
      <c r="S1627" s="32"/>
      <c r="T1627" s="32"/>
      <c r="U1627" s="32"/>
      <c r="V1627" s="32"/>
      <c r="W1627" s="32"/>
      <c r="X1627" s="32"/>
      <c r="Y1627" s="32"/>
      <c r="Z1627" s="32"/>
      <c r="AA1627" s="32"/>
      <c r="AB1627" s="32"/>
    </row>
    <row r="1628" spans="1:28" ht="13" x14ac:dyDescent="0.15">
      <c r="A1628" s="32"/>
      <c r="B1628" s="32"/>
      <c r="C1628" s="32"/>
      <c r="D1628" s="32"/>
      <c r="E1628" s="32"/>
      <c r="F1628" s="32"/>
      <c r="G1628" s="32"/>
      <c r="H1628" s="32"/>
      <c r="I1628" s="32"/>
      <c r="J1628" s="32"/>
      <c r="K1628" s="32"/>
      <c r="L1628" s="32"/>
      <c r="M1628" s="23"/>
      <c r="N1628" s="32"/>
      <c r="O1628" s="32"/>
      <c r="P1628" s="32"/>
      <c r="Q1628" s="32"/>
      <c r="R1628" s="32"/>
      <c r="S1628" s="32"/>
      <c r="T1628" s="32"/>
      <c r="U1628" s="32"/>
      <c r="V1628" s="32"/>
      <c r="W1628" s="32"/>
      <c r="X1628" s="32"/>
      <c r="Y1628" s="32"/>
      <c r="Z1628" s="32"/>
      <c r="AA1628" s="32"/>
      <c r="AB1628" s="32"/>
    </row>
    <row r="1629" spans="1:28" ht="13" x14ac:dyDescent="0.15">
      <c r="A1629" s="32"/>
      <c r="B1629" s="32"/>
      <c r="C1629" s="32"/>
      <c r="D1629" s="32"/>
      <c r="E1629" s="32"/>
      <c r="F1629" s="32"/>
      <c r="G1629" s="32"/>
      <c r="H1629" s="32"/>
      <c r="I1629" s="32"/>
      <c r="J1629" s="32"/>
      <c r="K1629" s="32"/>
      <c r="L1629" s="32"/>
      <c r="M1629" s="23"/>
      <c r="N1629" s="32"/>
      <c r="O1629" s="32"/>
      <c r="P1629" s="32"/>
      <c r="Q1629" s="32"/>
      <c r="R1629" s="32"/>
      <c r="S1629" s="32"/>
      <c r="T1629" s="32"/>
      <c r="U1629" s="32"/>
      <c r="V1629" s="32"/>
      <c r="W1629" s="32"/>
      <c r="X1629" s="32"/>
      <c r="Y1629" s="32"/>
      <c r="Z1629" s="32"/>
      <c r="AA1629" s="32"/>
      <c r="AB1629" s="32"/>
    </row>
    <row r="1630" spans="1:28" ht="13" x14ac:dyDescent="0.15">
      <c r="A1630" s="32"/>
      <c r="B1630" s="32"/>
      <c r="C1630" s="32"/>
      <c r="D1630" s="32"/>
      <c r="E1630" s="32"/>
      <c r="F1630" s="32"/>
      <c r="G1630" s="32"/>
      <c r="H1630" s="32"/>
      <c r="I1630" s="32"/>
      <c r="J1630" s="32"/>
      <c r="K1630" s="32"/>
      <c r="L1630" s="32"/>
      <c r="M1630" s="23"/>
      <c r="N1630" s="32"/>
      <c r="O1630" s="32"/>
      <c r="P1630" s="32"/>
      <c r="Q1630" s="32"/>
      <c r="R1630" s="32"/>
      <c r="S1630" s="32"/>
      <c r="T1630" s="32"/>
      <c r="U1630" s="32"/>
      <c r="V1630" s="32"/>
      <c r="W1630" s="32"/>
      <c r="X1630" s="32"/>
      <c r="Y1630" s="32"/>
      <c r="Z1630" s="32"/>
      <c r="AA1630" s="32"/>
      <c r="AB1630" s="32"/>
    </row>
    <row r="1631" spans="1:28" ht="13" x14ac:dyDescent="0.15">
      <c r="A1631" s="32"/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  <c r="M1631" s="23"/>
      <c r="N1631" s="32"/>
      <c r="O1631" s="32"/>
      <c r="P1631" s="32"/>
      <c r="Q1631" s="32"/>
      <c r="R1631" s="32"/>
      <c r="S1631" s="32"/>
      <c r="T1631" s="32"/>
      <c r="U1631" s="32"/>
      <c r="V1631" s="32"/>
      <c r="W1631" s="32"/>
      <c r="X1631" s="32"/>
      <c r="Y1631" s="32"/>
      <c r="Z1631" s="32"/>
      <c r="AA1631" s="32"/>
      <c r="AB1631" s="32"/>
    </row>
    <row r="1632" spans="1:28" ht="13" x14ac:dyDescent="0.15">
      <c r="A1632" s="32"/>
      <c r="B1632" s="32"/>
      <c r="C1632" s="32"/>
      <c r="D1632" s="32"/>
      <c r="E1632" s="32"/>
      <c r="F1632" s="32"/>
      <c r="G1632" s="32"/>
      <c r="H1632" s="32"/>
      <c r="I1632" s="32"/>
      <c r="J1632" s="32"/>
      <c r="K1632" s="32"/>
      <c r="L1632" s="32"/>
      <c r="M1632" s="23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32"/>
      <c r="AB1632" s="32"/>
    </row>
    <row r="1633" spans="1:28" ht="13" x14ac:dyDescent="0.15">
      <c r="A1633" s="32"/>
      <c r="B1633" s="32"/>
      <c r="C1633" s="32"/>
      <c r="D1633" s="32"/>
      <c r="E1633" s="32"/>
      <c r="F1633" s="32"/>
      <c r="G1633" s="32"/>
      <c r="H1633" s="32"/>
      <c r="I1633" s="32"/>
      <c r="J1633" s="32"/>
      <c r="K1633" s="32"/>
      <c r="L1633" s="32"/>
      <c r="M1633" s="23"/>
      <c r="N1633" s="32"/>
      <c r="O1633" s="32"/>
      <c r="P1633" s="32"/>
      <c r="Q1633" s="32"/>
      <c r="R1633" s="32"/>
      <c r="S1633" s="32"/>
      <c r="T1633" s="32"/>
      <c r="U1633" s="32"/>
      <c r="V1633" s="32"/>
      <c r="W1633" s="32"/>
      <c r="X1633" s="32"/>
      <c r="Y1633" s="32"/>
      <c r="Z1633" s="32"/>
      <c r="AA1633" s="32"/>
      <c r="AB1633" s="32"/>
    </row>
    <row r="1634" spans="1:28" ht="13" x14ac:dyDescent="0.15">
      <c r="A1634" s="32"/>
      <c r="B1634" s="32"/>
      <c r="C1634" s="32"/>
      <c r="D1634" s="32"/>
      <c r="E1634" s="32"/>
      <c r="F1634" s="32"/>
      <c r="G1634" s="32"/>
      <c r="H1634" s="32"/>
      <c r="I1634" s="32"/>
      <c r="J1634" s="32"/>
      <c r="K1634" s="32"/>
      <c r="L1634" s="32"/>
      <c r="M1634" s="23"/>
      <c r="N1634" s="32"/>
      <c r="O1634" s="32"/>
      <c r="P1634" s="32"/>
      <c r="Q1634" s="32"/>
      <c r="R1634" s="32"/>
      <c r="S1634" s="32"/>
      <c r="T1634" s="32"/>
      <c r="U1634" s="32"/>
      <c r="V1634" s="32"/>
      <c r="W1634" s="32"/>
      <c r="X1634" s="32"/>
      <c r="Y1634" s="32"/>
      <c r="Z1634" s="32"/>
      <c r="AA1634" s="32"/>
      <c r="AB1634" s="32"/>
    </row>
    <row r="1635" spans="1:28" ht="13" x14ac:dyDescent="0.15">
      <c r="A1635" s="32"/>
      <c r="B1635" s="32"/>
      <c r="C1635" s="32"/>
      <c r="D1635" s="32"/>
      <c r="E1635" s="32"/>
      <c r="F1635" s="32"/>
      <c r="G1635" s="32"/>
      <c r="H1635" s="32"/>
      <c r="I1635" s="32"/>
      <c r="J1635" s="32"/>
      <c r="K1635" s="32"/>
      <c r="L1635" s="32"/>
      <c r="M1635" s="23"/>
      <c r="N1635" s="32"/>
      <c r="O1635" s="32"/>
      <c r="P1635" s="32"/>
      <c r="Q1635" s="32"/>
      <c r="R1635" s="32"/>
      <c r="S1635" s="32"/>
      <c r="T1635" s="32"/>
      <c r="U1635" s="32"/>
      <c r="V1635" s="32"/>
      <c r="W1635" s="32"/>
      <c r="X1635" s="32"/>
      <c r="Y1635" s="32"/>
      <c r="Z1635" s="32"/>
      <c r="AA1635" s="32"/>
      <c r="AB1635" s="32"/>
    </row>
    <row r="1636" spans="1:28" ht="13" x14ac:dyDescent="0.15">
      <c r="A1636" s="32"/>
      <c r="B1636" s="32"/>
      <c r="C1636" s="32"/>
      <c r="D1636" s="32"/>
      <c r="E1636" s="32"/>
      <c r="F1636" s="32"/>
      <c r="G1636" s="32"/>
      <c r="H1636" s="32"/>
      <c r="I1636" s="32"/>
      <c r="J1636" s="32"/>
      <c r="K1636" s="32"/>
      <c r="L1636" s="32"/>
      <c r="M1636" s="23"/>
      <c r="N1636" s="32"/>
      <c r="O1636" s="32"/>
      <c r="P1636" s="32"/>
      <c r="Q1636" s="32"/>
      <c r="R1636" s="32"/>
      <c r="S1636" s="32"/>
      <c r="T1636" s="32"/>
      <c r="U1636" s="32"/>
      <c r="V1636" s="32"/>
      <c r="W1636" s="32"/>
      <c r="X1636" s="32"/>
      <c r="Y1636" s="32"/>
      <c r="Z1636" s="32"/>
      <c r="AA1636" s="32"/>
      <c r="AB1636" s="32"/>
    </row>
    <row r="1637" spans="1:28" ht="13" x14ac:dyDescent="0.15">
      <c r="A1637" s="32"/>
      <c r="B1637" s="32"/>
      <c r="C1637" s="32"/>
      <c r="D1637" s="32"/>
      <c r="E1637" s="32"/>
      <c r="F1637" s="32"/>
      <c r="G1637" s="32"/>
      <c r="H1637" s="32"/>
      <c r="I1637" s="32"/>
      <c r="J1637" s="32"/>
      <c r="K1637" s="32"/>
      <c r="L1637" s="32"/>
      <c r="M1637" s="23"/>
      <c r="N1637" s="32"/>
      <c r="O1637" s="32"/>
      <c r="P1637" s="32"/>
      <c r="Q1637" s="32"/>
      <c r="R1637" s="32"/>
      <c r="S1637" s="32"/>
      <c r="T1637" s="32"/>
      <c r="U1637" s="32"/>
      <c r="V1637" s="32"/>
      <c r="W1637" s="32"/>
      <c r="X1637" s="32"/>
      <c r="Y1637" s="32"/>
      <c r="Z1637" s="32"/>
      <c r="AA1637" s="32"/>
      <c r="AB1637" s="32"/>
    </row>
    <row r="1638" spans="1:28" ht="13" x14ac:dyDescent="0.15">
      <c r="A1638" s="32"/>
      <c r="B1638" s="32"/>
      <c r="C1638" s="32"/>
      <c r="D1638" s="32"/>
      <c r="E1638" s="32"/>
      <c r="F1638" s="32"/>
      <c r="G1638" s="32"/>
      <c r="H1638" s="32"/>
      <c r="I1638" s="32"/>
      <c r="J1638" s="32"/>
      <c r="K1638" s="32"/>
      <c r="L1638" s="32"/>
      <c r="M1638" s="23"/>
      <c r="N1638" s="32"/>
      <c r="O1638" s="32"/>
      <c r="P1638" s="32"/>
      <c r="Q1638" s="32"/>
      <c r="R1638" s="32"/>
      <c r="S1638" s="32"/>
      <c r="T1638" s="32"/>
      <c r="U1638" s="32"/>
      <c r="V1638" s="32"/>
      <c r="W1638" s="32"/>
      <c r="X1638" s="32"/>
      <c r="Y1638" s="32"/>
      <c r="Z1638" s="32"/>
      <c r="AA1638" s="32"/>
      <c r="AB1638" s="32"/>
    </row>
    <row r="1639" spans="1:28" ht="13" x14ac:dyDescent="0.15">
      <c r="A1639" s="32"/>
      <c r="B1639" s="32"/>
      <c r="C1639" s="32"/>
      <c r="D1639" s="32"/>
      <c r="E1639" s="32"/>
      <c r="F1639" s="32"/>
      <c r="G1639" s="32"/>
      <c r="H1639" s="32"/>
      <c r="I1639" s="32"/>
      <c r="J1639" s="32"/>
      <c r="K1639" s="32"/>
      <c r="L1639" s="32"/>
      <c r="M1639" s="23"/>
      <c r="N1639" s="32"/>
      <c r="O1639" s="32"/>
      <c r="P1639" s="32"/>
      <c r="Q1639" s="32"/>
      <c r="R1639" s="32"/>
      <c r="S1639" s="32"/>
      <c r="T1639" s="32"/>
      <c r="U1639" s="32"/>
      <c r="V1639" s="32"/>
      <c r="W1639" s="32"/>
      <c r="X1639" s="32"/>
      <c r="Y1639" s="32"/>
      <c r="Z1639" s="32"/>
      <c r="AA1639" s="32"/>
      <c r="AB1639" s="32"/>
    </row>
    <row r="1640" spans="1:28" ht="13" x14ac:dyDescent="0.15">
      <c r="A1640" s="32"/>
      <c r="B1640" s="32"/>
      <c r="C1640" s="32"/>
      <c r="D1640" s="32"/>
      <c r="E1640" s="32"/>
      <c r="F1640" s="32"/>
      <c r="G1640" s="32"/>
      <c r="H1640" s="32"/>
      <c r="I1640" s="32"/>
      <c r="J1640" s="32"/>
      <c r="K1640" s="32"/>
      <c r="L1640" s="32"/>
      <c r="M1640" s="23"/>
      <c r="N1640" s="32"/>
      <c r="O1640" s="32"/>
      <c r="P1640" s="32"/>
      <c r="Q1640" s="32"/>
      <c r="R1640" s="32"/>
      <c r="S1640" s="32"/>
      <c r="T1640" s="32"/>
      <c r="U1640" s="32"/>
      <c r="V1640" s="32"/>
      <c r="W1640" s="32"/>
      <c r="X1640" s="32"/>
      <c r="Y1640" s="32"/>
      <c r="Z1640" s="32"/>
      <c r="AA1640" s="32"/>
      <c r="AB1640" s="32"/>
    </row>
    <row r="1641" spans="1:28" ht="13" x14ac:dyDescent="0.15">
      <c r="A1641" s="32"/>
      <c r="B1641" s="32"/>
      <c r="C1641" s="32"/>
      <c r="D1641" s="32"/>
      <c r="E1641" s="32"/>
      <c r="F1641" s="32"/>
      <c r="G1641" s="32"/>
      <c r="H1641" s="32"/>
      <c r="I1641" s="32"/>
      <c r="J1641" s="32"/>
      <c r="K1641" s="32"/>
      <c r="L1641" s="32"/>
      <c r="M1641" s="23"/>
      <c r="N1641" s="32"/>
      <c r="O1641" s="32"/>
      <c r="P1641" s="32"/>
      <c r="Q1641" s="32"/>
      <c r="R1641" s="32"/>
      <c r="S1641" s="32"/>
      <c r="T1641" s="32"/>
      <c r="U1641" s="32"/>
      <c r="V1641" s="32"/>
      <c r="W1641" s="32"/>
      <c r="X1641" s="32"/>
      <c r="Y1641" s="32"/>
      <c r="Z1641" s="32"/>
      <c r="AA1641" s="32"/>
      <c r="AB1641" s="32"/>
    </row>
    <row r="1642" spans="1:28" ht="13" x14ac:dyDescent="0.15">
      <c r="A1642" s="32"/>
      <c r="B1642" s="32"/>
      <c r="C1642" s="32"/>
      <c r="D1642" s="32"/>
      <c r="E1642" s="32"/>
      <c r="F1642" s="32"/>
      <c r="G1642" s="32"/>
      <c r="H1642" s="32"/>
      <c r="I1642" s="32"/>
      <c r="J1642" s="32"/>
      <c r="K1642" s="32"/>
      <c r="L1642" s="32"/>
      <c r="M1642" s="23"/>
      <c r="N1642" s="32"/>
      <c r="O1642" s="32"/>
      <c r="P1642" s="32"/>
      <c r="Q1642" s="32"/>
      <c r="R1642" s="32"/>
      <c r="S1642" s="32"/>
      <c r="T1642" s="32"/>
      <c r="U1642" s="32"/>
      <c r="V1642" s="32"/>
      <c r="W1642" s="32"/>
      <c r="X1642" s="32"/>
      <c r="Y1642" s="32"/>
      <c r="Z1642" s="32"/>
      <c r="AA1642" s="32"/>
      <c r="AB1642" s="32"/>
    </row>
    <row r="1643" spans="1:28" ht="13" x14ac:dyDescent="0.15">
      <c r="A1643" s="32"/>
      <c r="B1643" s="32"/>
      <c r="C1643" s="32"/>
      <c r="D1643" s="32"/>
      <c r="E1643" s="32"/>
      <c r="F1643" s="32"/>
      <c r="G1643" s="32"/>
      <c r="H1643" s="32"/>
      <c r="I1643" s="32"/>
      <c r="J1643" s="32"/>
      <c r="K1643" s="32"/>
      <c r="L1643" s="32"/>
      <c r="M1643" s="23"/>
      <c r="N1643" s="32"/>
      <c r="O1643" s="32"/>
      <c r="P1643" s="32"/>
      <c r="Q1643" s="32"/>
      <c r="R1643" s="32"/>
      <c r="S1643" s="32"/>
      <c r="T1643" s="32"/>
      <c r="U1643" s="32"/>
      <c r="V1643" s="32"/>
      <c r="W1643" s="32"/>
      <c r="X1643" s="32"/>
      <c r="Y1643" s="32"/>
      <c r="Z1643" s="32"/>
      <c r="AA1643" s="32"/>
      <c r="AB1643" s="32"/>
    </row>
    <row r="1644" spans="1:28" ht="13" x14ac:dyDescent="0.15">
      <c r="A1644" s="32"/>
      <c r="B1644" s="32"/>
      <c r="C1644" s="32"/>
      <c r="D1644" s="32"/>
      <c r="E1644" s="32"/>
      <c r="F1644" s="32"/>
      <c r="G1644" s="32"/>
      <c r="H1644" s="32"/>
      <c r="I1644" s="32"/>
      <c r="J1644" s="32"/>
      <c r="K1644" s="32"/>
      <c r="L1644" s="32"/>
      <c r="M1644" s="23"/>
      <c r="N1644" s="32"/>
      <c r="O1644" s="32"/>
      <c r="P1644" s="32"/>
      <c r="Q1644" s="32"/>
      <c r="R1644" s="32"/>
      <c r="S1644" s="32"/>
      <c r="T1644" s="32"/>
      <c r="U1644" s="32"/>
      <c r="V1644" s="32"/>
      <c r="W1644" s="32"/>
      <c r="X1644" s="32"/>
      <c r="Y1644" s="32"/>
      <c r="Z1644" s="32"/>
      <c r="AA1644" s="32"/>
      <c r="AB1644" s="32"/>
    </row>
    <row r="1645" spans="1:28" ht="13" x14ac:dyDescent="0.15">
      <c r="A1645" s="32"/>
      <c r="B1645" s="32"/>
      <c r="C1645" s="32"/>
      <c r="D1645" s="32"/>
      <c r="E1645" s="32"/>
      <c r="F1645" s="32"/>
      <c r="G1645" s="32"/>
      <c r="H1645" s="32"/>
      <c r="I1645" s="32"/>
      <c r="J1645" s="32"/>
      <c r="K1645" s="32"/>
      <c r="L1645" s="32"/>
      <c r="M1645" s="23"/>
      <c r="N1645" s="32"/>
      <c r="O1645" s="32"/>
      <c r="P1645" s="32"/>
      <c r="Q1645" s="32"/>
      <c r="R1645" s="32"/>
      <c r="S1645" s="32"/>
      <c r="T1645" s="32"/>
      <c r="U1645" s="32"/>
      <c r="V1645" s="32"/>
      <c r="W1645" s="32"/>
      <c r="X1645" s="32"/>
      <c r="Y1645" s="32"/>
      <c r="Z1645" s="32"/>
      <c r="AA1645" s="32"/>
      <c r="AB1645" s="32"/>
    </row>
    <row r="1646" spans="1:28" ht="13" x14ac:dyDescent="0.15">
      <c r="A1646" s="32"/>
      <c r="B1646" s="32"/>
      <c r="C1646" s="32"/>
      <c r="D1646" s="32"/>
      <c r="E1646" s="32"/>
      <c r="F1646" s="32"/>
      <c r="G1646" s="32"/>
      <c r="H1646" s="32"/>
      <c r="I1646" s="32"/>
      <c r="J1646" s="32"/>
      <c r="K1646" s="32"/>
      <c r="L1646" s="32"/>
      <c r="M1646" s="23"/>
      <c r="N1646" s="32"/>
      <c r="O1646" s="32"/>
      <c r="P1646" s="32"/>
      <c r="Q1646" s="32"/>
      <c r="R1646" s="32"/>
      <c r="S1646" s="32"/>
      <c r="T1646" s="32"/>
      <c r="U1646" s="32"/>
      <c r="V1646" s="32"/>
      <c r="W1646" s="32"/>
      <c r="X1646" s="32"/>
      <c r="Y1646" s="32"/>
      <c r="Z1646" s="32"/>
      <c r="AA1646" s="32"/>
      <c r="AB1646" s="32"/>
    </row>
    <row r="1647" spans="1:28" ht="13" x14ac:dyDescent="0.15">
      <c r="A1647" s="32"/>
      <c r="B1647" s="32"/>
      <c r="C1647" s="32"/>
      <c r="D1647" s="32"/>
      <c r="E1647" s="32"/>
      <c r="F1647" s="32"/>
      <c r="G1647" s="32"/>
      <c r="H1647" s="32"/>
      <c r="I1647" s="32"/>
      <c r="J1647" s="32"/>
      <c r="K1647" s="32"/>
      <c r="L1647" s="32"/>
      <c r="M1647" s="23"/>
      <c r="N1647" s="32"/>
      <c r="O1647" s="32"/>
      <c r="P1647" s="32"/>
      <c r="Q1647" s="32"/>
      <c r="R1647" s="32"/>
      <c r="S1647" s="32"/>
      <c r="T1647" s="32"/>
      <c r="U1647" s="32"/>
      <c r="V1647" s="32"/>
      <c r="W1647" s="32"/>
      <c r="X1647" s="32"/>
      <c r="Y1647" s="32"/>
      <c r="Z1647" s="32"/>
      <c r="AA1647" s="32"/>
      <c r="AB1647" s="32"/>
    </row>
    <row r="1648" spans="1:28" ht="13" x14ac:dyDescent="0.15">
      <c r="A1648" s="32"/>
      <c r="B1648" s="32"/>
      <c r="C1648" s="32"/>
      <c r="D1648" s="32"/>
      <c r="E1648" s="32"/>
      <c r="F1648" s="32"/>
      <c r="G1648" s="32"/>
      <c r="H1648" s="32"/>
      <c r="I1648" s="32"/>
      <c r="J1648" s="32"/>
      <c r="K1648" s="32"/>
      <c r="L1648" s="32"/>
      <c r="M1648" s="23"/>
      <c r="N1648" s="32"/>
      <c r="O1648" s="32"/>
      <c r="P1648" s="32"/>
      <c r="Q1648" s="32"/>
      <c r="R1648" s="32"/>
      <c r="S1648" s="32"/>
      <c r="T1648" s="32"/>
      <c r="U1648" s="32"/>
      <c r="V1648" s="32"/>
      <c r="W1648" s="32"/>
      <c r="X1648" s="32"/>
      <c r="Y1648" s="32"/>
      <c r="Z1648" s="32"/>
      <c r="AA1648" s="32"/>
      <c r="AB1648" s="32"/>
    </row>
    <row r="1649" spans="1:28" ht="13" x14ac:dyDescent="0.15">
      <c r="A1649" s="32"/>
      <c r="B1649" s="32"/>
      <c r="C1649" s="32"/>
      <c r="D1649" s="32"/>
      <c r="E1649" s="32"/>
      <c r="F1649" s="32"/>
      <c r="G1649" s="32"/>
      <c r="H1649" s="32"/>
      <c r="I1649" s="32"/>
      <c r="J1649" s="32"/>
      <c r="K1649" s="32"/>
      <c r="L1649" s="32"/>
      <c r="M1649" s="23"/>
      <c r="N1649" s="32"/>
      <c r="O1649" s="32"/>
      <c r="P1649" s="32"/>
      <c r="Q1649" s="32"/>
      <c r="R1649" s="32"/>
      <c r="S1649" s="32"/>
      <c r="T1649" s="32"/>
      <c r="U1649" s="32"/>
      <c r="V1649" s="32"/>
      <c r="W1649" s="32"/>
      <c r="X1649" s="32"/>
      <c r="Y1649" s="32"/>
      <c r="Z1649" s="32"/>
      <c r="AA1649" s="32"/>
      <c r="AB1649" s="32"/>
    </row>
    <row r="1650" spans="1:28" ht="13" x14ac:dyDescent="0.15">
      <c r="A1650" s="32"/>
      <c r="B1650" s="32"/>
      <c r="C1650" s="32"/>
      <c r="D1650" s="32"/>
      <c r="E1650" s="32"/>
      <c r="F1650" s="32"/>
      <c r="G1650" s="32"/>
      <c r="H1650" s="32"/>
      <c r="I1650" s="32"/>
      <c r="J1650" s="32"/>
      <c r="K1650" s="32"/>
      <c r="L1650" s="32"/>
      <c r="M1650" s="23"/>
      <c r="N1650" s="32"/>
      <c r="O1650" s="32"/>
      <c r="P1650" s="32"/>
      <c r="Q1650" s="32"/>
      <c r="R1650" s="32"/>
      <c r="S1650" s="32"/>
      <c r="T1650" s="32"/>
      <c r="U1650" s="32"/>
      <c r="V1650" s="32"/>
      <c r="W1650" s="32"/>
      <c r="X1650" s="32"/>
      <c r="Y1650" s="32"/>
      <c r="Z1650" s="32"/>
      <c r="AA1650" s="32"/>
      <c r="AB1650" s="32"/>
    </row>
    <row r="1651" spans="1:28" ht="13" x14ac:dyDescent="0.15">
      <c r="A1651" s="32"/>
      <c r="B1651" s="32"/>
      <c r="C1651" s="32"/>
      <c r="D1651" s="32"/>
      <c r="E1651" s="32"/>
      <c r="F1651" s="32"/>
      <c r="G1651" s="32"/>
      <c r="H1651" s="32"/>
      <c r="I1651" s="32"/>
      <c r="J1651" s="32"/>
      <c r="K1651" s="32"/>
      <c r="L1651" s="32"/>
      <c r="M1651" s="23"/>
      <c r="N1651" s="32"/>
      <c r="O1651" s="32"/>
      <c r="P1651" s="32"/>
      <c r="Q1651" s="32"/>
      <c r="R1651" s="32"/>
      <c r="S1651" s="32"/>
      <c r="T1651" s="32"/>
      <c r="U1651" s="32"/>
      <c r="V1651" s="32"/>
      <c r="W1651" s="32"/>
      <c r="X1651" s="32"/>
      <c r="Y1651" s="32"/>
      <c r="Z1651" s="32"/>
      <c r="AA1651" s="32"/>
      <c r="AB1651" s="32"/>
    </row>
    <row r="1652" spans="1:28" ht="13" x14ac:dyDescent="0.15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23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</row>
    <row r="1653" spans="1:28" ht="13" x14ac:dyDescent="0.15">
      <c r="A1653" s="32"/>
      <c r="B1653" s="32"/>
      <c r="C1653" s="32"/>
      <c r="D1653" s="32"/>
      <c r="E1653" s="32"/>
      <c r="F1653" s="32"/>
      <c r="G1653" s="32"/>
      <c r="H1653" s="32"/>
      <c r="I1653" s="32"/>
      <c r="J1653" s="32"/>
      <c r="K1653" s="32"/>
      <c r="L1653" s="32"/>
      <c r="M1653" s="23"/>
      <c r="N1653" s="32"/>
      <c r="O1653" s="32"/>
      <c r="P1653" s="32"/>
      <c r="Q1653" s="32"/>
      <c r="R1653" s="32"/>
      <c r="S1653" s="32"/>
      <c r="T1653" s="32"/>
      <c r="U1653" s="32"/>
      <c r="V1653" s="32"/>
      <c r="W1653" s="32"/>
      <c r="X1653" s="32"/>
      <c r="Y1653" s="32"/>
      <c r="Z1653" s="32"/>
      <c r="AA1653" s="32"/>
      <c r="AB1653" s="32"/>
    </row>
    <row r="1654" spans="1:28" ht="13" x14ac:dyDescent="0.15">
      <c r="A1654" s="32"/>
      <c r="B1654" s="32"/>
      <c r="C1654" s="32"/>
      <c r="D1654" s="32"/>
      <c r="E1654" s="32"/>
      <c r="F1654" s="32"/>
      <c r="G1654" s="32"/>
      <c r="H1654" s="32"/>
      <c r="I1654" s="32"/>
      <c r="J1654" s="32"/>
      <c r="K1654" s="32"/>
      <c r="L1654" s="32"/>
      <c r="M1654" s="23"/>
      <c r="N1654" s="32"/>
      <c r="O1654" s="32"/>
      <c r="P1654" s="32"/>
      <c r="Q1654" s="32"/>
      <c r="R1654" s="32"/>
      <c r="S1654" s="32"/>
      <c r="T1654" s="32"/>
      <c r="U1654" s="32"/>
      <c r="V1654" s="32"/>
      <c r="W1654" s="32"/>
      <c r="X1654" s="32"/>
      <c r="Y1654" s="32"/>
      <c r="Z1654" s="32"/>
      <c r="AA1654" s="32"/>
      <c r="AB1654" s="32"/>
    </row>
    <row r="1655" spans="1:28" ht="13" x14ac:dyDescent="0.15">
      <c r="A1655" s="32"/>
      <c r="B1655" s="32"/>
      <c r="C1655" s="32"/>
      <c r="D1655" s="32"/>
      <c r="E1655" s="32"/>
      <c r="F1655" s="32"/>
      <c r="G1655" s="32"/>
      <c r="H1655" s="32"/>
      <c r="I1655" s="32"/>
      <c r="J1655" s="32"/>
      <c r="K1655" s="32"/>
      <c r="L1655" s="32"/>
      <c r="M1655" s="23"/>
      <c r="N1655" s="32"/>
      <c r="O1655" s="32"/>
      <c r="P1655" s="32"/>
      <c r="Q1655" s="32"/>
      <c r="R1655" s="32"/>
      <c r="S1655" s="32"/>
      <c r="T1655" s="32"/>
      <c r="U1655" s="32"/>
      <c r="V1655" s="32"/>
      <c r="W1655" s="32"/>
      <c r="X1655" s="32"/>
      <c r="Y1655" s="32"/>
      <c r="Z1655" s="32"/>
      <c r="AA1655" s="32"/>
      <c r="AB1655" s="32"/>
    </row>
    <row r="1656" spans="1:28" ht="13" x14ac:dyDescent="0.15">
      <c r="A1656" s="32"/>
      <c r="B1656" s="32"/>
      <c r="C1656" s="32"/>
      <c r="D1656" s="32"/>
      <c r="E1656" s="32"/>
      <c r="F1656" s="32"/>
      <c r="G1656" s="32"/>
      <c r="H1656" s="32"/>
      <c r="I1656" s="32"/>
      <c r="J1656" s="32"/>
      <c r="K1656" s="32"/>
      <c r="L1656" s="32"/>
      <c r="M1656" s="23"/>
      <c r="N1656" s="32"/>
      <c r="O1656" s="32"/>
      <c r="P1656" s="32"/>
      <c r="Q1656" s="32"/>
      <c r="R1656" s="32"/>
      <c r="S1656" s="32"/>
      <c r="T1656" s="32"/>
      <c r="U1656" s="32"/>
      <c r="V1656" s="32"/>
      <c r="W1656" s="32"/>
      <c r="X1656" s="32"/>
      <c r="Y1656" s="32"/>
      <c r="Z1656" s="32"/>
      <c r="AA1656" s="32"/>
      <c r="AB1656" s="32"/>
    </row>
    <row r="1657" spans="1:28" ht="13" x14ac:dyDescent="0.15">
      <c r="A1657" s="32"/>
      <c r="B1657" s="32"/>
      <c r="C1657" s="32"/>
      <c r="D1657" s="32"/>
      <c r="E1657" s="32"/>
      <c r="F1657" s="32"/>
      <c r="G1657" s="32"/>
      <c r="H1657" s="32"/>
      <c r="I1657" s="32"/>
      <c r="J1657" s="32"/>
      <c r="K1657" s="32"/>
      <c r="L1657" s="32"/>
      <c r="M1657" s="23"/>
      <c r="N1657" s="32"/>
      <c r="O1657" s="32"/>
      <c r="P1657" s="32"/>
      <c r="Q1657" s="32"/>
      <c r="R1657" s="32"/>
      <c r="S1657" s="32"/>
      <c r="T1657" s="32"/>
      <c r="U1657" s="32"/>
      <c r="V1657" s="32"/>
      <c r="W1657" s="32"/>
      <c r="X1657" s="32"/>
      <c r="Y1657" s="32"/>
      <c r="Z1657" s="32"/>
      <c r="AA1657" s="32"/>
      <c r="AB1657" s="32"/>
    </row>
    <row r="1658" spans="1:28" ht="13" x14ac:dyDescent="0.15">
      <c r="A1658" s="32"/>
      <c r="B1658" s="32"/>
      <c r="C1658" s="32"/>
      <c r="D1658" s="32"/>
      <c r="E1658" s="32"/>
      <c r="F1658" s="32"/>
      <c r="G1658" s="32"/>
      <c r="H1658" s="32"/>
      <c r="I1658" s="32"/>
      <c r="J1658" s="32"/>
      <c r="K1658" s="32"/>
      <c r="L1658" s="32"/>
      <c r="M1658" s="23"/>
      <c r="N1658" s="32"/>
      <c r="O1658" s="32"/>
      <c r="P1658" s="32"/>
      <c r="Q1658" s="32"/>
      <c r="R1658" s="32"/>
      <c r="S1658" s="32"/>
      <c r="T1658" s="32"/>
      <c r="U1658" s="32"/>
      <c r="V1658" s="32"/>
      <c r="W1658" s="32"/>
      <c r="X1658" s="32"/>
      <c r="Y1658" s="32"/>
      <c r="Z1658" s="32"/>
      <c r="AA1658" s="32"/>
      <c r="AB1658" s="32"/>
    </row>
    <row r="1659" spans="1:28" ht="13" x14ac:dyDescent="0.15">
      <c r="A1659" s="32"/>
      <c r="B1659" s="32"/>
      <c r="C1659" s="32"/>
      <c r="D1659" s="32"/>
      <c r="E1659" s="32"/>
      <c r="F1659" s="32"/>
      <c r="G1659" s="32"/>
      <c r="H1659" s="32"/>
      <c r="I1659" s="32"/>
      <c r="J1659" s="32"/>
      <c r="K1659" s="32"/>
      <c r="L1659" s="32"/>
      <c r="M1659" s="23"/>
      <c r="N1659" s="32"/>
      <c r="O1659" s="32"/>
      <c r="P1659" s="32"/>
      <c r="Q1659" s="32"/>
      <c r="R1659" s="32"/>
      <c r="S1659" s="32"/>
      <c r="T1659" s="32"/>
      <c r="U1659" s="32"/>
      <c r="V1659" s="32"/>
      <c r="W1659" s="32"/>
      <c r="X1659" s="32"/>
      <c r="Y1659" s="32"/>
      <c r="Z1659" s="32"/>
      <c r="AA1659" s="32"/>
      <c r="AB1659" s="32"/>
    </row>
    <row r="1660" spans="1:28" ht="13" x14ac:dyDescent="0.15">
      <c r="A1660" s="32"/>
      <c r="B1660" s="32"/>
      <c r="C1660" s="32"/>
      <c r="D1660" s="32"/>
      <c r="E1660" s="32"/>
      <c r="F1660" s="32"/>
      <c r="G1660" s="32"/>
      <c r="H1660" s="32"/>
      <c r="I1660" s="32"/>
      <c r="J1660" s="32"/>
      <c r="K1660" s="32"/>
      <c r="L1660" s="32"/>
      <c r="M1660" s="23"/>
      <c r="N1660" s="32"/>
      <c r="O1660" s="32"/>
      <c r="P1660" s="32"/>
      <c r="Q1660" s="32"/>
      <c r="R1660" s="32"/>
      <c r="S1660" s="32"/>
      <c r="T1660" s="32"/>
      <c r="U1660" s="32"/>
      <c r="V1660" s="32"/>
      <c r="W1660" s="32"/>
      <c r="X1660" s="32"/>
      <c r="Y1660" s="32"/>
      <c r="Z1660" s="32"/>
      <c r="AA1660" s="32"/>
      <c r="AB1660" s="32"/>
    </row>
    <row r="1661" spans="1:28" ht="13" x14ac:dyDescent="0.15">
      <c r="A1661" s="32"/>
      <c r="B1661" s="32"/>
      <c r="C1661" s="32"/>
      <c r="D1661" s="32"/>
      <c r="E1661" s="32"/>
      <c r="F1661" s="32"/>
      <c r="G1661" s="32"/>
      <c r="H1661" s="32"/>
      <c r="I1661" s="32"/>
      <c r="J1661" s="32"/>
      <c r="K1661" s="32"/>
      <c r="L1661" s="32"/>
      <c r="M1661" s="23"/>
      <c r="N1661" s="32"/>
      <c r="O1661" s="32"/>
      <c r="P1661" s="32"/>
      <c r="Q1661" s="32"/>
      <c r="R1661" s="32"/>
      <c r="S1661" s="32"/>
      <c r="T1661" s="32"/>
      <c r="U1661" s="32"/>
      <c r="V1661" s="32"/>
      <c r="W1661" s="32"/>
      <c r="X1661" s="32"/>
      <c r="Y1661" s="32"/>
      <c r="Z1661" s="32"/>
      <c r="AA1661" s="32"/>
      <c r="AB1661" s="32"/>
    </row>
    <row r="1662" spans="1:28" ht="13" x14ac:dyDescent="0.15">
      <c r="A1662" s="32"/>
      <c r="B1662" s="32"/>
      <c r="C1662" s="32"/>
      <c r="D1662" s="32"/>
      <c r="E1662" s="32"/>
      <c r="F1662" s="32"/>
      <c r="G1662" s="32"/>
      <c r="H1662" s="32"/>
      <c r="I1662" s="32"/>
      <c r="J1662" s="32"/>
      <c r="K1662" s="32"/>
      <c r="L1662" s="32"/>
      <c r="M1662" s="23"/>
      <c r="N1662" s="32"/>
      <c r="O1662" s="32"/>
      <c r="P1662" s="32"/>
      <c r="Q1662" s="32"/>
      <c r="R1662" s="32"/>
      <c r="S1662" s="32"/>
      <c r="T1662" s="32"/>
      <c r="U1662" s="32"/>
      <c r="V1662" s="32"/>
      <c r="W1662" s="32"/>
      <c r="X1662" s="32"/>
      <c r="Y1662" s="32"/>
      <c r="Z1662" s="32"/>
      <c r="AA1662" s="32"/>
      <c r="AB1662" s="32"/>
    </row>
    <row r="1663" spans="1:28" ht="13" x14ac:dyDescent="0.15">
      <c r="A1663" s="32"/>
      <c r="B1663" s="32"/>
      <c r="C1663" s="32"/>
      <c r="D1663" s="32"/>
      <c r="E1663" s="32"/>
      <c r="F1663" s="32"/>
      <c r="G1663" s="32"/>
      <c r="H1663" s="32"/>
      <c r="I1663" s="32"/>
      <c r="J1663" s="32"/>
      <c r="K1663" s="32"/>
      <c r="L1663" s="32"/>
      <c r="M1663" s="23"/>
      <c r="N1663" s="32"/>
      <c r="O1663" s="32"/>
      <c r="P1663" s="32"/>
      <c r="Q1663" s="32"/>
      <c r="R1663" s="32"/>
      <c r="S1663" s="32"/>
      <c r="T1663" s="32"/>
      <c r="U1663" s="32"/>
      <c r="V1663" s="32"/>
      <c r="W1663" s="32"/>
      <c r="X1663" s="32"/>
      <c r="Y1663" s="32"/>
      <c r="Z1663" s="32"/>
      <c r="AA1663" s="32"/>
      <c r="AB1663" s="32"/>
    </row>
    <row r="1664" spans="1:28" ht="13" x14ac:dyDescent="0.15">
      <c r="A1664" s="32"/>
      <c r="B1664" s="32"/>
      <c r="C1664" s="32"/>
      <c r="D1664" s="32"/>
      <c r="E1664" s="32"/>
      <c r="F1664" s="32"/>
      <c r="G1664" s="32"/>
      <c r="H1664" s="32"/>
      <c r="I1664" s="32"/>
      <c r="J1664" s="32"/>
      <c r="K1664" s="32"/>
      <c r="L1664" s="32"/>
      <c r="M1664" s="23"/>
      <c r="N1664" s="32"/>
      <c r="O1664" s="32"/>
      <c r="P1664" s="32"/>
      <c r="Q1664" s="32"/>
      <c r="R1664" s="32"/>
      <c r="S1664" s="32"/>
      <c r="T1664" s="32"/>
      <c r="U1664" s="32"/>
      <c r="V1664" s="32"/>
      <c r="W1664" s="32"/>
      <c r="X1664" s="32"/>
      <c r="Y1664" s="32"/>
      <c r="Z1664" s="32"/>
      <c r="AA1664" s="32"/>
      <c r="AB1664" s="32"/>
    </row>
    <row r="1665" spans="1:28" ht="13" x14ac:dyDescent="0.15">
      <c r="A1665" s="32"/>
      <c r="B1665" s="32"/>
      <c r="C1665" s="32"/>
      <c r="D1665" s="32"/>
      <c r="E1665" s="32"/>
      <c r="F1665" s="32"/>
      <c r="G1665" s="32"/>
      <c r="H1665" s="32"/>
      <c r="I1665" s="32"/>
      <c r="J1665" s="32"/>
      <c r="K1665" s="32"/>
      <c r="L1665" s="32"/>
      <c r="M1665" s="23"/>
      <c r="N1665" s="32"/>
      <c r="O1665" s="32"/>
      <c r="P1665" s="32"/>
      <c r="Q1665" s="32"/>
      <c r="R1665" s="32"/>
      <c r="S1665" s="32"/>
      <c r="T1665" s="32"/>
      <c r="U1665" s="32"/>
      <c r="V1665" s="32"/>
      <c r="W1665" s="32"/>
      <c r="X1665" s="32"/>
      <c r="Y1665" s="32"/>
      <c r="Z1665" s="32"/>
      <c r="AA1665" s="32"/>
      <c r="AB1665" s="32"/>
    </row>
    <row r="1666" spans="1:28" ht="13" x14ac:dyDescent="0.15">
      <c r="A1666" s="32"/>
      <c r="B1666" s="32"/>
      <c r="C1666" s="32"/>
      <c r="D1666" s="32"/>
      <c r="E1666" s="32"/>
      <c r="F1666" s="32"/>
      <c r="G1666" s="32"/>
      <c r="H1666" s="32"/>
      <c r="I1666" s="32"/>
      <c r="J1666" s="32"/>
      <c r="K1666" s="32"/>
      <c r="L1666" s="32"/>
      <c r="M1666" s="23"/>
      <c r="N1666" s="32"/>
      <c r="O1666" s="32"/>
      <c r="P1666" s="32"/>
      <c r="Q1666" s="32"/>
      <c r="R1666" s="32"/>
      <c r="S1666" s="32"/>
      <c r="T1666" s="32"/>
      <c r="U1666" s="32"/>
      <c r="V1666" s="32"/>
      <c r="W1666" s="32"/>
      <c r="X1666" s="32"/>
      <c r="Y1666" s="32"/>
      <c r="Z1666" s="32"/>
      <c r="AA1666" s="32"/>
      <c r="AB1666" s="32"/>
    </row>
    <row r="1667" spans="1:28" ht="13" x14ac:dyDescent="0.15">
      <c r="A1667" s="32"/>
      <c r="B1667" s="32"/>
      <c r="C1667" s="32"/>
      <c r="D1667" s="32"/>
      <c r="E1667" s="32"/>
      <c r="F1667" s="32"/>
      <c r="G1667" s="32"/>
      <c r="H1667" s="32"/>
      <c r="I1667" s="32"/>
      <c r="J1667" s="32"/>
      <c r="K1667" s="32"/>
      <c r="L1667" s="32"/>
      <c r="M1667" s="23"/>
      <c r="N1667" s="32"/>
      <c r="O1667" s="32"/>
      <c r="P1667" s="32"/>
      <c r="Q1667" s="32"/>
      <c r="R1667" s="32"/>
      <c r="S1667" s="32"/>
      <c r="T1667" s="32"/>
      <c r="U1667" s="32"/>
      <c r="V1667" s="32"/>
      <c r="W1667" s="32"/>
      <c r="X1667" s="32"/>
      <c r="Y1667" s="32"/>
      <c r="Z1667" s="32"/>
      <c r="AA1667" s="32"/>
      <c r="AB1667" s="32"/>
    </row>
    <row r="1668" spans="1:28" ht="13" x14ac:dyDescent="0.15">
      <c r="A1668" s="32"/>
      <c r="B1668" s="32"/>
      <c r="C1668" s="32"/>
      <c r="D1668" s="32"/>
      <c r="E1668" s="32"/>
      <c r="F1668" s="32"/>
      <c r="G1668" s="32"/>
      <c r="H1668" s="32"/>
      <c r="I1668" s="32"/>
      <c r="J1668" s="32"/>
      <c r="K1668" s="32"/>
      <c r="L1668" s="32"/>
      <c r="M1668" s="23"/>
      <c r="N1668" s="32"/>
      <c r="O1668" s="32"/>
      <c r="P1668" s="32"/>
      <c r="Q1668" s="32"/>
      <c r="R1668" s="32"/>
      <c r="S1668" s="32"/>
      <c r="T1668" s="32"/>
      <c r="U1668" s="32"/>
      <c r="V1668" s="32"/>
      <c r="W1668" s="32"/>
      <c r="X1668" s="32"/>
      <c r="Y1668" s="32"/>
      <c r="Z1668" s="32"/>
      <c r="AA1668" s="32"/>
      <c r="AB1668" s="32"/>
    </row>
    <row r="1669" spans="1:28" ht="13" x14ac:dyDescent="0.15">
      <c r="A1669" s="32"/>
      <c r="B1669" s="32"/>
      <c r="C1669" s="32"/>
      <c r="D1669" s="32"/>
      <c r="E1669" s="32"/>
      <c r="F1669" s="32"/>
      <c r="G1669" s="32"/>
      <c r="H1669" s="32"/>
      <c r="I1669" s="32"/>
      <c r="J1669" s="32"/>
      <c r="K1669" s="32"/>
      <c r="L1669" s="32"/>
      <c r="M1669" s="23"/>
      <c r="N1669" s="32"/>
      <c r="O1669" s="32"/>
      <c r="P1669" s="32"/>
      <c r="Q1669" s="32"/>
      <c r="R1669" s="32"/>
      <c r="S1669" s="32"/>
      <c r="T1669" s="32"/>
      <c r="U1669" s="32"/>
      <c r="V1669" s="32"/>
      <c r="W1669" s="32"/>
      <c r="X1669" s="32"/>
      <c r="Y1669" s="32"/>
      <c r="Z1669" s="32"/>
      <c r="AA1669" s="32"/>
      <c r="AB1669" s="32"/>
    </row>
    <row r="1670" spans="1:28" ht="13" x14ac:dyDescent="0.15">
      <c r="A1670" s="32"/>
      <c r="B1670" s="32"/>
      <c r="C1670" s="32"/>
      <c r="D1670" s="32"/>
      <c r="E1670" s="32"/>
      <c r="F1670" s="32"/>
      <c r="G1670" s="32"/>
      <c r="H1670" s="32"/>
      <c r="I1670" s="32"/>
      <c r="J1670" s="32"/>
      <c r="K1670" s="32"/>
      <c r="L1670" s="32"/>
      <c r="M1670" s="23"/>
      <c r="N1670" s="32"/>
      <c r="O1670" s="32"/>
      <c r="P1670" s="32"/>
      <c r="Q1670" s="32"/>
      <c r="R1670" s="32"/>
      <c r="S1670" s="32"/>
      <c r="T1670" s="32"/>
      <c r="U1670" s="32"/>
      <c r="V1670" s="32"/>
      <c r="W1670" s="32"/>
      <c r="X1670" s="32"/>
      <c r="Y1670" s="32"/>
      <c r="Z1670" s="32"/>
      <c r="AA1670" s="32"/>
      <c r="AB1670" s="32"/>
    </row>
    <row r="1671" spans="1:28" ht="13" x14ac:dyDescent="0.15">
      <c r="A1671" s="32"/>
      <c r="B1671" s="32"/>
      <c r="C1671" s="32"/>
      <c r="D1671" s="32"/>
      <c r="E1671" s="32"/>
      <c r="F1671" s="32"/>
      <c r="G1671" s="32"/>
      <c r="H1671" s="32"/>
      <c r="I1671" s="32"/>
      <c r="J1671" s="32"/>
      <c r="K1671" s="32"/>
      <c r="L1671" s="32"/>
      <c r="M1671" s="23"/>
      <c r="N1671" s="32"/>
      <c r="O1671" s="32"/>
      <c r="P1671" s="32"/>
      <c r="Q1671" s="32"/>
      <c r="R1671" s="32"/>
      <c r="S1671" s="32"/>
      <c r="T1671" s="32"/>
      <c r="U1671" s="32"/>
      <c r="V1671" s="32"/>
      <c r="W1671" s="32"/>
      <c r="X1671" s="32"/>
      <c r="Y1671" s="32"/>
      <c r="Z1671" s="32"/>
      <c r="AA1671" s="32"/>
      <c r="AB1671" s="32"/>
    </row>
    <row r="1672" spans="1:28" ht="13" x14ac:dyDescent="0.15">
      <c r="A1672" s="32"/>
      <c r="B1672" s="32"/>
      <c r="C1672" s="32"/>
      <c r="D1672" s="32"/>
      <c r="E1672" s="32"/>
      <c r="F1672" s="32"/>
      <c r="G1672" s="32"/>
      <c r="H1672" s="32"/>
      <c r="I1672" s="32"/>
      <c r="J1672" s="32"/>
      <c r="K1672" s="32"/>
      <c r="L1672" s="32"/>
      <c r="M1672" s="23"/>
      <c r="N1672" s="32"/>
      <c r="O1672" s="32"/>
      <c r="P1672" s="32"/>
      <c r="Q1672" s="32"/>
      <c r="R1672" s="32"/>
      <c r="S1672" s="32"/>
      <c r="T1672" s="32"/>
      <c r="U1672" s="32"/>
      <c r="V1672" s="32"/>
      <c r="W1672" s="32"/>
      <c r="X1672" s="32"/>
      <c r="Y1672" s="32"/>
      <c r="Z1672" s="32"/>
      <c r="AA1672" s="32"/>
      <c r="AB1672" s="32"/>
    </row>
    <row r="1673" spans="1:28" ht="13" x14ac:dyDescent="0.15">
      <c r="A1673" s="32"/>
      <c r="B1673" s="32"/>
      <c r="C1673" s="32"/>
      <c r="D1673" s="32"/>
      <c r="E1673" s="32"/>
      <c r="F1673" s="32"/>
      <c r="G1673" s="32"/>
      <c r="H1673" s="32"/>
      <c r="I1673" s="32"/>
      <c r="J1673" s="32"/>
      <c r="K1673" s="32"/>
      <c r="L1673" s="32"/>
      <c r="M1673" s="23"/>
      <c r="N1673" s="32"/>
      <c r="O1673" s="32"/>
      <c r="P1673" s="32"/>
      <c r="Q1673" s="32"/>
      <c r="R1673" s="32"/>
      <c r="S1673" s="32"/>
      <c r="T1673" s="32"/>
      <c r="U1673" s="32"/>
      <c r="V1673" s="32"/>
      <c r="W1673" s="32"/>
      <c r="X1673" s="32"/>
      <c r="Y1673" s="32"/>
      <c r="Z1673" s="32"/>
      <c r="AA1673" s="32"/>
      <c r="AB1673" s="32"/>
    </row>
    <row r="1674" spans="1:28" ht="13" x14ac:dyDescent="0.15">
      <c r="A1674" s="32"/>
      <c r="B1674" s="32"/>
      <c r="C1674" s="32"/>
      <c r="D1674" s="32"/>
      <c r="E1674" s="32"/>
      <c r="F1674" s="32"/>
      <c r="G1674" s="32"/>
      <c r="H1674" s="32"/>
      <c r="I1674" s="32"/>
      <c r="J1674" s="32"/>
      <c r="K1674" s="32"/>
      <c r="L1674" s="32"/>
      <c r="M1674" s="23"/>
      <c r="N1674" s="32"/>
      <c r="O1674" s="32"/>
      <c r="P1674" s="32"/>
      <c r="Q1674" s="32"/>
      <c r="R1674" s="32"/>
      <c r="S1674" s="32"/>
      <c r="T1674" s="32"/>
      <c r="U1674" s="32"/>
      <c r="V1674" s="32"/>
      <c r="W1674" s="32"/>
      <c r="X1674" s="32"/>
      <c r="Y1674" s="32"/>
      <c r="Z1674" s="32"/>
      <c r="AA1674" s="32"/>
      <c r="AB1674" s="32"/>
    </row>
    <row r="1675" spans="1:28" ht="13" x14ac:dyDescent="0.15">
      <c r="A1675" s="32"/>
      <c r="B1675" s="32"/>
      <c r="C1675" s="32"/>
      <c r="D1675" s="32"/>
      <c r="E1675" s="32"/>
      <c r="F1675" s="32"/>
      <c r="G1675" s="32"/>
      <c r="H1675" s="32"/>
      <c r="I1675" s="32"/>
      <c r="J1675" s="32"/>
      <c r="K1675" s="32"/>
      <c r="L1675" s="32"/>
      <c r="M1675" s="23"/>
      <c r="N1675" s="32"/>
      <c r="O1675" s="32"/>
      <c r="P1675" s="32"/>
      <c r="Q1675" s="32"/>
      <c r="R1675" s="32"/>
      <c r="S1675" s="32"/>
      <c r="T1675" s="32"/>
      <c r="U1675" s="32"/>
      <c r="V1675" s="32"/>
      <c r="W1675" s="32"/>
      <c r="X1675" s="32"/>
      <c r="Y1675" s="32"/>
      <c r="Z1675" s="32"/>
      <c r="AA1675" s="32"/>
      <c r="AB1675" s="32"/>
    </row>
    <row r="1676" spans="1:28" ht="13" x14ac:dyDescent="0.15">
      <c r="A1676" s="32"/>
      <c r="B1676" s="32"/>
      <c r="C1676" s="32"/>
      <c r="D1676" s="32"/>
      <c r="E1676" s="32"/>
      <c r="F1676" s="32"/>
      <c r="G1676" s="32"/>
      <c r="H1676" s="32"/>
      <c r="I1676" s="32"/>
      <c r="J1676" s="32"/>
      <c r="K1676" s="32"/>
      <c r="L1676" s="32"/>
      <c r="M1676" s="23"/>
      <c r="N1676" s="32"/>
      <c r="O1676" s="32"/>
      <c r="P1676" s="32"/>
      <c r="Q1676" s="32"/>
      <c r="R1676" s="32"/>
      <c r="S1676" s="32"/>
      <c r="T1676" s="32"/>
      <c r="U1676" s="32"/>
      <c r="V1676" s="32"/>
      <c r="W1676" s="32"/>
      <c r="X1676" s="32"/>
      <c r="Y1676" s="32"/>
      <c r="Z1676" s="32"/>
      <c r="AA1676" s="32"/>
      <c r="AB1676" s="32"/>
    </row>
    <row r="1677" spans="1:28" ht="13" x14ac:dyDescent="0.15">
      <c r="A1677" s="32"/>
      <c r="B1677" s="32"/>
      <c r="C1677" s="32"/>
      <c r="D1677" s="32"/>
      <c r="E1677" s="32"/>
      <c r="F1677" s="32"/>
      <c r="G1677" s="32"/>
      <c r="H1677" s="32"/>
      <c r="I1677" s="32"/>
      <c r="J1677" s="32"/>
      <c r="K1677" s="32"/>
      <c r="L1677" s="32"/>
      <c r="M1677" s="23"/>
      <c r="N1677" s="32"/>
      <c r="O1677" s="32"/>
      <c r="P1677" s="32"/>
      <c r="Q1677" s="32"/>
      <c r="R1677" s="32"/>
      <c r="S1677" s="32"/>
      <c r="T1677" s="32"/>
      <c r="U1677" s="32"/>
      <c r="V1677" s="32"/>
      <c r="W1677" s="32"/>
      <c r="X1677" s="32"/>
      <c r="Y1677" s="32"/>
      <c r="Z1677" s="32"/>
      <c r="AA1677" s="32"/>
      <c r="AB1677" s="32"/>
    </row>
    <row r="1678" spans="1:28" ht="13" x14ac:dyDescent="0.15">
      <c r="A1678" s="32"/>
      <c r="B1678" s="32"/>
      <c r="C1678" s="32"/>
      <c r="D1678" s="32"/>
      <c r="E1678" s="32"/>
      <c r="F1678" s="32"/>
      <c r="G1678" s="32"/>
      <c r="H1678" s="32"/>
      <c r="I1678" s="32"/>
      <c r="J1678" s="32"/>
      <c r="K1678" s="32"/>
      <c r="L1678" s="32"/>
      <c r="M1678" s="23"/>
      <c r="N1678" s="32"/>
      <c r="O1678" s="32"/>
      <c r="P1678" s="32"/>
      <c r="Q1678" s="32"/>
      <c r="R1678" s="32"/>
      <c r="S1678" s="32"/>
      <c r="T1678" s="32"/>
      <c r="U1678" s="32"/>
      <c r="V1678" s="32"/>
      <c r="W1678" s="32"/>
      <c r="X1678" s="32"/>
      <c r="Y1678" s="32"/>
      <c r="Z1678" s="32"/>
      <c r="AA1678" s="32"/>
      <c r="AB1678" s="32"/>
    </row>
    <row r="1679" spans="1:28" ht="13" x14ac:dyDescent="0.15">
      <c r="A1679" s="32"/>
      <c r="B1679" s="32"/>
      <c r="C1679" s="32"/>
      <c r="D1679" s="32"/>
      <c r="E1679" s="32"/>
      <c r="F1679" s="32"/>
      <c r="G1679" s="32"/>
      <c r="H1679" s="32"/>
      <c r="I1679" s="32"/>
      <c r="J1679" s="32"/>
      <c r="K1679" s="32"/>
      <c r="L1679" s="32"/>
      <c r="M1679" s="23"/>
      <c r="N1679" s="32"/>
      <c r="O1679" s="32"/>
      <c r="P1679" s="32"/>
      <c r="Q1679" s="32"/>
      <c r="R1679" s="32"/>
      <c r="S1679" s="32"/>
      <c r="T1679" s="32"/>
      <c r="U1679" s="32"/>
      <c r="V1679" s="32"/>
      <c r="W1679" s="32"/>
      <c r="X1679" s="32"/>
      <c r="Y1679" s="32"/>
      <c r="Z1679" s="32"/>
      <c r="AA1679" s="32"/>
      <c r="AB1679" s="32"/>
    </row>
    <row r="1680" spans="1:28" ht="13" x14ac:dyDescent="0.15">
      <c r="A1680" s="32"/>
      <c r="B1680" s="32"/>
      <c r="C1680" s="32"/>
      <c r="D1680" s="32"/>
      <c r="E1680" s="32"/>
      <c r="F1680" s="32"/>
      <c r="G1680" s="32"/>
      <c r="H1680" s="32"/>
      <c r="I1680" s="32"/>
      <c r="J1680" s="32"/>
      <c r="K1680" s="32"/>
      <c r="L1680" s="32"/>
      <c r="M1680" s="23"/>
      <c r="N1680" s="32"/>
      <c r="O1680" s="32"/>
      <c r="P1680" s="32"/>
      <c r="Q1680" s="32"/>
      <c r="R1680" s="32"/>
      <c r="S1680" s="32"/>
      <c r="T1680" s="32"/>
      <c r="U1680" s="32"/>
      <c r="V1680" s="32"/>
      <c r="W1680" s="32"/>
      <c r="X1680" s="32"/>
      <c r="Y1680" s="32"/>
      <c r="Z1680" s="32"/>
      <c r="AA1680" s="32"/>
      <c r="AB1680" s="32"/>
    </row>
    <row r="1681" spans="1:28" ht="13" x14ac:dyDescent="0.15">
      <c r="A1681" s="32"/>
      <c r="B1681" s="32"/>
      <c r="C1681" s="32"/>
      <c r="D1681" s="32"/>
      <c r="E1681" s="32"/>
      <c r="F1681" s="32"/>
      <c r="G1681" s="32"/>
      <c r="H1681" s="32"/>
      <c r="I1681" s="32"/>
      <c r="J1681" s="32"/>
      <c r="K1681" s="32"/>
      <c r="L1681" s="32"/>
      <c r="M1681" s="23"/>
      <c r="N1681" s="32"/>
      <c r="O1681" s="32"/>
      <c r="P1681" s="32"/>
      <c r="Q1681" s="32"/>
      <c r="R1681" s="32"/>
      <c r="S1681" s="32"/>
      <c r="T1681" s="32"/>
      <c r="U1681" s="32"/>
      <c r="V1681" s="32"/>
      <c r="W1681" s="32"/>
      <c r="X1681" s="32"/>
      <c r="Y1681" s="32"/>
      <c r="Z1681" s="32"/>
      <c r="AA1681" s="32"/>
      <c r="AB1681" s="32"/>
    </row>
    <row r="1682" spans="1:28" ht="13" x14ac:dyDescent="0.15">
      <c r="A1682" s="32"/>
      <c r="B1682" s="32"/>
      <c r="C1682" s="32"/>
      <c r="D1682" s="32"/>
      <c r="E1682" s="32"/>
      <c r="F1682" s="32"/>
      <c r="G1682" s="32"/>
      <c r="H1682" s="32"/>
      <c r="I1682" s="32"/>
      <c r="J1682" s="32"/>
      <c r="K1682" s="32"/>
      <c r="L1682" s="32"/>
      <c r="M1682" s="23"/>
      <c r="N1682" s="32"/>
      <c r="O1682" s="32"/>
      <c r="P1682" s="32"/>
      <c r="Q1682" s="32"/>
      <c r="R1682" s="32"/>
      <c r="S1682" s="32"/>
      <c r="T1682" s="32"/>
      <c r="U1682" s="32"/>
      <c r="V1682" s="32"/>
      <c r="W1682" s="32"/>
      <c r="X1682" s="32"/>
      <c r="Y1682" s="32"/>
      <c r="Z1682" s="32"/>
      <c r="AA1682" s="32"/>
      <c r="AB1682" s="32"/>
    </row>
    <row r="1683" spans="1:28" ht="13" x14ac:dyDescent="0.15">
      <c r="A1683" s="32"/>
      <c r="B1683" s="32"/>
      <c r="C1683" s="32"/>
      <c r="D1683" s="32"/>
      <c r="E1683" s="32"/>
      <c r="F1683" s="32"/>
      <c r="G1683" s="32"/>
      <c r="H1683" s="32"/>
      <c r="I1683" s="32"/>
      <c r="J1683" s="32"/>
      <c r="K1683" s="32"/>
      <c r="L1683" s="32"/>
      <c r="M1683" s="23"/>
      <c r="N1683" s="32"/>
      <c r="O1683" s="32"/>
      <c r="P1683" s="32"/>
      <c r="Q1683" s="32"/>
      <c r="R1683" s="32"/>
      <c r="S1683" s="32"/>
      <c r="T1683" s="32"/>
      <c r="U1683" s="32"/>
      <c r="V1683" s="32"/>
      <c r="W1683" s="32"/>
      <c r="X1683" s="32"/>
      <c r="Y1683" s="32"/>
      <c r="Z1683" s="32"/>
      <c r="AA1683" s="32"/>
      <c r="AB1683" s="32"/>
    </row>
    <row r="1684" spans="1:28" ht="13" x14ac:dyDescent="0.15">
      <c r="A1684" s="32"/>
      <c r="B1684" s="32"/>
      <c r="C1684" s="32"/>
      <c r="D1684" s="32"/>
      <c r="E1684" s="32"/>
      <c r="F1684" s="32"/>
      <c r="G1684" s="32"/>
      <c r="H1684" s="32"/>
      <c r="I1684" s="32"/>
      <c r="J1684" s="32"/>
      <c r="K1684" s="32"/>
      <c r="L1684" s="32"/>
      <c r="M1684" s="23"/>
      <c r="N1684" s="32"/>
      <c r="O1684" s="32"/>
      <c r="P1684" s="32"/>
      <c r="Q1684" s="32"/>
      <c r="R1684" s="32"/>
      <c r="S1684" s="32"/>
      <c r="T1684" s="32"/>
      <c r="U1684" s="32"/>
      <c r="V1684" s="32"/>
      <c r="W1684" s="32"/>
      <c r="X1684" s="32"/>
      <c r="Y1684" s="32"/>
      <c r="Z1684" s="32"/>
      <c r="AA1684" s="32"/>
      <c r="AB1684" s="32"/>
    </row>
    <row r="1685" spans="1:28" ht="13" x14ac:dyDescent="0.15">
      <c r="A1685" s="32"/>
      <c r="B1685" s="32"/>
      <c r="C1685" s="32"/>
      <c r="D1685" s="32"/>
      <c r="E1685" s="32"/>
      <c r="F1685" s="32"/>
      <c r="G1685" s="32"/>
      <c r="H1685" s="32"/>
      <c r="I1685" s="32"/>
      <c r="J1685" s="32"/>
      <c r="K1685" s="32"/>
      <c r="L1685" s="32"/>
      <c r="M1685" s="23"/>
      <c r="N1685" s="32"/>
      <c r="O1685" s="32"/>
      <c r="P1685" s="32"/>
      <c r="Q1685" s="32"/>
      <c r="R1685" s="32"/>
      <c r="S1685" s="32"/>
      <c r="T1685" s="32"/>
      <c r="U1685" s="32"/>
      <c r="V1685" s="32"/>
      <c r="W1685" s="32"/>
      <c r="X1685" s="32"/>
      <c r="Y1685" s="32"/>
      <c r="Z1685" s="32"/>
      <c r="AA1685" s="32"/>
      <c r="AB1685" s="32"/>
    </row>
    <row r="1686" spans="1:28" ht="13" x14ac:dyDescent="0.15">
      <c r="A1686" s="32"/>
      <c r="B1686" s="32"/>
      <c r="C1686" s="32"/>
      <c r="D1686" s="32"/>
      <c r="E1686" s="32"/>
      <c r="F1686" s="32"/>
      <c r="G1686" s="32"/>
      <c r="H1686" s="32"/>
      <c r="I1686" s="32"/>
      <c r="J1686" s="32"/>
      <c r="K1686" s="32"/>
      <c r="L1686" s="32"/>
      <c r="M1686" s="23"/>
      <c r="N1686" s="32"/>
      <c r="O1686" s="32"/>
      <c r="P1686" s="32"/>
      <c r="Q1686" s="32"/>
      <c r="R1686" s="32"/>
      <c r="S1686" s="32"/>
      <c r="T1686" s="32"/>
      <c r="U1686" s="32"/>
      <c r="V1686" s="32"/>
      <c r="W1686" s="32"/>
      <c r="X1686" s="32"/>
      <c r="Y1686" s="32"/>
      <c r="Z1686" s="32"/>
      <c r="AA1686" s="32"/>
      <c r="AB1686" s="32"/>
    </row>
    <row r="1687" spans="1:28" ht="13" x14ac:dyDescent="0.15">
      <c r="A1687" s="32"/>
      <c r="B1687" s="32"/>
      <c r="C1687" s="32"/>
      <c r="D1687" s="32"/>
      <c r="E1687" s="32"/>
      <c r="F1687" s="32"/>
      <c r="G1687" s="32"/>
      <c r="H1687" s="32"/>
      <c r="I1687" s="32"/>
      <c r="J1687" s="32"/>
      <c r="K1687" s="32"/>
      <c r="L1687" s="32"/>
      <c r="M1687" s="23"/>
      <c r="N1687" s="32"/>
      <c r="O1687" s="32"/>
      <c r="P1687" s="32"/>
      <c r="Q1687" s="32"/>
      <c r="R1687" s="32"/>
      <c r="S1687" s="32"/>
      <c r="T1687" s="32"/>
      <c r="U1687" s="32"/>
      <c r="V1687" s="32"/>
      <c r="W1687" s="32"/>
      <c r="X1687" s="32"/>
      <c r="Y1687" s="32"/>
      <c r="Z1687" s="32"/>
      <c r="AA1687" s="32"/>
      <c r="AB1687" s="32"/>
    </row>
    <row r="1688" spans="1:28" ht="13" x14ac:dyDescent="0.15">
      <c r="A1688" s="32"/>
      <c r="B1688" s="32"/>
      <c r="C1688" s="32"/>
      <c r="D1688" s="32"/>
      <c r="E1688" s="32"/>
      <c r="F1688" s="32"/>
      <c r="G1688" s="32"/>
      <c r="H1688" s="32"/>
      <c r="I1688" s="32"/>
      <c r="J1688" s="32"/>
      <c r="K1688" s="32"/>
      <c r="L1688" s="32"/>
      <c r="M1688" s="23"/>
      <c r="N1688" s="32"/>
      <c r="O1688" s="32"/>
      <c r="P1688" s="32"/>
      <c r="Q1688" s="32"/>
      <c r="R1688" s="32"/>
      <c r="S1688" s="32"/>
      <c r="T1688" s="32"/>
      <c r="U1688" s="32"/>
      <c r="V1688" s="32"/>
      <c r="W1688" s="32"/>
      <c r="X1688" s="32"/>
      <c r="Y1688" s="32"/>
      <c r="Z1688" s="32"/>
      <c r="AA1688" s="32"/>
      <c r="AB1688" s="32"/>
    </row>
    <row r="1689" spans="1:28" ht="13" x14ac:dyDescent="0.15">
      <c r="A1689" s="32"/>
      <c r="B1689" s="32"/>
      <c r="C1689" s="32"/>
      <c r="D1689" s="32"/>
      <c r="E1689" s="32"/>
      <c r="F1689" s="32"/>
      <c r="G1689" s="32"/>
      <c r="H1689" s="32"/>
      <c r="I1689" s="32"/>
      <c r="J1689" s="32"/>
      <c r="K1689" s="32"/>
      <c r="L1689" s="32"/>
      <c r="M1689" s="23"/>
      <c r="N1689" s="32"/>
      <c r="O1689" s="32"/>
      <c r="P1689" s="32"/>
      <c r="Q1689" s="32"/>
      <c r="R1689" s="32"/>
      <c r="S1689" s="32"/>
      <c r="T1689" s="32"/>
      <c r="U1689" s="32"/>
      <c r="V1689" s="32"/>
      <c r="W1689" s="32"/>
      <c r="X1689" s="32"/>
      <c r="Y1689" s="32"/>
      <c r="Z1689" s="32"/>
      <c r="AA1689" s="32"/>
      <c r="AB1689" s="32"/>
    </row>
    <row r="1690" spans="1:28" ht="13" x14ac:dyDescent="0.15">
      <c r="A1690" s="32"/>
      <c r="B1690" s="32"/>
      <c r="C1690" s="32"/>
      <c r="D1690" s="32"/>
      <c r="E1690" s="32"/>
      <c r="F1690" s="32"/>
      <c r="G1690" s="32"/>
      <c r="H1690" s="32"/>
      <c r="I1690" s="32"/>
      <c r="J1690" s="32"/>
      <c r="K1690" s="32"/>
      <c r="L1690" s="32"/>
      <c r="M1690" s="23"/>
      <c r="N1690" s="32"/>
      <c r="O1690" s="32"/>
      <c r="P1690" s="32"/>
      <c r="Q1690" s="32"/>
      <c r="R1690" s="32"/>
      <c r="S1690" s="32"/>
      <c r="T1690" s="32"/>
      <c r="U1690" s="32"/>
      <c r="V1690" s="32"/>
      <c r="W1690" s="32"/>
      <c r="X1690" s="32"/>
      <c r="Y1690" s="32"/>
      <c r="Z1690" s="32"/>
      <c r="AA1690" s="32"/>
      <c r="AB1690" s="32"/>
    </row>
    <row r="1691" spans="1:28" ht="13" x14ac:dyDescent="0.15">
      <c r="A1691" s="32"/>
      <c r="B1691" s="32"/>
      <c r="C1691" s="32"/>
      <c r="D1691" s="32"/>
      <c r="E1691" s="32"/>
      <c r="F1691" s="32"/>
      <c r="G1691" s="32"/>
      <c r="H1691" s="32"/>
      <c r="I1691" s="32"/>
      <c r="J1691" s="32"/>
      <c r="K1691" s="32"/>
      <c r="L1691" s="32"/>
      <c r="M1691" s="23"/>
      <c r="N1691" s="32"/>
      <c r="O1691" s="32"/>
      <c r="P1691" s="32"/>
      <c r="Q1691" s="32"/>
      <c r="R1691" s="32"/>
      <c r="S1691" s="32"/>
      <c r="T1691" s="32"/>
      <c r="U1691" s="32"/>
      <c r="V1691" s="32"/>
      <c r="W1691" s="32"/>
      <c r="X1691" s="32"/>
      <c r="Y1691" s="32"/>
      <c r="Z1691" s="32"/>
      <c r="AA1691" s="32"/>
      <c r="AB1691" s="32"/>
    </row>
    <row r="1692" spans="1:28" ht="13" x14ac:dyDescent="0.15">
      <c r="A1692" s="32"/>
      <c r="B1692" s="32"/>
      <c r="C1692" s="32"/>
      <c r="D1692" s="32"/>
      <c r="E1692" s="32"/>
      <c r="F1692" s="32"/>
      <c r="G1692" s="32"/>
      <c r="H1692" s="32"/>
      <c r="I1692" s="32"/>
      <c r="J1692" s="32"/>
      <c r="K1692" s="32"/>
      <c r="L1692" s="32"/>
      <c r="M1692" s="23"/>
      <c r="N1692" s="32"/>
      <c r="O1692" s="32"/>
      <c r="P1692" s="32"/>
      <c r="Q1692" s="32"/>
      <c r="R1692" s="32"/>
      <c r="S1692" s="32"/>
      <c r="T1692" s="32"/>
      <c r="U1692" s="32"/>
      <c r="V1692" s="32"/>
      <c r="W1692" s="32"/>
      <c r="X1692" s="32"/>
      <c r="Y1692" s="32"/>
      <c r="Z1692" s="32"/>
      <c r="AA1692" s="32"/>
      <c r="AB1692" s="32"/>
    </row>
    <row r="1693" spans="1:28" ht="13" x14ac:dyDescent="0.15">
      <c r="A1693" s="32"/>
      <c r="B1693" s="32"/>
      <c r="C1693" s="32"/>
      <c r="D1693" s="32"/>
      <c r="E1693" s="32"/>
      <c r="F1693" s="32"/>
      <c r="G1693" s="32"/>
      <c r="H1693" s="32"/>
      <c r="I1693" s="32"/>
      <c r="J1693" s="32"/>
      <c r="K1693" s="32"/>
      <c r="L1693" s="32"/>
      <c r="M1693" s="23"/>
      <c r="N1693" s="32"/>
      <c r="O1693" s="32"/>
      <c r="P1693" s="32"/>
      <c r="Q1693" s="32"/>
      <c r="R1693" s="32"/>
      <c r="S1693" s="32"/>
      <c r="T1693" s="32"/>
      <c r="U1693" s="32"/>
      <c r="V1693" s="32"/>
      <c r="W1693" s="32"/>
      <c r="X1693" s="32"/>
      <c r="Y1693" s="32"/>
      <c r="Z1693" s="32"/>
      <c r="AA1693" s="32"/>
      <c r="AB1693" s="32"/>
    </row>
    <row r="1694" spans="1:28" ht="13" x14ac:dyDescent="0.15">
      <c r="A1694" s="32"/>
      <c r="B1694" s="32"/>
      <c r="C1694" s="32"/>
      <c r="D1694" s="32"/>
      <c r="E1694" s="32"/>
      <c r="F1694" s="32"/>
      <c r="G1694" s="32"/>
      <c r="H1694" s="32"/>
      <c r="I1694" s="32"/>
      <c r="J1694" s="32"/>
      <c r="K1694" s="32"/>
      <c r="L1694" s="32"/>
      <c r="M1694" s="23"/>
      <c r="N1694" s="32"/>
      <c r="O1694" s="32"/>
      <c r="P1694" s="32"/>
      <c r="Q1694" s="32"/>
      <c r="R1694" s="32"/>
      <c r="S1694" s="32"/>
      <c r="T1694" s="32"/>
      <c r="U1694" s="32"/>
      <c r="V1694" s="32"/>
      <c r="W1694" s="32"/>
      <c r="X1694" s="32"/>
      <c r="Y1694" s="32"/>
      <c r="Z1694" s="32"/>
      <c r="AA1694" s="32"/>
      <c r="AB1694" s="32"/>
    </row>
    <row r="1695" spans="1:28" ht="13" x14ac:dyDescent="0.15">
      <c r="A1695" s="32"/>
      <c r="B1695" s="32"/>
      <c r="C1695" s="32"/>
      <c r="D1695" s="32"/>
      <c r="E1695" s="32"/>
      <c r="F1695" s="32"/>
      <c r="G1695" s="32"/>
      <c r="H1695" s="32"/>
      <c r="I1695" s="32"/>
      <c r="J1695" s="32"/>
      <c r="K1695" s="32"/>
      <c r="L1695" s="32"/>
      <c r="M1695" s="23"/>
      <c r="N1695" s="32"/>
      <c r="O1695" s="32"/>
      <c r="P1695" s="32"/>
      <c r="Q1695" s="32"/>
      <c r="R1695" s="32"/>
      <c r="S1695" s="32"/>
      <c r="T1695" s="32"/>
      <c r="U1695" s="32"/>
      <c r="V1695" s="32"/>
      <c r="W1695" s="32"/>
      <c r="X1695" s="32"/>
      <c r="Y1695" s="32"/>
      <c r="Z1695" s="32"/>
      <c r="AA1695" s="32"/>
      <c r="AB1695" s="32"/>
    </row>
    <row r="1696" spans="1:28" ht="13" x14ac:dyDescent="0.15">
      <c r="A1696" s="32"/>
      <c r="B1696" s="32"/>
      <c r="C1696" s="32"/>
      <c r="D1696" s="32"/>
      <c r="E1696" s="32"/>
      <c r="F1696" s="32"/>
      <c r="G1696" s="32"/>
      <c r="H1696" s="32"/>
      <c r="I1696" s="32"/>
      <c r="J1696" s="32"/>
      <c r="K1696" s="32"/>
      <c r="L1696" s="32"/>
      <c r="M1696" s="23"/>
      <c r="N1696" s="32"/>
      <c r="O1696" s="32"/>
      <c r="P1696" s="32"/>
      <c r="Q1696" s="32"/>
      <c r="R1696" s="32"/>
      <c r="S1696" s="32"/>
      <c r="T1696" s="32"/>
      <c r="U1696" s="32"/>
      <c r="V1696" s="32"/>
      <c r="W1696" s="32"/>
      <c r="X1696" s="32"/>
      <c r="Y1696" s="32"/>
      <c r="Z1696" s="32"/>
      <c r="AA1696" s="32"/>
      <c r="AB1696" s="32"/>
    </row>
    <row r="1697" spans="1:28" ht="13" x14ac:dyDescent="0.15">
      <c r="A1697" s="32"/>
      <c r="B1697" s="32"/>
      <c r="C1697" s="32"/>
      <c r="D1697" s="32"/>
      <c r="E1697" s="32"/>
      <c r="F1697" s="32"/>
      <c r="G1697" s="32"/>
      <c r="H1697" s="32"/>
      <c r="I1697" s="32"/>
      <c r="J1697" s="32"/>
      <c r="K1697" s="32"/>
      <c r="L1697" s="32"/>
      <c r="M1697" s="23"/>
      <c r="N1697" s="32"/>
      <c r="O1697" s="32"/>
      <c r="P1697" s="32"/>
      <c r="Q1697" s="32"/>
      <c r="R1697" s="32"/>
      <c r="S1697" s="32"/>
      <c r="T1697" s="32"/>
      <c r="U1697" s="32"/>
      <c r="V1697" s="32"/>
      <c r="W1697" s="32"/>
      <c r="X1697" s="32"/>
      <c r="Y1697" s="32"/>
      <c r="Z1697" s="32"/>
      <c r="AA1697" s="32"/>
      <c r="AB1697" s="32"/>
    </row>
    <row r="1698" spans="1:28" ht="13" x14ac:dyDescent="0.15">
      <c r="A1698" s="32"/>
      <c r="B1698" s="32"/>
      <c r="C1698" s="32"/>
      <c r="D1698" s="32"/>
      <c r="E1698" s="32"/>
      <c r="F1698" s="32"/>
      <c r="G1698" s="32"/>
      <c r="H1698" s="32"/>
      <c r="I1698" s="32"/>
      <c r="J1698" s="32"/>
      <c r="K1698" s="32"/>
      <c r="L1698" s="32"/>
      <c r="M1698" s="23"/>
      <c r="N1698" s="32"/>
      <c r="O1698" s="32"/>
      <c r="P1698" s="32"/>
      <c r="Q1698" s="32"/>
      <c r="R1698" s="32"/>
      <c r="S1698" s="32"/>
      <c r="T1698" s="32"/>
      <c r="U1698" s="32"/>
      <c r="V1698" s="32"/>
      <c r="W1698" s="32"/>
      <c r="X1698" s="32"/>
      <c r="Y1698" s="32"/>
      <c r="Z1698" s="32"/>
      <c r="AA1698" s="32"/>
      <c r="AB1698" s="32"/>
    </row>
    <row r="1699" spans="1:28" ht="13" x14ac:dyDescent="0.15">
      <c r="A1699" s="32"/>
      <c r="B1699" s="32"/>
      <c r="C1699" s="32"/>
      <c r="D1699" s="32"/>
      <c r="E1699" s="32"/>
      <c r="F1699" s="32"/>
      <c r="G1699" s="32"/>
      <c r="H1699" s="32"/>
      <c r="I1699" s="32"/>
      <c r="J1699" s="32"/>
      <c r="K1699" s="32"/>
      <c r="L1699" s="32"/>
      <c r="M1699" s="23"/>
      <c r="N1699" s="32"/>
      <c r="O1699" s="32"/>
      <c r="P1699" s="32"/>
      <c r="Q1699" s="32"/>
      <c r="R1699" s="32"/>
      <c r="S1699" s="32"/>
      <c r="T1699" s="32"/>
      <c r="U1699" s="32"/>
      <c r="V1699" s="32"/>
      <c r="W1699" s="32"/>
      <c r="X1699" s="32"/>
      <c r="Y1699" s="32"/>
      <c r="Z1699" s="32"/>
      <c r="AA1699" s="32"/>
      <c r="AB1699" s="32"/>
    </row>
    <row r="1700" spans="1:28" ht="13" x14ac:dyDescent="0.15">
      <c r="A1700" s="32"/>
      <c r="B1700" s="32"/>
      <c r="C1700" s="32"/>
      <c r="D1700" s="32"/>
      <c r="E1700" s="32"/>
      <c r="F1700" s="32"/>
      <c r="G1700" s="32"/>
      <c r="H1700" s="32"/>
      <c r="I1700" s="32"/>
      <c r="J1700" s="32"/>
      <c r="K1700" s="32"/>
      <c r="L1700" s="32"/>
      <c r="M1700" s="23"/>
      <c r="N1700" s="32"/>
      <c r="O1700" s="32"/>
      <c r="P1700" s="32"/>
      <c r="Q1700" s="32"/>
      <c r="R1700" s="32"/>
      <c r="S1700" s="32"/>
      <c r="T1700" s="32"/>
      <c r="U1700" s="32"/>
      <c r="V1700" s="32"/>
      <c r="W1700" s="32"/>
      <c r="X1700" s="32"/>
      <c r="Y1700" s="32"/>
      <c r="Z1700" s="32"/>
      <c r="AA1700" s="32"/>
      <c r="AB1700" s="32"/>
    </row>
    <row r="1701" spans="1:28" ht="13" x14ac:dyDescent="0.15">
      <c r="A1701" s="32"/>
      <c r="B1701" s="32"/>
      <c r="C1701" s="32"/>
      <c r="D1701" s="32"/>
      <c r="E1701" s="32"/>
      <c r="F1701" s="32"/>
      <c r="G1701" s="32"/>
      <c r="H1701" s="32"/>
      <c r="I1701" s="32"/>
      <c r="J1701" s="32"/>
      <c r="K1701" s="32"/>
      <c r="L1701" s="32"/>
      <c r="M1701" s="23"/>
      <c r="N1701" s="32"/>
      <c r="O1701" s="32"/>
      <c r="P1701" s="32"/>
      <c r="Q1701" s="32"/>
      <c r="R1701" s="32"/>
      <c r="S1701" s="32"/>
      <c r="T1701" s="32"/>
      <c r="U1701" s="32"/>
      <c r="V1701" s="32"/>
      <c r="W1701" s="32"/>
      <c r="X1701" s="32"/>
      <c r="Y1701" s="32"/>
      <c r="Z1701" s="32"/>
      <c r="AA1701" s="32"/>
      <c r="AB1701" s="32"/>
    </row>
    <row r="1702" spans="1:28" ht="13" x14ac:dyDescent="0.15">
      <c r="A1702" s="32"/>
      <c r="B1702" s="32"/>
      <c r="C1702" s="32"/>
      <c r="D1702" s="32"/>
      <c r="E1702" s="32"/>
      <c r="F1702" s="32"/>
      <c r="G1702" s="32"/>
      <c r="H1702" s="32"/>
      <c r="I1702" s="32"/>
      <c r="J1702" s="32"/>
      <c r="K1702" s="32"/>
      <c r="L1702" s="32"/>
      <c r="M1702" s="23"/>
      <c r="N1702" s="32"/>
      <c r="O1702" s="32"/>
      <c r="P1702" s="32"/>
      <c r="Q1702" s="32"/>
      <c r="R1702" s="32"/>
      <c r="S1702" s="32"/>
      <c r="T1702" s="32"/>
      <c r="U1702" s="32"/>
      <c r="V1702" s="32"/>
      <c r="W1702" s="32"/>
      <c r="X1702" s="32"/>
      <c r="Y1702" s="32"/>
      <c r="Z1702" s="32"/>
      <c r="AA1702" s="32"/>
      <c r="AB1702" s="32"/>
    </row>
    <row r="1703" spans="1:28" ht="13" x14ac:dyDescent="0.15">
      <c r="A1703" s="32"/>
      <c r="B1703" s="32"/>
      <c r="C1703" s="32"/>
      <c r="D1703" s="32"/>
      <c r="E1703" s="32"/>
      <c r="F1703" s="32"/>
      <c r="G1703" s="32"/>
      <c r="H1703" s="32"/>
      <c r="I1703" s="32"/>
      <c r="J1703" s="32"/>
      <c r="K1703" s="32"/>
      <c r="L1703" s="32"/>
      <c r="M1703" s="23"/>
      <c r="N1703" s="32"/>
      <c r="O1703" s="32"/>
      <c r="P1703" s="32"/>
      <c r="Q1703" s="32"/>
      <c r="R1703" s="32"/>
      <c r="S1703" s="32"/>
      <c r="T1703" s="32"/>
      <c r="U1703" s="32"/>
      <c r="V1703" s="32"/>
      <c r="W1703" s="32"/>
      <c r="X1703" s="32"/>
      <c r="Y1703" s="32"/>
      <c r="Z1703" s="32"/>
      <c r="AA1703" s="32"/>
      <c r="AB1703" s="32"/>
    </row>
    <row r="1704" spans="1:28" ht="13" x14ac:dyDescent="0.15">
      <c r="A1704" s="32"/>
      <c r="B1704" s="32"/>
      <c r="C1704" s="32"/>
      <c r="D1704" s="32"/>
      <c r="E1704" s="32"/>
      <c r="F1704" s="32"/>
      <c r="G1704" s="32"/>
      <c r="H1704" s="32"/>
      <c r="I1704" s="32"/>
      <c r="J1704" s="32"/>
      <c r="K1704" s="32"/>
      <c r="L1704" s="32"/>
      <c r="M1704" s="23"/>
      <c r="N1704" s="32"/>
      <c r="O1704" s="32"/>
      <c r="P1704" s="32"/>
      <c r="Q1704" s="32"/>
      <c r="R1704" s="32"/>
      <c r="S1704" s="32"/>
      <c r="T1704" s="32"/>
      <c r="U1704" s="32"/>
      <c r="V1704" s="32"/>
      <c r="W1704" s="32"/>
      <c r="X1704" s="32"/>
      <c r="Y1704" s="32"/>
      <c r="Z1704" s="32"/>
      <c r="AA1704" s="32"/>
      <c r="AB1704" s="32"/>
    </row>
    <row r="1705" spans="1:28" ht="13" x14ac:dyDescent="0.15">
      <c r="A1705" s="32"/>
      <c r="B1705" s="32"/>
      <c r="C1705" s="32"/>
      <c r="D1705" s="32"/>
      <c r="E1705" s="32"/>
      <c r="F1705" s="32"/>
      <c r="G1705" s="32"/>
      <c r="H1705" s="32"/>
      <c r="I1705" s="32"/>
      <c r="J1705" s="32"/>
      <c r="K1705" s="32"/>
      <c r="L1705" s="32"/>
      <c r="M1705" s="23"/>
      <c r="N1705" s="32"/>
      <c r="O1705" s="32"/>
      <c r="P1705" s="32"/>
      <c r="Q1705" s="32"/>
      <c r="R1705" s="32"/>
      <c r="S1705" s="32"/>
      <c r="T1705" s="32"/>
      <c r="U1705" s="32"/>
      <c r="V1705" s="32"/>
      <c r="W1705" s="32"/>
      <c r="X1705" s="32"/>
      <c r="Y1705" s="32"/>
      <c r="Z1705" s="32"/>
      <c r="AA1705" s="32"/>
      <c r="AB1705" s="32"/>
    </row>
    <row r="1706" spans="1:28" ht="13" x14ac:dyDescent="0.15">
      <c r="A1706" s="32"/>
      <c r="B1706" s="32"/>
      <c r="C1706" s="32"/>
      <c r="D1706" s="32"/>
      <c r="E1706" s="32"/>
      <c r="F1706" s="32"/>
      <c r="G1706" s="32"/>
      <c r="H1706" s="32"/>
      <c r="I1706" s="32"/>
      <c r="J1706" s="32"/>
      <c r="K1706" s="32"/>
      <c r="L1706" s="32"/>
      <c r="M1706" s="23"/>
      <c r="N1706" s="32"/>
      <c r="O1706" s="32"/>
      <c r="P1706" s="32"/>
      <c r="Q1706" s="32"/>
      <c r="R1706" s="32"/>
      <c r="S1706" s="32"/>
      <c r="T1706" s="32"/>
      <c r="U1706" s="32"/>
      <c r="V1706" s="32"/>
      <c r="W1706" s="32"/>
      <c r="X1706" s="32"/>
      <c r="Y1706" s="32"/>
      <c r="Z1706" s="32"/>
      <c r="AA1706" s="32"/>
      <c r="AB1706" s="32"/>
    </row>
    <row r="1707" spans="1:28" ht="13" x14ac:dyDescent="0.15">
      <c r="A1707" s="32"/>
      <c r="B1707" s="32"/>
      <c r="C1707" s="32"/>
      <c r="D1707" s="32"/>
      <c r="E1707" s="32"/>
      <c r="F1707" s="32"/>
      <c r="G1707" s="32"/>
      <c r="H1707" s="32"/>
      <c r="I1707" s="32"/>
      <c r="J1707" s="32"/>
      <c r="K1707" s="32"/>
      <c r="L1707" s="32"/>
      <c r="M1707" s="23"/>
      <c r="N1707" s="32"/>
      <c r="O1707" s="32"/>
      <c r="P1707" s="32"/>
      <c r="Q1707" s="32"/>
      <c r="R1707" s="32"/>
      <c r="S1707" s="32"/>
      <c r="T1707" s="32"/>
      <c r="U1707" s="32"/>
      <c r="V1707" s="32"/>
      <c r="W1707" s="32"/>
      <c r="X1707" s="32"/>
      <c r="Y1707" s="32"/>
      <c r="Z1707" s="32"/>
      <c r="AA1707" s="32"/>
      <c r="AB1707" s="32"/>
    </row>
    <row r="1708" spans="1:28" ht="13" x14ac:dyDescent="0.15">
      <c r="A1708" s="32"/>
      <c r="B1708" s="32"/>
      <c r="C1708" s="32"/>
      <c r="D1708" s="32"/>
      <c r="E1708" s="32"/>
      <c r="F1708" s="32"/>
      <c r="G1708" s="32"/>
      <c r="H1708" s="32"/>
      <c r="I1708" s="32"/>
      <c r="J1708" s="32"/>
      <c r="K1708" s="32"/>
      <c r="L1708" s="32"/>
      <c r="M1708" s="23"/>
      <c r="N1708" s="32"/>
      <c r="O1708" s="32"/>
      <c r="P1708" s="32"/>
      <c r="Q1708" s="32"/>
      <c r="R1708" s="32"/>
      <c r="S1708" s="32"/>
      <c r="T1708" s="32"/>
      <c r="U1708" s="32"/>
      <c r="V1708" s="32"/>
      <c r="W1708" s="32"/>
      <c r="X1708" s="32"/>
      <c r="Y1708" s="32"/>
      <c r="Z1708" s="32"/>
      <c r="AA1708" s="32"/>
      <c r="AB1708" s="32"/>
    </row>
    <row r="1709" spans="1:28" ht="13" x14ac:dyDescent="0.15">
      <c r="A1709" s="32"/>
      <c r="B1709" s="32"/>
      <c r="C1709" s="32"/>
      <c r="D1709" s="32"/>
      <c r="E1709" s="32"/>
      <c r="F1709" s="32"/>
      <c r="G1709" s="32"/>
      <c r="H1709" s="32"/>
      <c r="I1709" s="32"/>
      <c r="J1709" s="32"/>
      <c r="K1709" s="32"/>
      <c r="L1709" s="32"/>
      <c r="M1709" s="23"/>
      <c r="N1709" s="32"/>
      <c r="O1709" s="32"/>
      <c r="P1709" s="32"/>
      <c r="Q1709" s="32"/>
      <c r="R1709" s="32"/>
      <c r="S1709" s="32"/>
      <c r="T1709" s="32"/>
      <c r="U1709" s="32"/>
      <c r="V1709" s="32"/>
      <c r="W1709" s="32"/>
      <c r="X1709" s="32"/>
      <c r="Y1709" s="32"/>
      <c r="Z1709" s="32"/>
      <c r="AA1709" s="32"/>
      <c r="AB1709" s="32"/>
    </row>
    <row r="1710" spans="1:28" ht="13" x14ac:dyDescent="0.15">
      <c r="A1710" s="32"/>
      <c r="B1710" s="32"/>
      <c r="C1710" s="32"/>
      <c r="D1710" s="32"/>
      <c r="E1710" s="32"/>
      <c r="F1710" s="32"/>
      <c r="G1710" s="32"/>
      <c r="H1710" s="32"/>
      <c r="I1710" s="32"/>
      <c r="J1710" s="32"/>
      <c r="K1710" s="32"/>
      <c r="L1710" s="32"/>
      <c r="M1710" s="23"/>
      <c r="N1710" s="32"/>
      <c r="O1710" s="32"/>
      <c r="P1710" s="32"/>
      <c r="Q1710" s="32"/>
      <c r="R1710" s="32"/>
      <c r="S1710" s="32"/>
      <c r="T1710" s="32"/>
      <c r="U1710" s="32"/>
      <c r="V1710" s="32"/>
      <c r="W1710" s="32"/>
      <c r="X1710" s="32"/>
      <c r="Y1710" s="32"/>
      <c r="Z1710" s="32"/>
      <c r="AA1710" s="32"/>
      <c r="AB1710" s="32"/>
    </row>
    <row r="1711" spans="1:28" ht="13" x14ac:dyDescent="0.15">
      <c r="A1711" s="32"/>
      <c r="B1711" s="32"/>
      <c r="C1711" s="32"/>
      <c r="D1711" s="32"/>
      <c r="E1711" s="32"/>
      <c r="F1711" s="32"/>
      <c r="G1711" s="32"/>
      <c r="H1711" s="32"/>
      <c r="I1711" s="32"/>
      <c r="J1711" s="32"/>
      <c r="K1711" s="32"/>
      <c r="L1711" s="32"/>
      <c r="M1711" s="23"/>
      <c r="N1711" s="32"/>
      <c r="O1711" s="32"/>
      <c r="P1711" s="32"/>
      <c r="Q1711" s="32"/>
      <c r="R1711" s="32"/>
      <c r="S1711" s="32"/>
      <c r="T1711" s="32"/>
      <c r="U1711" s="32"/>
      <c r="V1711" s="32"/>
      <c r="W1711" s="32"/>
      <c r="X1711" s="32"/>
      <c r="Y1711" s="32"/>
      <c r="Z1711" s="32"/>
      <c r="AA1711" s="32"/>
      <c r="AB1711" s="32"/>
    </row>
    <row r="1712" spans="1:28" ht="13" x14ac:dyDescent="0.15">
      <c r="A1712" s="32"/>
      <c r="B1712" s="32"/>
      <c r="C1712" s="32"/>
      <c r="D1712" s="32"/>
      <c r="E1712" s="32"/>
      <c r="F1712" s="32"/>
      <c r="G1712" s="32"/>
      <c r="H1712" s="32"/>
      <c r="I1712" s="32"/>
      <c r="J1712" s="32"/>
      <c r="K1712" s="32"/>
      <c r="L1712" s="32"/>
      <c r="M1712" s="23"/>
      <c r="N1712" s="32"/>
      <c r="O1712" s="32"/>
      <c r="P1712" s="32"/>
      <c r="Q1712" s="32"/>
      <c r="R1712" s="32"/>
      <c r="S1712" s="32"/>
      <c r="T1712" s="32"/>
      <c r="U1712" s="32"/>
      <c r="V1712" s="32"/>
      <c r="W1712" s="32"/>
      <c r="X1712" s="32"/>
      <c r="Y1712" s="32"/>
      <c r="Z1712" s="32"/>
      <c r="AA1712" s="32"/>
      <c r="AB1712" s="32"/>
    </row>
    <row r="1713" spans="1:28" ht="13" x14ac:dyDescent="0.15">
      <c r="A1713" s="32"/>
      <c r="B1713" s="32"/>
      <c r="C1713" s="32"/>
      <c r="D1713" s="32"/>
      <c r="E1713" s="32"/>
      <c r="F1713" s="32"/>
      <c r="G1713" s="32"/>
      <c r="H1713" s="32"/>
      <c r="I1713" s="32"/>
      <c r="J1713" s="32"/>
      <c r="K1713" s="32"/>
      <c r="L1713" s="32"/>
      <c r="M1713" s="23"/>
      <c r="N1713" s="32"/>
      <c r="O1713" s="32"/>
      <c r="P1713" s="32"/>
      <c r="Q1713" s="32"/>
      <c r="R1713" s="32"/>
      <c r="S1713" s="32"/>
      <c r="T1713" s="32"/>
      <c r="U1713" s="32"/>
      <c r="V1713" s="32"/>
      <c r="W1713" s="32"/>
      <c r="X1713" s="32"/>
      <c r="Y1713" s="32"/>
      <c r="Z1713" s="32"/>
      <c r="AA1713" s="32"/>
      <c r="AB1713" s="32"/>
    </row>
    <row r="1714" spans="1:28" ht="13" x14ac:dyDescent="0.15">
      <c r="A1714" s="32"/>
      <c r="B1714" s="32"/>
      <c r="C1714" s="32"/>
      <c r="D1714" s="32"/>
      <c r="E1714" s="32"/>
      <c r="F1714" s="32"/>
      <c r="G1714" s="32"/>
      <c r="H1714" s="32"/>
      <c r="I1714" s="32"/>
      <c r="J1714" s="32"/>
      <c r="K1714" s="32"/>
      <c r="L1714" s="32"/>
      <c r="M1714" s="23"/>
      <c r="N1714" s="32"/>
      <c r="O1714" s="32"/>
      <c r="P1714" s="32"/>
      <c r="Q1714" s="32"/>
      <c r="R1714" s="32"/>
      <c r="S1714" s="32"/>
      <c r="T1714" s="32"/>
      <c r="U1714" s="32"/>
      <c r="V1714" s="32"/>
      <c r="W1714" s="32"/>
      <c r="X1714" s="32"/>
      <c r="Y1714" s="32"/>
      <c r="Z1714" s="32"/>
      <c r="AA1714" s="32"/>
      <c r="AB1714" s="32"/>
    </row>
    <row r="1715" spans="1:28" ht="13" x14ac:dyDescent="0.15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23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</row>
    <row r="1716" spans="1:28" ht="13" x14ac:dyDescent="0.15">
      <c r="A1716" s="32"/>
      <c r="B1716" s="32"/>
      <c r="C1716" s="32"/>
      <c r="D1716" s="32"/>
      <c r="E1716" s="32"/>
      <c r="F1716" s="32"/>
      <c r="G1716" s="32"/>
      <c r="H1716" s="32"/>
      <c r="I1716" s="32"/>
      <c r="J1716" s="32"/>
      <c r="K1716" s="32"/>
      <c r="L1716" s="32"/>
      <c r="M1716" s="23"/>
      <c r="N1716" s="32"/>
      <c r="O1716" s="32"/>
      <c r="P1716" s="32"/>
      <c r="Q1716" s="32"/>
      <c r="R1716" s="32"/>
      <c r="S1716" s="32"/>
      <c r="T1716" s="32"/>
      <c r="U1716" s="32"/>
      <c r="V1716" s="32"/>
      <c r="W1716" s="32"/>
      <c r="X1716" s="32"/>
      <c r="Y1716" s="32"/>
      <c r="Z1716" s="32"/>
      <c r="AA1716" s="32"/>
      <c r="AB1716" s="32"/>
    </row>
    <row r="1717" spans="1:28" ht="13" x14ac:dyDescent="0.15">
      <c r="A1717" s="32"/>
      <c r="B1717" s="32"/>
      <c r="C1717" s="32"/>
      <c r="D1717" s="32"/>
      <c r="E1717" s="32"/>
      <c r="F1717" s="32"/>
      <c r="G1717" s="32"/>
      <c r="H1717" s="32"/>
      <c r="I1717" s="32"/>
      <c r="J1717" s="32"/>
      <c r="K1717" s="32"/>
      <c r="L1717" s="32"/>
      <c r="M1717" s="23"/>
      <c r="N1717" s="32"/>
      <c r="O1717" s="32"/>
      <c r="P1717" s="32"/>
      <c r="Q1717" s="32"/>
      <c r="R1717" s="32"/>
      <c r="S1717" s="32"/>
      <c r="T1717" s="32"/>
      <c r="U1717" s="32"/>
      <c r="V1717" s="32"/>
      <c r="W1717" s="32"/>
      <c r="X1717" s="32"/>
      <c r="Y1717" s="32"/>
      <c r="Z1717" s="32"/>
      <c r="AA1717" s="32"/>
      <c r="AB1717" s="32"/>
    </row>
    <row r="1718" spans="1:28" ht="13" x14ac:dyDescent="0.15">
      <c r="A1718" s="32"/>
      <c r="B1718" s="32"/>
      <c r="C1718" s="32"/>
      <c r="D1718" s="32"/>
      <c r="E1718" s="32"/>
      <c r="F1718" s="32"/>
      <c r="G1718" s="32"/>
      <c r="H1718" s="32"/>
      <c r="I1718" s="32"/>
      <c r="J1718" s="32"/>
      <c r="K1718" s="32"/>
      <c r="L1718" s="32"/>
      <c r="M1718" s="23"/>
      <c r="N1718" s="32"/>
      <c r="O1718" s="32"/>
      <c r="P1718" s="32"/>
      <c r="Q1718" s="32"/>
      <c r="R1718" s="32"/>
      <c r="S1718" s="32"/>
      <c r="T1718" s="32"/>
      <c r="U1718" s="32"/>
      <c r="V1718" s="32"/>
      <c r="W1718" s="32"/>
      <c r="X1718" s="32"/>
      <c r="Y1718" s="32"/>
      <c r="Z1718" s="32"/>
      <c r="AA1718" s="32"/>
      <c r="AB1718" s="32"/>
    </row>
    <row r="1719" spans="1:28" ht="13" x14ac:dyDescent="0.15">
      <c r="A1719" s="32"/>
      <c r="B1719" s="32"/>
      <c r="C1719" s="32"/>
      <c r="D1719" s="32"/>
      <c r="E1719" s="32"/>
      <c r="F1719" s="32"/>
      <c r="G1719" s="32"/>
      <c r="H1719" s="32"/>
      <c r="I1719" s="32"/>
      <c r="J1719" s="32"/>
      <c r="K1719" s="32"/>
      <c r="L1719" s="32"/>
      <c r="M1719" s="23"/>
      <c r="N1719" s="32"/>
      <c r="O1719" s="32"/>
      <c r="P1719" s="32"/>
      <c r="Q1719" s="32"/>
      <c r="R1719" s="32"/>
      <c r="S1719" s="32"/>
      <c r="T1719" s="32"/>
      <c r="U1719" s="32"/>
      <c r="V1719" s="32"/>
      <c r="W1719" s="32"/>
      <c r="X1719" s="32"/>
      <c r="Y1719" s="32"/>
      <c r="Z1719" s="32"/>
      <c r="AA1719" s="32"/>
      <c r="AB1719" s="32"/>
    </row>
    <row r="1720" spans="1:28" ht="13" x14ac:dyDescent="0.15">
      <c r="A1720" s="32"/>
      <c r="B1720" s="32"/>
      <c r="C1720" s="32"/>
      <c r="D1720" s="32"/>
      <c r="E1720" s="32"/>
      <c r="F1720" s="32"/>
      <c r="G1720" s="32"/>
      <c r="H1720" s="32"/>
      <c r="I1720" s="32"/>
      <c r="J1720" s="32"/>
      <c r="K1720" s="32"/>
      <c r="L1720" s="32"/>
      <c r="M1720" s="23"/>
      <c r="N1720" s="32"/>
      <c r="O1720" s="32"/>
      <c r="P1720" s="32"/>
      <c r="Q1720" s="32"/>
      <c r="R1720" s="32"/>
      <c r="S1720" s="32"/>
      <c r="T1720" s="32"/>
      <c r="U1720" s="32"/>
      <c r="V1720" s="32"/>
      <c r="W1720" s="32"/>
      <c r="X1720" s="32"/>
      <c r="Y1720" s="32"/>
      <c r="Z1720" s="32"/>
      <c r="AA1720" s="32"/>
      <c r="AB1720" s="32"/>
    </row>
    <row r="1721" spans="1:28" ht="13" x14ac:dyDescent="0.15">
      <c r="A1721" s="32"/>
      <c r="B1721" s="32"/>
      <c r="C1721" s="32"/>
      <c r="D1721" s="32"/>
      <c r="E1721" s="32"/>
      <c r="F1721" s="32"/>
      <c r="G1721" s="32"/>
      <c r="H1721" s="32"/>
      <c r="I1721" s="32"/>
      <c r="J1721" s="32"/>
      <c r="K1721" s="32"/>
      <c r="L1721" s="32"/>
      <c r="M1721" s="23"/>
      <c r="N1721" s="32"/>
      <c r="O1721" s="32"/>
      <c r="P1721" s="32"/>
      <c r="Q1721" s="32"/>
      <c r="R1721" s="32"/>
      <c r="S1721" s="32"/>
      <c r="T1721" s="32"/>
      <c r="U1721" s="32"/>
      <c r="V1721" s="32"/>
      <c r="W1721" s="32"/>
      <c r="X1721" s="32"/>
      <c r="Y1721" s="32"/>
      <c r="Z1721" s="32"/>
      <c r="AA1721" s="32"/>
      <c r="AB1721" s="32"/>
    </row>
    <row r="1722" spans="1:28" ht="13" x14ac:dyDescent="0.15">
      <c r="A1722" s="32"/>
      <c r="B1722" s="32"/>
      <c r="C1722" s="32"/>
      <c r="D1722" s="32"/>
      <c r="E1722" s="32"/>
      <c r="F1722" s="32"/>
      <c r="G1722" s="32"/>
      <c r="H1722" s="32"/>
      <c r="I1722" s="32"/>
      <c r="J1722" s="32"/>
      <c r="K1722" s="32"/>
      <c r="L1722" s="32"/>
      <c r="M1722" s="23"/>
      <c r="N1722" s="32"/>
      <c r="O1722" s="32"/>
      <c r="P1722" s="32"/>
      <c r="Q1722" s="32"/>
      <c r="R1722" s="32"/>
      <c r="S1722" s="32"/>
      <c r="T1722" s="32"/>
      <c r="U1722" s="32"/>
      <c r="V1722" s="32"/>
      <c r="W1722" s="32"/>
      <c r="X1722" s="32"/>
      <c r="Y1722" s="32"/>
      <c r="Z1722" s="32"/>
      <c r="AA1722" s="32"/>
      <c r="AB1722" s="32"/>
    </row>
    <row r="1723" spans="1:28" ht="13" x14ac:dyDescent="0.15">
      <c r="A1723" s="32"/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  <c r="M1723" s="23"/>
      <c r="N1723" s="32"/>
      <c r="O1723" s="32"/>
      <c r="P1723" s="32"/>
      <c r="Q1723" s="32"/>
      <c r="R1723" s="32"/>
      <c r="S1723" s="32"/>
      <c r="T1723" s="32"/>
      <c r="U1723" s="32"/>
      <c r="V1723" s="32"/>
      <c r="W1723" s="32"/>
      <c r="X1723" s="32"/>
      <c r="Y1723" s="32"/>
      <c r="Z1723" s="32"/>
      <c r="AA1723" s="32"/>
      <c r="AB1723" s="32"/>
    </row>
    <row r="1724" spans="1:28" ht="13" x14ac:dyDescent="0.15">
      <c r="A1724" s="32"/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  <c r="M1724" s="23"/>
      <c r="N1724" s="32"/>
      <c r="O1724" s="32"/>
      <c r="P1724" s="32"/>
      <c r="Q1724" s="32"/>
      <c r="R1724" s="32"/>
      <c r="S1724" s="32"/>
      <c r="T1724" s="32"/>
      <c r="U1724" s="32"/>
      <c r="V1724" s="32"/>
      <c r="W1724" s="32"/>
      <c r="X1724" s="32"/>
      <c r="Y1724" s="32"/>
      <c r="Z1724" s="32"/>
      <c r="AA1724" s="32"/>
      <c r="AB1724" s="32"/>
    </row>
    <row r="1725" spans="1:28" ht="13" x14ac:dyDescent="0.15">
      <c r="A1725" s="32"/>
      <c r="B1725" s="32"/>
      <c r="C1725" s="32"/>
      <c r="D1725" s="32"/>
      <c r="E1725" s="32"/>
      <c r="F1725" s="32"/>
      <c r="G1725" s="32"/>
      <c r="H1725" s="32"/>
      <c r="I1725" s="32"/>
      <c r="J1725" s="32"/>
      <c r="K1725" s="32"/>
      <c r="L1725" s="32"/>
      <c r="M1725" s="23"/>
      <c r="N1725" s="32"/>
      <c r="O1725" s="32"/>
      <c r="P1725" s="32"/>
      <c r="Q1725" s="32"/>
      <c r="R1725" s="32"/>
      <c r="S1725" s="32"/>
      <c r="T1725" s="32"/>
      <c r="U1725" s="32"/>
      <c r="V1725" s="32"/>
      <c r="W1725" s="32"/>
      <c r="X1725" s="32"/>
      <c r="Y1725" s="32"/>
      <c r="Z1725" s="32"/>
      <c r="AA1725" s="32"/>
      <c r="AB1725" s="32"/>
    </row>
    <row r="1726" spans="1:28" ht="13" x14ac:dyDescent="0.15">
      <c r="A1726" s="32"/>
      <c r="B1726" s="32"/>
      <c r="C1726" s="32"/>
      <c r="D1726" s="32"/>
      <c r="E1726" s="32"/>
      <c r="F1726" s="32"/>
      <c r="G1726" s="32"/>
      <c r="H1726" s="32"/>
      <c r="I1726" s="32"/>
      <c r="J1726" s="32"/>
      <c r="K1726" s="32"/>
      <c r="L1726" s="32"/>
      <c r="M1726" s="23"/>
      <c r="N1726" s="32"/>
      <c r="O1726" s="32"/>
      <c r="P1726" s="32"/>
      <c r="Q1726" s="32"/>
      <c r="R1726" s="32"/>
      <c r="S1726" s="32"/>
      <c r="T1726" s="32"/>
      <c r="U1726" s="32"/>
      <c r="V1726" s="32"/>
      <c r="W1726" s="32"/>
      <c r="X1726" s="32"/>
      <c r="Y1726" s="32"/>
      <c r="Z1726" s="32"/>
      <c r="AA1726" s="32"/>
      <c r="AB1726" s="32"/>
    </row>
    <row r="1727" spans="1:28" ht="13" x14ac:dyDescent="0.15">
      <c r="A1727" s="32"/>
      <c r="B1727" s="32"/>
      <c r="C1727" s="32"/>
      <c r="D1727" s="32"/>
      <c r="E1727" s="32"/>
      <c r="F1727" s="32"/>
      <c r="G1727" s="32"/>
      <c r="H1727" s="32"/>
      <c r="I1727" s="32"/>
      <c r="J1727" s="32"/>
      <c r="K1727" s="32"/>
      <c r="L1727" s="32"/>
      <c r="M1727" s="23"/>
      <c r="N1727" s="32"/>
      <c r="O1727" s="32"/>
      <c r="P1727" s="32"/>
      <c r="Q1727" s="32"/>
      <c r="R1727" s="32"/>
      <c r="S1727" s="32"/>
      <c r="T1727" s="32"/>
      <c r="U1727" s="32"/>
      <c r="V1727" s="32"/>
      <c r="W1727" s="32"/>
      <c r="X1727" s="32"/>
      <c r="Y1727" s="32"/>
      <c r="Z1727" s="32"/>
      <c r="AA1727" s="32"/>
      <c r="AB1727" s="32"/>
    </row>
    <row r="1728" spans="1:28" ht="13" x14ac:dyDescent="0.15">
      <c r="A1728" s="32"/>
      <c r="B1728" s="32"/>
      <c r="C1728" s="32"/>
      <c r="D1728" s="32"/>
      <c r="E1728" s="32"/>
      <c r="F1728" s="32"/>
      <c r="G1728" s="32"/>
      <c r="H1728" s="32"/>
      <c r="I1728" s="32"/>
      <c r="J1728" s="32"/>
      <c r="K1728" s="32"/>
      <c r="L1728" s="32"/>
      <c r="M1728" s="23"/>
      <c r="N1728" s="32"/>
      <c r="O1728" s="32"/>
      <c r="P1728" s="32"/>
      <c r="Q1728" s="32"/>
      <c r="R1728" s="32"/>
      <c r="S1728" s="32"/>
      <c r="T1728" s="32"/>
      <c r="U1728" s="32"/>
      <c r="V1728" s="32"/>
      <c r="W1728" s="32"/>
      <c r="X1728" s="32"/>
      <c r="Y1728" s="32"/>
      <c r="Z1728" s="32"/>
      <c r="AA1728" s="32"/>
      <c r="AB1728" s="32"/>
    </row>
    <row r="1729" spans="1:28" ht="13" x14ac:dyDescent="0.15">
      <c r="A1729" s="32"/>
      <c r="B1729" s="32"/>
      <c r="C1729" s="32"/>
      <c r="D1729" s="32"/>
      <c r="E1729" s="32"/>
      <c r="F1729" s="32"/>
      <c r="G1729" s="32"/>
      <c r="H1729" s="32"/>
      <c r="I1729" s="32"/>
      <c r="J1729" s="32"/>
      <c r="K1729" s="32"/>
      <c r="L1729" s="32"/>
      <c r="M1729" s="23"/>
      <c r="N1729" s="32"/>
      <c r="O1729" s="32"/>
      <c r="P1729" s="32"/>
      <c r="Q1729" s="32"/>
      <c r="R1729" s="32"/>
      <c r="S1729" s="32"/>
      <c r="T1729" s="32"/>
      <c r="U1729" s="32"/>
      <c r="V1729" s="32"/>
      <c r="W1729" s="32"/>
      <c r="X1729" s="32"/>
      <c r="Y1729" s="32"/>
      <c r="Z1729" s="32"/>
      <c r="AA1729" s="32"/>
      <c r="AB1729" s="32"/>
    </row>
    <row r="1730" spans="1:28" ht="13" x14ac:dyDescent="0.15">
      <c r="A1730" s="32"/>
      <c r="B1730" s="32"/>
      <c r="C1730" s="32"/>
      <c r="D1730" s="32"/>
      <c r="E1730" s="32"/>
      <c r="F1730" s="32"/>
      <c r="G1730" s="32"/>
      <c r="H1730" s="32"/>
      <c r="I1730" s="32"/>
      <c r="J1730" s="32"/>
      <c r="K1730" s="32"/>
      <c r="L1730" s="32"/>
      <c r="M1730" s="23"/>
      <c r="N1730" s="32"/>
      <c r="O1730" s="32"/>
      <c r="P1730" s="32"/>
      <c r="Q1730" s="32"/>
      <c r="R1730" s="32"/>
      <c r="S1730" s="32"/>
      <c r="T1730" s="32"/>
      <c r="U1730" s="32"/>
      <c r="V1730" s="32"/>
      <c r="W1730" s="32"/>
      <c r="X1730" s="32"/>
      <c r="Y1730" s="32"/>
      <c r="Z1730" s="32"/>
      <c r="AA1730" s="32"/>
      <c r="AB1730" s="32"/>
    </row>
    <row r="1731" spans="1:28" ht="13" x14ac:dyDescent="0.15">
      <c r="A1731" s="32"/>
      <c r="B1731" s="32"/>
      <c r="C1731" s="32"/>
      <c r="D1731" s="32"/>
      <c r="E1731" s="32"/>
      <c r="F1731" s="32"/>
      <c r="G1731" s="32"/>
      <c r="H1731" s="32"/>
      <c r="I1731" s="32"/>
      <c r="J1731" s="32"/>
      <c r="K1731" s="32"/>
      <c r="L1731" s="32"/>
      <c r="M1731" s="23"/>
      <c r="N1731" s="32"/>
      <c r="O1731" s="32"/>
      <c r="P1731" s="32"/>
      <c r="Q1731" s="32"/>
      <c r="R1731" s="32"/>
      <c r="S1731" s="32"/>
      <c r="T1731" s="32"/>
      <c r="U1731" s="32"/>
      <c r="V1731" s="32"/>
      <c r="W1731" s="32"/>
      <c r="X1731" s="32"/>
      <c r="Y1731" s="32"/>
      <c r="Z1731" s="32"/>
      <c r="AA1731" s="32"/>
      <c r="AB1731" s="32"/>
    </row>
    <row r="1732" spans="1:28" ht="13" x14ac:dyDescent="0.15">
      <c r="A1732" s="32"/>
      <c r="B1732" s="32"/>
      <c r="C1732" s="32"/>
      <c r="D1732" s="32"/>
      <c r="E1732" s="32"/>
      <c r="F1732" s="32"/>
      <c r="G1732" s="32"/>
      <c r="H1732" s="32"/>
      <c r="I1732" s="32"/>
      <c r="J1732" s="32"/>
      <c r="K1732" s="32"/>
      <c r="L1732" s="32"/>
      <c r="M1732" s="23"/>
      <c r="N1732" s="32"/>
      <c r="O1732" s="32"/>
      <c r="P1732" s="32"/>
      <c r="Q1732" s="32"/>
      <c r="R1732" s="32"/>
      <c r="S1732" s="32"/>
      <c r="T1732" s="32"/>
      <c r="U1732" s="32"/>
      <c r="V1732" s="32"/>
      <c r="W1732" s="32"/>
      <c r="X1732" s="32"/>
      <c r="Y1732" s="32"/>
      <c r="Z1732" s="32"/>
      <c r="AA1732" s="32"/>
      <c r="AB1732" s="32"/>
    </row>
    <row r="1733" spans="1:28" ht="13" x14ac:dyDescent="0.15">
      <c r="A1733" s="32"/>
      <c r="B1733" s="32"/>
      <c r="C1733" s="32"/>
      <c r="D1733" s="32"/>
      <c r="E1733" s="32"/>
      <c r="F1733" s="32"/>
      <c r="G1733" s="32"/>
      <c r="H1733" s="32"/>
      <c r="I1733" s="32"/>
      <c r="J1733" s="32"/>
      <c r="K1733" s="32"/>
      <c r="L1733" s="32"/>
      <c r="M1733" s="23"/>
      <c r="N1733" s="32"/>
      <c r="O1733" s="32"/>
      <c r="P1733" s="32"/>
      <c r="Q1733" s="32"/>
      <c r="R1733" s="32"/>
      <c r="S1733" s="32"/>
      <c r="T1733" s="32"/>
      <c r="U1733" s="32"/>
      <c r="V1733" s="32"/>
      <c r="W1733" s="32"/>
      <c r="X1733" s="32"/>
      <c r="Y1733" s="32"/>
      <c r="Z1733" s="32"/>
      <c r="AA1733" s="32"/>
      <c r="AB1733" s="32"/>
    </row>
    <row r="1734" spans="1:28" ht="13" x14ac:dyDescent="0.15">
      <c r="A1734" s="32"/>
      <c r="B1734" s="32"/>
      <c r="C1734" s="32"/>
      <c r="D1734" s="32"/>
      <c r="E1734" s="32"/>
      <c r="F1734" s="32"/>
      <c r="G1734" s="32"/>
      <c r="H1734" s="32"/>
      <c r="I1734" s="32"/>
      <c r="J1734" s="32"/>
      <c r="K1734" s="32"/>
      <c r="L1734" s="32"/>
      <c r="M1734" s="23"/>
      <c r="N1734" s="32"/>
      <c r="O1734" s="32"/>
      <c r="P1734" s="32"/>
      <c r="Q1734" s="32"/>
      <c r="R1734" s="32"/>
      <c r="S1734" s="32"/>
      <c r="T1734" s="32"/>
      <c r="U1734" s="32"/>
      <c r="V1734" s="32"/>
      <c r="W1734" s="32"/>
      <c r="X1734" s="32"/>
      <c r="Y1734" s="32"/>
      <c r="Z1734" s="32"/>
      <c r="AA1734" s="32"/>
      <c r="AB1734" s="32"/>
    </row>
    <row r="1735" spans="1:28" ht="13" x14ac:dyDescent="0.15">
      <c r="A1735" s="32"/>
      <c r="B1735" s="32"/>
      <c r="C1735" s="32"/>
      <c r="D1735" s="32"/>
      <c r="E1735" s="32"/>
      <c r="F1735" s="32"/>
      <c r="G1735" s="32"/>
      <c r="H1735" s="32"/>
      <c r="I1735" s="32"/>
      <c r="J1735" s="32"/>
      <c r="K1735" s="32"/>
      <c r="L1735" s="32"/>
      <c r="M1735" s="23"/>
      <c r="N1735" s="32"/>
      <c r="O1735" s="32"/>
      <c r="P1735" s="32"/>
      <c r="Q1735" s="32"/>
      <c r="R1735" s="32"/>
      <c r="S1735" s="32"/>
      <c r="T1735" s="32"/>
      <c r="U1735" s="32"/>
      <c r="V1735" s="32"/>
      <c r="W1735" s="32"/>
      <c r="X1735" s="32"/>
      <c r="Y1735" s="32"/>
      <c r="Z1735" s="32"/>
      <c r="AA1735" s="32"/>
      <c r="AB1735" s="32"/>
    </row>
    <row r="1736" spans="1:28" ht="13" x14ac:dyDescent="0.15">
      <c r="A1736" s="32"/>
      <c r="B1736" s="32"/>
      <c r="C1736" s="32"/>
      <c r="D1736" s="32"/>
      <c r="E1736" s="32"/>
      <c r="F1736" s="32"/>
      <c r="G1736" s="32"/>
      <c r="H1736" s="32"/>
      <c r="I1736" s="32"/>
      <c r="J1736" s="32"/>
      <c r="K1736" s="32"/>
      <c r="L1736" s="32"/>
      <c r="M1736" s="23"/>
      <c r="N1736" s="32"/>
      <c r="O1736" s="32"/>
      <c r="P1736" s="32"/>
      <c r="Q1736" s="32"/>
      <c r="R1736" s="32"/>
      <c r="S1736" s="32"/>
      <c r="T1736" s="32"/>
      <c r="U1736" s="32"/>
      <c r="V1736" s="32"/>
      <c r="W1736" s="32"/>
      <c r="X1736" s="32"/>
      <c r="Y1736" s="32"/>
      <c r="Z1736" s="32"/>
      <c r="AA1736" s="32"/>
      <c r="AB1736" s="32"/>
    </row>
    <row r="1737" spans="1:28" ht="13" x14ac:dyDescent="0.15">
      <c r="A1737" s="32"/>
      <c r="B1737" s="32"/>
      <c r="C1737" s="32"/>
      <c r="D1737" s="32"/>
      <c r="E1737" s="32"/>
      <c r="F1737" s="32"/>
      <c r="G1737" s="32"/>
      <c r="H1737" s="32"/>
      <c r="I1737" s="32"/>
      <c r="J1737" s="32"/>
      <c r="K1737" s="32"/>
      <c r="L1737" s="32"/>
      <c r="M1737" s="23"/>
      <c r="N1737" s="32"/>
      <c r="O1737" s="32"/>
      <c r="P1737" s="32"/>
      <c r="Q1737" s="32"/>
      <c r="R1737" s="32"/>
      <c r="S1737" s="32"/>
      <c r="T1737" s="32"/>
      <c r="U1737" s="32"/>
      <c r="V1737" s="32"/>
      <c r="W1737" s="32"/>
      <c r="X1737" s="32"/>
      <c r="Y1737" s="32"/>
      <c r="Z1737" s="32"/>
      <c r="AA1737" s="32"/>
      <c r="AB1737" s="32"/>
    </row>
    <row r="1738" spans="1:28" ht="13" x14ac:dyDescent="0.15">
      <c r="A1738" s="32"/>
      <c r="B1738" s="32"/>
      <c r="C1738" s="32"/>
      <c r="D1738" s="32"/>
      <c r="E1738" s="32"/>
      <c r="F1738" s="32"/>
      <c r="G1738" s="32"/>
      <c r="H1738" s="32"/>
      <c r="I1738" s="32"/>
      <c r="J1738" s="32"/>
      <c r="K1738" s="32"/>
      <c r="L1738" s="32"/>
      <c r="M1738" s="23"/>
      <c r="N1738" s="32"/>
      <c r="O1738" s="32"/>
      <c r="P1738" s="32"/>
      <c r="Q1738" s="32"/>
      <c r="R1738" s="32"/>
      <c r="S1738" s="32"/>
      <c r="T1738" s="32"/>
      <c r="U1738" s="32"/>
      <c r="V1738" s="32"/>
      <c r="W1738" s="32"/>
      <c r="X1738" s="32"/>
      <c r="Y1738" s="32"/>
      <c r="Z1738" s="32"/>
      <c r="AA1738" s="32"/>
      <c r="AB1738" s="32"/>
    </row>
    <row r="1739" spans="1:28" ht="13" x14ac:dyDescent="0.15">
      <c r="A1739" s="32"/>
      <c r="B1739" s="32"/>
      <c r="C1739" s="32"/>
      <c r="D1739" s="32"/>
      <c r="E1739" s="32"/>
      <c r="F1739" s="32"/>
      <c r="G1739" s="32"/>
      <c r="H1739" s="32"/>
      <c r="I1739" s="32"/>
      <c r="J1739" s="32"/>
      <c r="K1739" s="32"/>
      <c r="L1739" s="32"/>
      <c r="M1739" s="23"/>
      <c r="N1739" s="32"/>
      <c r="O1739" s="32"/>
      <c r="P1739" s="32"/>
      <c r="Q1739" s="32"/>
      <c r="R1739" s="32"/>
      <c r="S1739" s="32"/>
      <c r="T1739" s="32"/>
      <c r="U1739" s="32"/>
      <c r="V1739" s="32"/>
      <c r="W1739" s="32"/>
      <c r="X1739" s="32"/>
      <c r="Y1739" s="32"/>
      <c r="Z1739" s="32"/>
      <c r="AA1739" s="32"/>
      <c r="AB1739" s="32"/>
    </row>
    <row r="1740" spans="1:28" ht="13" x14ac:dyDescent="0.15">
      <c r="A1740" s="32"/>
      <c r="B1740" s="32"/>
      <c r="C1740" s="32"/>
      <c r="D1740" s="32"/>
      <c r="E1740" s="32"/>
      <c r="F1740" s="32"/>
      <c r="G1740" s="32"/>
      <c r="H1740" s="32"/>
      <c r="I1740" s="32"/>
      <c r="J1740" s="32"/>
      <c r="K1740" s="32"/>
      <c r="L1740" s="32"/>
      <c r="M1740" s="23"/>
      <c r="N1740" s="32"/>
      <c r="O1740" s="32"/>
      <c r="P1740" s="32"/>
      <c r="Q1740" s="32"/>
      <c r="R1740" s="32"/>
      <c r="S1740" s="32"/>
      <c r="T1740" s="32"/>
      <c r="U1740" s="32"/>
      <c r="V1740" s="32"/>
      <c r="W1740" s="32"/>
      <c r="X1740" s="32"/>
      <c r="Y1740" s="32"/>
      <c r="Z1740" s="32"/>
      <c r="AA1740" s="32"/>
      <c r="AB1740" s="32"/>
    </row>
    <row r="1741" spans="1:28" ht="13" x14ac:dyDescent="0.15">
      <c r="A1741" s="32"/>
      <c r="B1741" s="32"/>
      <c r="C1741" s="32"/>
      <c r="D1741" s="32"/>
      <c r="E1741" s="32"/>
      <c r="F1741" s="32"/>
      <c r="G1741" s="32"/>
      <c r="H1741" s="32"/>
      <c r="I1741" s="32"/>
      <c r="J1741" s="32"/>
      <c r="K1741" s="32"/>
      <c r="L1741" s="32"/>
      <c r="M1741" s="23"/>
      <c r="N1741" s="32"/>
      <c r="O1741" s="32"/>
      <c r="P1741" s="32"/>
      <c r="Q1741" s="32"/>
      <c r="R1741" s="32"/>
      <c r="S1741" s="32"/>
      <c r="T1741" s="32"/>
      <c r="U1741" s="32"/>
      <c r="V1741" s="32"/>
      <c r="W1741" s="32"/>
      <c r="X1741" s="32"/>
      <c r="Y1741" s="32"/>
      <c r="Z1741" s="32"/>
      <c r="AA1741" s="32"/>
      <c r="AB1741" s="32"/>
    </row>
    <row r="1742" spans="1:28" ht="13" x14ac:dyDescent="0.15">
      <c r="A1742" s="32"/>
      <c r="B1742" s="32"/>
      <c r="C1742" s="32"/>
      <c r="D1742" s="32"/>
      <c r="E1742" s="32"/>
      <c r="F1742" s="32"/>
      <c r="G1742" s="32"/>
      <c r="H1742" s="32"/>
      <c r="I1742" s="32"/>
      <c r="J1742" s="32"/>
      <c r="K1742" s="32"/>
      <c r="L1742" s="32"/>
      <c r="M1742" s="23"/>
      <c r="N1742" s="32"/>
      <c r="O1742" s="32"/>
      <c r="P1742" s="32"/>
      <c r="Q1742" s="32"/>
      <c r="R1742" s="32"/>
      <c r="S1742" s="32"/>
      <c r="T1742" s="32"/>
      <c r="U1742" s="32"/>
      <c r="V1742" s="32"/>
      <c r="W1742" s="32"/>
      <c r="X1742" s="32"/>
      <c r="Y1742" s="32"/>
      <c r="Z1742" s="32"/>
      <c r="AA1742" s="32"/>
      <c r="AB1742" s="32"/>
    </row>
    <row r="1743" spans="1:28" ht="13" x14ac:dyDescent="0.15">
      <c r="A1743" s="32"/>
      <c r="B1743" s="32"/>
      <c r="C1743" s="32"/>
      <c r="D1743" s="32"/>
      <c r="E1743" s="32"/>
      <c r="F1743" s="32"/>
      <c r="G1743" s="32"/>
      <c r="H1743" s="32"/>
      <c r="I1743" s="32"/>
      <c r="J1743" s="32"/>
      <c r="K1743" s="32"/>
      <c r="L1743" s="32"/>
      <c r="M1743" s="23"/>
      <c r="N1743" s="32"/>
      <c r="O1743" s="32"/>
      <c r="P1743" s="32"/>
      <c r="Q1743" s="32"/>
      <c r="R1743" s="32"/>
      <c r="S1743" s="32"/>
      <c r="T1743" s="32"/>
      <c r="U1743" s="32"/>
      <c r="V1743" s="32"/>
      <c r="W1743" s="32"/>
      <c r="X1743" s="32"/>
      <c r="Y1743" s="32"/>
      <c r="Z1743" s="32"/>
      <c r="AA1743" s="32"/>
      <c r="AB1743" s="32"/>
    </row>
    <row r="1744" spans="1:28" ht="13" x14ac:dyDescent="0.15">
      <c r="A1744" s="32"/>
      <c r="B1744" s="32"/>
      <c r="C1744" s="32"/>
      <c r="D1744" s="32"/>
      <c r="E1744" s="32"/>
      <c r="F1744" s="32"/>
      <c r="G1744" s="32"/>
      <c r="H1744" s="32"/>
      <c r="I1744" s="32"/>
      <c r="J1744" s="32"/>
      <c r="K1744" s="32"/>
      <c r="L1744" s="32"/>
      <c r="M1744" s="23"/>
      <c r="N1744" s="32"/>
      <c r="O1744" s="32"/>
      <c r="P1744" s="32"/>
      <c r="Q1744" s="32"/>
      <c r="R1744" s="32"/>
      <c r="S1744" s="32"/>
      <c r="T1744" s="32"/>
      <c r="U1744" s="32"/>
      <c r="V1744" s="32"/>
      <c r="W1744" s="32"/>
      <c r="X1744" s="32"/>
      <c r="Y1744" s="32"/>
      <c r="Z1744" s="32"/>
      <c r="AA1744" s="32"/>
      <c r="AB1744" s="32"/>
    </row>
    <row r="1745" spans="1:28" ht="13" x14ac:dyDescent="0.15">
      <c r="A1745" s="32"/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  <c r="M1745" s="23"/>
      <c r="N1745" s="32"/>
      <c r="O1745" s="32"/>
      <c r="P1745" s="32"/>
      <c r="Q1745" s="32"/>
      <c r="R1745" s="32"/>
      <c r="S1745" s="32"/>
      <c r="T1745" s="32"/>
      <c r="U1745" s="32"/>
      <c r="V1745" s="32"/>
      <c r="W1745" s="32"/>
      <c r="X1745" s="32"/>
      <c r="Y1745" s="32"/>
      <c r="Z1745" s="32"/>
      <c r="AA1745" s="32"/>
      <c r="AB1745" s="32"/>
    </row>
    <row r="1746" spans="1:28" ht="13" x14ac:dyDescent="0.15">
      <c r="A1746" s="32"/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  <c r="M1746" s="23"/>
      <c r="N1746" s="32"/>
      <c r="O1746" s="32"/>
      <c r="P1746" s="32"/>
      <c r="Q1746" s="32"/>
      <c r="R1746" s="32"/>
      <c r="S1746" s="32"/>
      <c r="T1746" s="32"/>
      <c r="U1746" s="32"/>
      <c r="V1746" s="32"/>
      <c r="W1746" s="32"/>
      <c r="X1746" s="32"/>
      <c r="Y1746" s="32"/>
      <c r="Z1746" s="32"/>
      <c r="AA1746" s="32"/>
      <c r="AB1746" s="32"/>
    </row>
    <row r="1747" spans="1:28" ht="13" x14ac:dyDescent="0.15">
      <c r="A1747" s="32"/>
      <c r="B1747" s="32"/>
      <c r="C1747" s="32"/>
      <c r="D1747" s="32"/>
      <c r="E1747" s="32"/>
      <c r="F1747" s="32"/>
      <c r="G1747" s="32"/>
      <c r="H1747" s="32"/>
      <c r="I1747" s="32"/>
      <c r="J1747" s="32"/>
      <c r="K1747" s="32"/>
      <c r="L1747" s="32"/>
      <c r="M1747" s="23"/>
      <c r="N1747" s="32"/>
      <c r="O1747" s="32"/>
      <c r="P1747" s="32"/>
      <c r="Q1747" s="32"/>
      <c r="R1747" s="32"/>
      <c r="S1747" s="32"/>
      <c r="T1747" s="32"/>
      <c r="U1747" s="32"/>
      <c r="V1747" s="32"/>
      <c r="W1747" s="32"/>
      <c r="X1747" s="32"/>
      <c r="Y1747" s="32"/>
      <c r="Z1747" s="32"/>
      <c r="AA1747" s="32"/>
      <c r="AB1747" s="32"/>
    </row>
    <row r="1748" spans="1:28" ht="13" x14ac:dyDescent="0.15">
      <c r="A1748" s="32"/>
      <c r="B1748" s="32"/>
      <c r="C1748" s="32"/>
      <c r="D1748" s="32"/>
      <c r="E1748" s="32"/>
      <c r="F1748" s="32"/>
      <c r="G1748" s="32"/>
      <c r="H1748" s="32"/>
      <c r="I1748" s="32"/>
      <c r="J1748" s="32"/>
      <c r="K1748" s="32"/>
      <c r="L1748" s="32"/>
      <c r="M1748" s="23"/>
      <c r="N1748" s="32"/>
      <c r="O1748" s="32"/>
      <c r="P1748" s="32"/>
      <c r="Q1748" s="32"/>
      <c r="R1748" s="32"/>
      <c r="S1748" s="32"/>
      <c r="T1748" s="32"/>
      <c r="U1748" s="32"/>
      <c r="V1748" s="32"/>
      <c r="W1748" s="32"/>
      <c r="X1748" s="32"/>
      <c r="Y1748" s="32"/>
      <c r="Z1748" s="32"/>
      <c r="AA1748" s="32"/>
      <c r="AB1748" s="32"/>
    </row>
    <row r="1749" spans="1:28" ht="13" x14ac:dyDescent="0.15">
      <c r="A1749" s="32"/>
      <c r="B1749" s="32"/>
      <c r="C1749" s="32"/>
      <c r="D1749" s="32"/>
      <c r="E1749" s="32"/>
      <c r="F1749" s="32"/>
      <c r="G1749" s="32"/>
      <c r="H1749" s="32"/>
      <c r="I1749" s="32"/>
      <c r="J1749" s="32"/>
      <c r="K1749" s="32"/>
      <c r="L1749" s="32"/>
      <c r="M1749" s="23"/>
      <c r="N1749" s="32"/>
      <c r="O1749" s="32"/>
      <c r="P1749" s="32"/>
      <c r="Q1749" s="32"/>
      <c r="R1749" s="32"/>
      <c r="S1749" s="32"/>
      <c r="T1749" s="32"/>
      <c r="U1749" s="32"/>
      <c r="V1749" s="32"/>
      <c r="W1749" s="32"/>
      <c r="X1749" s="32"/>
      <c r="Y1749" s="32"/>
      <c r="Z1749" s="32"/>
      <c r="AA1749" s="32"/>
      <c r="AB1749" s="32"/>
    </row>
    <row r="1750" spans="1:28" ht="13" x14ac:dyDescent="0.15">
      <c r="A1750" s="32"/>
      <c r="B1750" s="32"/>
      <c r="C1750" s="32"/>
      <c r="D1750" s="32"/>
      <c r="E1750" s="32"/>
      <c r="F1750" s="32"/>
      <c r="G1750" s="32"/>
      <c r="H1750" s="32"/>
      <c r="I1750" s="32"/>
      <c r="J1750" s="32"/>
      <c r="K1750" s="32"/>
      <c r="L1750" s="32"/>
      <c r="M1750" s="23"/>
      <c r="N1750" s="32"/>
      <c r="O1750" s="32"/>
      <c r="P1750" s="32"/>
      <c r="Q1750" s="32"/>
      <c r="R1750" s="32"/>
      <c r="S1750" s="32"/>
      <c r="T1750" s="32"/>
      <c r="U1750" s="32"/>
      <c r="V1750" s="32"/>
      <c r="W1750" s="32"/>
      <c r="X1750" s="32"/>
      <c r="Y1750" s="32"/>
      <c r="Z1750" s="32"/>
      <c r="AA1750" s="32"/>
      <c r="AB1750" s="32"/>
    </row>
    <row r="1751" spans="1:28" ht="13" x14ac:dyDescent="0.15">
      <c r="A1751" s="32"/>
      <c r="B1751" s="32"/>
      <c r="C1751" s="32"/>
      <c r="D1751" s="32"/>
      <c r="E1751" s="32"/>
      <c r="F1751" s="32"/>
      <c r="G1751" s="32"/>
      <c r="H1751" s="32"/>
      <c r="I1751" s="32"/>
      <c r="J1751" s="32"/>
      <c r="K1751" s="32"/>
      <c r="L1751" s="32"/>
      <c r="M1751" s="23"/>
      <c r="N1751" s="32"/>
      <c r="O1751" s="32"/>
      <c r="P1751" s="32"/>
      <c r="Q1751" s="32"/>
      <c r="R1751" s="32"/>
      <c r="S1751" s="32"/>
      <c r="T1751" s="32"/>
      <c r="U1751" s="32"/>
      <c r="V1751" s="32"/>
      <c r="W1751" s="32"/>
      <c r="X1751" s="32"/>
      <c r="Y1751" s="32"/>
      <c r="Z1751" s="32"/>
      <c r="AA1751" s="32"/>
      <c r="AB1751" s="32"/>
    </row>
    <row r="1752" spans="1:28" ht="13" x14ac:dyDescent="0.15">
      <c r="A1752" s="32"/>
      <c r="B1752" s="32"/>
      <c r="C1752" s="32"/>
      <c r="D1752" s="32"/>
      <c r="E1752" s="32"/>
      <c r="F1752" s="32"/>
      <c r="G1752" s="32"/>
      <c r="H1752" s="32"/>
      <c r="I1752" s="32"/>
      <c r="J1752" s="32"/>
      <c r="K1752" s="32"/>
      <c r="L1752" s="32"/>
      <c r="M1752" s="23"/>
      <c r="N1752" s="32"/>
      <c r="O1752" s="32"/>
      <c r="P1752" s="32"/>
      <c r="Q1752" s="32"/>
      <c r="R1752" s="32"/>
      <c r="S1752" s="32"/>
      <c r="T1752" s="32"/>
      <c r="U1752" s="32"/>
      <c r="V1752" s="32"/>
      <c r="W1752" s="32"/>
      <c r="X1752" s="32"/>
      <c r="Y1752" s="32"/>
      <c r="Z1752" s="32"/>
      <c r="AA1752" s="32"/>
      <c r="AB1752" s="32"/>
    </row>
    <row r="1753" spans="1:28" ht="13" x14ac:dyDescent="0.15">
      <c r="A1753" s="32"/>
      <c r="B1753" s="32"/>
      <c r="C1753" s="32"/>
      <c r="D1753" s="32"/>
      <c r="E1753" s="32"/>
      <c r="F1753" s="32"/>
      <c r="G1753" s="32"/>
      <c r="H1753" s="32"/>
      <c r="I1753" s="32"/>
      <c r="J1753" s="32"/>
      <c r="K1753" s="32"/>
      <c r="L1753" s="32"/>
      <c r="M1753" s="23"/>
      <c r="N1753" s="32"/>
      <c r="O1753" s="32"/>
      <c r="P1753" s="32"/>
      <c r="Q1753" s="32"/>
      <c r="R1753" s="32"/>
      <c r="S1753" s="32"/>
      <c r="T1753" s="32"/>
      <c r="U1753" s="32"/>
      <c r="V1753" s="32"/>
      <c r="W1753" s="32"/>
      <c r="X1753" s="32"/>
      <c r="Y1753" s="32"/>
      <c r="Z1753" s="32"/>
      <c r="AA1753" s="32"/>
      <c r="AB1753" s="32"/>
    </row>
    <row r="1754" spans="1:28" ht="13" x14ac:dyDescent="0.15">
      <c r="A1754" s="32"/>
      <c r="B1754" s="32"/>
      <c r="C1754" s="32"/>
      <c r="D1754" s="32"/>
      <c r="E1754" s="32"/>
      <c r="F1754" s="32"/>
      <c r="G1754" s="32"/>
      <c r="H1754" s="32"/>
      <c r="I1754" s="32"/>
      <c r="J1754" s="32"/>
      <c r="K1754" s="32"/>
      <c r="L1754" s="32"/>
      <c r="M1754" s="23"/>
      <c r="N1754" s="32"/>
      <c r="O1754" s="32"/>
      <c r="P1754" s="32"/>
      <c r="Q1754" s="32"/>
      <c r="R1754" s="32"/>
      <c r="S1754" s="32"/>
      <c r="T1754" s="32"/>
      <c r="U1754" s="32"/>
      <c r="V1754" s="32"/>
      <c r="W1754" s="32"/>
      <c r="X1754" s="32"/>
      <c r="Y1754" s="32"/>
      <c r="Z1754" s="32"/>
      <c r="AA1754" s="32"/>
      <c r="AB1754" s="32"/>
    </row>
    <row r="1755" spans="1:28" ht="13" x14ac:dyDescent="0.15">
      <c r="A1755" s="32"/>
      <c r="B1755" s="32"/>
      <c r="C1755" s="32"/>
      <c r="D1755" s="32"/>
      <c r="E1755" s="32"/>
      <c r="F1755" s="32"/>
      <c r="G1755" s="32"/>
      <c r="H1755" s="32"/>
      <c r="I1755" s="32"/>
      <c r="J1755" s="32"/>
      <c r="K1755" s="32"/>
      <c r="L1755" s="32"/>
      <c r="M1755" s="23"/>
      <c r="N1755" s="32"/>
      <c r="O1755" s="32"/>
      <c r="P1755" s="32"/>
      <c r="Q1755" s="32"/>
      <c r="R1755" s="32"/>
      <c r="S1755" s="32"/>
      <c r="T1755" s="32"/>
      <c r="U1755" s="32"/>
      <c r="V1755" s="32"/>
      <c r="W1755" s="32"/>
      <c r="X1755" s="32"/>
      <c r="Y1755" s="32"/>
      <c r="Z1755" s="32"/>
      <c r="AA1755" s="32"/>
      <c r="AB1755" s="32"/>
    </row>
    <row r="1756" spans="1:28" ht="13" x14ac:dyDescent="0.15">
      <c r="A1756" s="32"/>
      <c r="B1756" s="32"/>
      <c r="C1756" s="32"/>
      <c r="D1756" s="32"/>
      <c r="E1756" s="32"/>
      <c r="F1756" s="32"/>
      <c r="G1756" s="32"/>
      <c r="H1756" s="32"/>
      <c r="I1756" s="32"/>
      <c r="J1756" s="32"/>
      <c r="K1756" s="32"/>
      <c r="L1756" s="32"/>
      <c r="M1756" s="23"/>
      <c r="N1756" s="32"/>
      <c r="O1756" s="32"/>
      <c r="P1756" s="32"/>
      <c r="Q1756" s="32"/>
      <c r="R1756" s="32"/>
      <c r="S1756" s="32"/>
      <c r="T1756" s="32"/>
      <c r="U1756" s="32"/>
      <c r="V1756" s="32"/>
      <c r="W1756" s="32"/>
      <c r="X1756" s="32"/>
      <c r="Y1756" s="32"/>
      <c r="Z1756" s="32"/>
      <c r="AA1756" s="32"/>
      <c r="AB1756" s="32"/>
    </row>
    <row r="1757" spans="1:28" ht="13" x14ac:dyDescent="0.15">
      <c r="A1757" s="32"/>
      <c r="B1757" s="32"/>
      <c r="C1757" s="32"/>
      <c r="D1757" s="32"/>
      <c r="E1757" s="32"/>
      <c r="F1757" s="32"/>
      <c r="G1757" s="32"/>
      <c r="H1757" s="32"/>
      <c r="I1757" s="32"/>
      <c r="J1757" s="32"/>
      <c r="K1757" s="32"/>
      <c r="L1757" s="32"/>
      <c r="M1757" s="23"/>
      <c r="N1757" s="32"/>
      <c r="O1757" s="32"/>
      <c r="P1757" s="32"/>
      <c r="Q1757" s="32"/>
      <c r="R1757" s="32"/>
      <c r="S1757" s="32"/>
      <c r="T1757" s="32"/>
      <c r="U1757" s="32"/>
      <c r="V1757" s="32"/>
      <c r="W1757" s="32"/>
      <c r="X1757" s="32"/>
      <c r="Y1757" s="32"/>
      <c r="Z1757" s="32"/>
      <c r="AA1757" s="32"/>
      <c r="AB1757" s="32"/>
    </row>
    <row r="1758" spans="1:28" ht="13" x14ac:dyDescent="0.15">
      <c r="A1758" s="32"/>
      <c r="B1758" s="32"/>
      <c r="C1758" s="32"/>
      <c r="D1758" s="32"/>
      <c r="E1758" s="32"/>
      <c r="F1758" s="32"/>
      <c r="G1758" s="32"/>
      <c r="H1758" s="32"/>
      <c r="I1758" s="32"/>
      <c r="J1758" s="32"/>
      <c r="K1758" s="32"/>
      <c r="L1758" s="32"/>
      <c r="M1758" s="23"/>
      <c r="N1758" s="32"/>
      <c r="O1758" s="32"/>
      <c r="P1758" s="32"/>
      <c r="Q1758" s="32"/>
      <c r="R1758" s="32"/>
      <c r="S1758" s="32"/>
      <c r="T1758" s="32"/>
      <c r="U1758" s="32"/>
      <c r="V1758" s="32"/>
      <c r="W1758" s="32"/>
      <c r="X1758" s="32"/>
      <c r="Y1758" s="32"/>
      <c r="Z1758" s="32"/>
      <c r="AA1758" s="32"/>
      <c r="AB1758" s="32"/>
    </row>
    <row r="1759" spans="1:28" ht="13" x14ac:dyDescent="0.15">
      <c r="A1759" s="32"/>
      <c r="B1759" s="32"/>
      <c r="C1759" s="32"/>
      <c r="D1759" s="32"/>
      <c r="E1759" s="32"/>
      <c r="F1759" s="32"/>
      <c r="G1759" s="32"/>
      <c r="H1759" s="32"/>
      <c r="I1759" s="32"/>
      <c r="J1759" s="32"/>
      <c r="K1759" s="32"/>
      <c r="L1759" s="32"/>
      <c r="M1759" s="23"/>
      <c r="N1759" s="32"/>
      <c r="O1759" s="32"/>
      <c r="P1759" s="32"/>
      <c r="Q1759" s="32"/>
      <c r="R1759" s="32"/>
      <c r="S1759" s="32"/>
      <c r="T1759" s="32"/>
      <c r="U1759" s="32"/>
      <c r="V1759" s="32"/>
      <c r="W1759" s="32"/>
      <c r="X1759" s="32"/>
      <c r="Y1759" s="32"/>
      <c r="Z1759" s="32"/>
      <c r="AA1759" s="32"/>
      <c r="AB1759" s="32"/>
    </row>
    <row r="1760" spans="1:28" ht="13" x14ac:dyDescent="0.15">
      <c r="A1760" s="32"/>
      <c r="B1760" s="32"/>
      <c r="C1760" s="32"/>
      <c r="D1760" s="32"/>
      <c r="E1760" s="32"/>
      <c r="F1760" s="32"/>
      <c r="G1760" s="32"/>
      <c r="H1760" s="32"/>
      <c r="I1760" s="32"/>
      <c r="J1760" s="32"/>
      <c r="K1760" s="32"/>
      <c r="L1760" s="32"/>
      <c r="M1760" s="23"/>
      <c r="N1760" s="32"/>
      <c r="O1760" s="32"/>
      <c r="P1760" s="32"/>
      <c r="Q1760" s="32"/>
      <c r="R1760" s="32"/>
      <c r="S1760" s="32"/>
      <c r="T1760" s="32"/>
      <c r="U1760" s="32"/>
      <c r="V1760" s="32"/>
      <c r="W1760" s="32"/>
      <c r="X1760" s="32"/>
      <c r="Y1760" s="32"/>
      <c r="Z1760" s="32"/>
      <c r="AA1760" s="32"/>
      <c r="AB1760" s="32"/>
    </row>
    <row r="1761" spans="1:28" ht="13" x14ac:dyDescent="0.15">
      <c r="A1761" s="32"/>
      <c r="B1761" s="32"/>
      <c r="C1761" s="32"/>
      <c r="D1761" s="32"/>
      <c r="E1761" s="32"/>
      <c r="F1761" s="32"/>
      <c r="G1761" s="32"/>
      <c r="H1761" s="32"/>
      <c r="I1761" s="32"/>
      <c r="J1761" s="32"/>
      <c r="K1761" s="32"/>
      <c r="L1761" s="32"/>
      <c r="M1761" s="23"/>
      <c r="N1761" s="32"/>
      <c r="O1761" s="32"/>
      <c r="P1761" s="32"/>
      <c r="Q1761" s="32"/>
      <c r="R1761" s="32"/>
      <c r="S1761" s="32"/>
      <c r="T1761" s="32"/>
      <c r="U1761" s="32"/>
      <c r="V1761" s="32"/>
      <c r="W1761" s="32"/>
      <c r="X1761" s="32"/>
      <c r="Y1761" s="32"/>
      <c r="Z1761" s="32"/>
      <c r="AA1761" s="32"/>
      <c r="AB1761" s="32"/>
    </row>
    <row r="1762" spans="1:28" ht="13" x14ac:dyDescent="0.15">
      <c r="A1762" s="32"/>
      <c r="B1762" s="32"/>
      <c r="C1762" s="32"/>
      <c r="D1762" s="32"/>
      <c r="E1762" s="32"/>
      <c r="F1762" s="32"/>
      <c r="G1762" s="32"/>
      <c r="H1762" s="32"/>
      <c r="I1762" s="32"/>
      <c r="J1762" s="32"/>
      <c r="K1762" s="32"/>
      <c r="L1762" s="32"/>
      <c r="M1762" s="23"/>
      <c r="N1762" s="32"/>
      <c r="O1762" s="32"/>
      <c r="P1762" s="32"/>
      <c r="Q1762" s="32"/>
      <c r="R1762" s="32"/>
      <c r="S1762" s="32"/>
      <c r="T1762" s="32"/>
      <c r="U1762" s="32"/>
      <c r="V1762" s="32"/>
      <c r="W1762" s="32"/>
      <c r="X1762" s="32"/>
      <c r="Y1762" s="32"/>
      <c r="Z1762" s="32"/>
      <c r="AA1762" s="32"/>
      <c r="AB1762" s="32"/>
    </row>
    <row r="1763" spans="1:28" ht="13" x14ac:dyDescent="0.15">
      <c r="A1763" s="32"/>
      <c r="B1763" s="32"/>
      <c r="C1763" s="32"/>
      <c r="D1763" s="32"/>
      <c r="E1763" s="32"/>
      <c r="F1763" s="32"/>
      <c r="G1763" s="32"/>
      <c r="H1763" s="32"/>
      <c r="I1763" s="32"/>
      <c r="J1763" s="32"/>
      <c r="K1763" s="32"/>
      <c r="L1763" s="32"/>
      <c r="M1763" s="23"/>
      <c r="N1763" s="32"/>
      <c r="O1763" s="32"/>
      <c r="P1763" s="32"/>
      <c r="Q1763" s="32"/>
      <c r="R1763" s="32"/>
      <c r="S1763" s="32"/>
      <c r="T1763" s="32"/>
      <c r="U1763" s="32"/>
      <c r="V1763" s="32"/>
      <c r="W1763" s="32"/>
      <c r="X1763" s="32"/>
      <c r="Y1763" s="32"/>
      <c r="Z1763" s="32"/>
      <c r="AA1763" s="32"/>
      <c r="AB1763" s="32"/>
    </row>
    <row r="1764" spans="1:28" ht="13" x14ac:dyDescent="0.15">
      <c r="A1764" s="32"/>
      <c r="B1764" s="32"/>
      <c r="C1764" s="32"/>
      <c r="D1764" s="32"/>
      <c r="E1764" s="32"/>
      <c r="F1764" s="32"/>
      <c r="G1764" s="32"/>
      <c r="H1764" s="32"/>
      <c r="I1764" s="32"/>
      <c r="J1764" s="32"/>
      <c r="K1764" s="32"/>
      <c r="L1764" s="32"/>
      <c r="M1764" s="23"/>
      <c r="N1764" s="32"/>
      <c r="O1764" s="32"/>
      <c r="P1764" s="32"/>
      <c r="Q1764" s="32"/>
      <c r="R1764" s="32"/>
      <c r="S1764" s="32"/>
      <c r="T1764" s="32"/>
      <c r="U1764" s="32"/>
      <c r="V1764" s="32"/>
      <c r="W1764" s="32"/>
      <c r="X1764" s="32"/>
      <c r="Y1764" s="32"/>
      <c r="Z1764" s="32"/>
      <c r="AA1764" s="32"/>
      <c r="AB1764" s="32"/>
    </row>
    <row r="1765" spans="1:28" ht="13" x14ac:dyDescent="0.15">
      <c r="A1765" s="32"/>
      <c r="B1765" s="32"/>
      <c r="C1765" s="32"/>
      <c r="D1765" s="32"/>
      <c r="E1765" s="32"/>
      <c r="F1765" s="32"/>
      <c r="G1765" s="32"/>
      <c r="H1765" s="32"/>
      <c r="I1765" s="32"/>
      <c r="J1765" s="32"/>
      <c r="K1765" s="32"/>
      <c r="L1765" s="32"/>
      <c r="M1765" s="23"/>
      <c r="N1765" s="32"/>
      <c r="O1765" s="32"/>
      <c r="P1765" s="32"/>
      <c r="Q1765" s="32"/>
      <c r="R1765" s="32"/>
      <c r="S1765" s="32"/>
      <c r="T1765" s="32"/>
      <c r="U1765" s="32"/>
      <c r="V1765" s="32"/>
      <c r="W1765" s="32"/>
      <c r="X1765" s="32"/>
      <c r="Y1765" s="32"/>
      <c r="Z1765" s="32"/>
      <c r="AA1765" s="32"/>
      <c r="AB1765" s="32"/>
    </row>
    <row r="1766" spans="1:28" ht="13" x14ac:dyDescent="0.15">
      <c r="A1766" s="32"/>
      <c r="B1766" s="32"/>
      <c r="C1766" s="32"/>
      <c r="D1766" s="32"/>
      <c r="E1766" s="32"/>
      <c r="F1766" s="32"/>
      <c r="G1766" s="32"/>
      <c r="H1766" s="32"/>
      <c r="I1766" s="32"/>
      <c r="J1766" s="32"/>
      <c r="K1766" s="32"/>
      <c r="L1766" s="32"/>
      <c r="M1766" s="23"/>
      <c r="N1766" s="32"/>
      <c r="O1766" s="32"/>
      <c r="P1766" s="32"/>
      <c r="Q1766" s="32"/>
      <c r="R1766" s="32"/>
      <c r="S1766" s="32"/>
      <c r="T1766" s="32"/>
      <c r="U1766" s="32"/>
      <c r="V1766" s="32"/>
      <c r="W1766" s="32"/>
      <c r="X1766" s="32"/>
      <c r="Y1766" s="32"/>
      <c r="Z1766" s="32"/>
      <c r="AA1766" s="32"/>
      <c r="AB1766" s="32"/>
    </row>
    <row r="1767" spans="1:28" ht="13" x14ac:dyDescent="0.15">
      <c r="A1767" s="32"/>
      <c r="B1767" s="32"/>
      <c r="C1767" s="32"/>
      <c r="D1767" s="32"/>
      <c r="E1767" s="32"/>
      <c r="F1767" s="32"/>
      <c r="G1767" s="32"/>
      <c r="H1767" s="32"/>
      <c r="I1767" s="32"/>
      <c r="J1767" s="32"/>
      <c r="K1767" s="32"/>
      <c r="L1767" s="32"/>
      <c r="M1767" s="23"/>
      <c r="N1767" s="32"/>
      <c r="O1767" s="32"/>
      <c r="P1767" s="32"/>
      <c r="Q1767" s="32"/>
      <c r="R1767" s="32"/>
      <c r="S1767" s="32"/>
      <c r="T1767" s="32"/>
      <c r="U1767" s="32"/>
      <c r="V1767" s="32"/>
      <c r="W1767" s="32"/>
      <c r="X1767" s="32"/>
      <c r="Y1767" s="32"/>
      <c r="Z1767" s="32"/>
      <c r="AA1767" s="32"/>
      <c r="AB1767" s="32"/>
    </row>
    <row r="1768" spans="1:28" ht="13" x14ac:dyDescent="0.15">
      <c r="A1768" s="32"/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  <c r="M1768" s="23"/>
      <c r="N1768" s="32"/>
      <c r="O1768" s="32"/>
      <c r="P1768" s="32"/>
      <c r="Q1768" s="32"/>
      <c r="R1768" s="32"/>
      <c r="S1768" s="32"/>
      <c r="T1768" s="32"/>
      <c r="U1768" s="32"/>
      <c r="V1768" s="32"/>
      <c r="W1768" s="32"/>
      <c r="X1768" s="32"/>
      <c r="Y1768" s="32"/>
      <c r="Z1768" s="32"/>
      <c r="AA1768" s="32"/>
      <c r="AB1768" s="32"/>
    </row>
    <row r="1769" spans="1:28" ht="13" x14ac:dyDescent="0.15">
      <c r="A1769" s="32"/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  <c r="M1769" s="23"/>
      <c r="N1769" s="32"/>
      <c r="O1769" s="32"/>
      <c r="P1769" s="32"/>
      <c r="Q1769" s="32"/>
      <c r="R1769" s="32"/>
      <c r="S1769" s="32"/>
      <c r="T1769" s="32"/>
      <c r="U1769" s="32"/>
      <c r="V1769" s="32"/>
      <c r="W1769" s="32"/>
      <c r="X1769" s="32"/>
      <c r="Y1769" s="32"/>
      <c r="Z1769" s="32"/>
      <c r="AA1769" s="32"/>
      <c r="AB1769" s="32"/>
    </row>
    <row r="1770" spans="1:28" ht="13" x14ac:dyDescent="0.15">
      <c r="A1770" s="32"/>
      <c r="B1770" s="32"/>
      <c r="C1770" s="32"/>
      <c r="D1770" s="32"/>
      <c r="E1770" s="32"/>
      <c r="F1770" s="32"/>
      <c r="G1770" s="32"/>
      <c r="H1770" s="32"/>
      <c r="I1770" s="32"/>
      <c r="J1770" s="32"/>
      <c r="K1770" s="32"/>
      <c r="L1770" s="32"/>
      <c r="M1770" s="23"/>
      <c r="N1770" s="32"/>
      <c r="O1770" s="32"/>
      <c r="P1770" s="32"/>
      <c r="Q1770" s="32"/>
      <c r="R1770" s="32"/>
      <c r="S1770" s="32"/>
      <c r="T1770" s="32"/>
      <c r="U1770" s="32"/>
      <c r="V1770" s="32"/>
      <c r="W1770" s="32"/>
      <c r="X1770" s="32"/>
      <c r="Y1770" s="32"/>
      <c r="Z1770" s="32"/>
      <c r="AA1770" s="32"/>
      <c r="AB1770" s="32"/>
    </row>
    <row r="1771" spans="1:28" ht="13" x14ac:dyDescent="0.15">
      <c r="A1771" s="32"/>
      <c r="B1771" s="32"/>
      <c r="C1771" s="32"/>
      <c r="D1771" s="32"/>
      <c r="E1771" s="32"/>
      <c r="F1771" s="32"/>
      <c r="G1771" s="32"/>
      <c r="H1771" s="32"/>
      <c r="I1771" s="32"/>
      <c r="J1771" s="32"/>
      <c r="K1771" s="32"/>
      <c r="L1771" s="32"/>
      <c r="M1771" s="23"/>
      <c r="N1771" s="32"/>
      <c r="O1771" s="32"/>
      <c r="P1771" s="32"/>
      <c r="Q1771" s="32"/>
      <c r="R1771" s="32"/>
      <c r="S1771" s="32"/>
      <c r="T1771" s="32"/>
      <c r="U1771" s="32"/>
      <c r="V1771" s="32"/>
      <c r="W1771" s="32"/>
      <c r="X1771" s="32"/>
      <c r="Y1771" s="32"/>
      <c r="Z1771" s="32"/>
      <c r="AA1771" s="32"/>
      <c r="AB1771" s="32"/>
    </row>
    <row r="1772" spans="1:28" ht="13" x14ac:dyDescent="0.15">
      <c r="A1772" s="32"/>
      <c r="B1772" s="32"/>
      <c r="C1772" s="32"/>
      <c r="D1772" s="32"/>
      <c r="E1772" s="32"/>
      <c r="F1772" s="32"/>
      <c r="G1772" s="32"/>
      <c r="H1772" s="32"/>
      <c r="I1772" s="32"/>
      <c r="J1772" s="32"/>
      <c r="K1772" s="32"/>
      <c r="L1772" s="32"/>
      <c r="M1772" s="23"/>
      <c r="N1772" s="32"/>
      <c r="O1772" s="32"/>
      <c r="P1772" s="32"/>
      <c r="Q1772" s="32"/>
      <c r="R1772" s="32"/>
      <c r="S1772" s="32"/>
      <c r="T1772" s="32"/>
      <c r="U1772" s="32"/>
      <c r="V1772" s="32"/>
      <c r="W1772" s="32"/>
      <c r="X1772" s="32"/>
      <c r="Y1772" s="32"/>
      <c r="Z1772" s="32"/>
      <c r="AA1772" s="32"/>
      <c r="AB1772" s="32"/>
    </row>
    <row r="1773" spans="1:28" ht="13" x14ac:dyDescent="0.15">
      <c r="A1773" s="32"/>
      <c r="B1773" s="32"/>
      <c r="C1773" s="32"/>
      <c r="D1773" s="32"/>
      <c r="E1773" s="32"/>
      <c r="F1773" s="32"/>
      <c r="G1773" s="32"/>
      <c r="H1773" s="32"/>
      <c r="I1773" s="32"/>
      <c r="J1773" s="32"/>
      <c r="K1773" s="32"/>
      <c r="L1773" s="32"/>
      <c r="M1773" s="23"/>
      <c r="N1773" s="32"/>
      <c r="O1773" s="32"/>
      <c r="P1773" s="32"/>
      <c r="Q1773" s="32"/>
      <c r="R1773" s="32"/>
      <c r="S1773" s="32"/>
      <c r="T1773" s="32"/>
      <c r="U1773" s="32"/>
      <c r="V1773" s="32"/>
      <c r="W1773" s="32"/>
      <c r="X1773" s="32"/>
      <c r="Y1773" s="32"/>
      <c r="Z1773" s="32"/>
      <c r="AA1773" s="32"/>
      <c r="AB1773" s="32"/>
    </row>
    <row r="1774" spans="1:28" ht="13" x14ac:dyDescent="0.15">
      <c r="A1774" s="32"/>
      <c r="B1774" s="32"/>
      <c r="C1774" s="32"/>
      <c r="D1774" s="32"/>
      <c r="E1774" s="32"/>
      <c r="F1774" s="32"/>
      <c r="G1774" s="32"/>
      <c r="H1774" s="32"/>
      <c r="I1774" s="32"/>
      <c r="J1774" s="32"/>
      <c r="K1774" s="32"/>
      <c r="L1774" s="32"/>
      <c r="M1774" s="23"/>
      <c r="N1774" s="32"/>
      <c r="O1774" s="32"/>
      <c r="P1774" s="32"/>
      <c r="Q1774" s="32"/>
      <c r="R1774" s="32"/>
      <c r="S1774" s="32"/>
      <c r="T1774" s="32"/>
      <c r="U1774" s="32"/>
      <c r="V1774" s="32"/>
      <c r="W1774" s="32"/>
      <c r="X1774" s="32"/>
      <c r="Y1774" s="32"/>
      <c r="Z1774" s="32"/>
      <c r="AA1774" s="32"/>
      <c r="AB1774" s="32"/>
    </row>
    <row r="1775" spans="1:28" ht="13" x14ac:dyDescent="0.15">
      <c r="A1775" s="32"/>
      <c r="B1775" s="32"/>
      <c r="C1775" s="32"/>
      <c r="D1775" s="32"/>
      <c r="E1775" s="32"/>
      <c r="F1775" s="32"/>
      <c r="G1775" s="32"/>
      <c r="H1775" s="32"/>
      <c r="I1775" s="32"/>
      <c r="J1775" s="32"/>
      <c r="K1775" s="32"/>
      <c r="L1775" s="32"/>
      <c r="M1775" s="23"/>
      <c r="N1775" s="32"/>
      <c r="O1775" s="32"/>
      <c r="P1775" s="32"/>
      <c r="Q1775" s="32"/>
      <c r="R1775" s="32"/>
      <c r="S1775" s="32"/>
      <c r="T1775" s="32"/>
      <c r="U1775" s="32"/>
      <c r="V1775" s="32"/>
      <c r="W1775" s="32"/>
      <c r="X1775" s="32"/>
      <c r="Y1775" s="32"/>
      <c r="Z1775" s="32"/>
      <c r="AA1775" s="32"/>
      <c r="AB1775" s="32"/>
    </row>
    <row r="1776" spans="1:28" ht="13" x14ac:dyDescent="0.15">
      <c r="A1776" s="32"/>
      <c r="B1776" s="32"/>
      <c r="C1776" s="32"/>
      <c r="D1776" s="32"/>
      <c r="E1776" s="32"/>
      <c r="F1776" s="32"/>
      <c r="G1776" s="32"/>
      <c r="H1776" s="32"/>
      <c r="I1776" s="32"/>
      <c r="J1776" s="32"/>
      <c r="K1776" s="32"/>
      <c r="L1776" s="32"/>
      <c r="M1776" s="23"/>
      <c r="N1776" s="32"/>
      <c r="O1776" s="32"/>
      <c r="P1776" s="32"/>
      <c r="Q1776" s="32"/>
      <c r="R1776" s="32"/>
      <c r="S1776" s="32"/>
      <c r="T1776" s="32"/>
      <c r="U1776" s="32"/>
      <c r="V1776" s="32"/>
      <c r="W1776" s="32"/>
      <c r="X1776" s="32"/>
      <c r="Y1776" s="32"/>
      <c r="Z1776" s="32"/>
      <c r="AA1776" s="32"/>
      <c r="AB1776" s="32"/>
    </row>
    <row r="1777" spans="1:28" ht="13" x14ac:dyDescent="0.15">
      <c r="A1777" s="32"/>
      <c r="B1777" s="32"/>
      <c r="C1777" s="32"/>
      <c r="D1777" s="32"/>
      <c r="E1777" s="32"/>
      <c r="F1777" s="32"/>
      <c r="G1777" s="32"/>
      <c r="H1777" s="32"/>
      <c r="I1777" s="32"/>
      <c r="J1777" s="32"/>
      <c r="K1777" s="32"/>
      <c r="L1777" s="32"/>
      <c r="M1777" s="23"/>
      <c r="N1777" s="32"/>
      <c r="O1777" s="32"/>
      <c r="P1777" s="32"/>
      <c r="Q1777" s="32"/>
      <c r="R1777" s="32"/>
      <c r="S1777" s="32"/>
      <c r="T1777" s="32"/>
      <c r="U1777" s="32"/>
      <c r="V1777" s="32"/>
      <c r="W1777" s="32"/>
      <c r="X1777" s="32"/>
      <c r="Y1777" s="32"/>
      <c r="Z1777" s="32"/>
      <c r="AA1777" s="32"/>
      <c r="AB1777" s="32"/>
    </row>
    <row r="1778" spans="1:28" ht="13" x14ac:dyDescent="0.15">
      <c r="A1778" s="32"/>
      <c r="B1778" s="32"/>
      <c r="C1778" s="32"/>
      <c r="D1778" s="32"/>
      <c r="E1778" s="32"/>
      <c r="F1778" s="32"/>
      <c r="G1778" s="32"/>
      <c r="H1778" s="32"/>
      <c r="I1778" s="32"/>
      <c r="J1778" s="32"/>
      <c r="K1778" s="32"/>
      <c r="L1778" s="32"/>
      <c r="M1778" s="23"/>
      <c r="N1778" s="32"/>
      <c r="O1778" s="32"/>
      <c r="P1778" s="32"/>
      <c r="Q1778" s="32"/>
      <c r="R1778" s="32"/>
      <c r="S1778" s="32"/>
      <c r="T1778" s="32"/>
      <c r="U1778" s="32"/>
      <c r="V1778" s="32"/>
      <c r="W1778" s="32"/>
      <c r="X1778" s="32"/>
      <c r="Y1778" s="32"/>
      <c r="Z1778" s="32"/>
      <c r="AA1778" s="32"/>
      <c r="AB1778" s="32"/>
    </row>
    <row r="1779" spans="1:28" ht="13" x14ac:dyDescent="0.15">
      <c r="A1779" s="32"/>
      <c r="B1779" s="32"/>
      <c r="C1779" s="32"/>
      <c r="D1779" s="32"/>
      <c r="E1779" s="32"/>
      <c r="F1779" s="32"/>
      <c r="G1779" s="32"/>
      <c r="H1779" s="32"/>
      <c r="I1779" s="32"/>
      <c r="J1779" s="32"/>
      <c r="K1779" s="32"/>
      <c r="L1779" s="32"/>
      <c r="M1779" s="23"/>
      <c r="N1779" s="32"/>
      <c r="O1779" s="32"/>
      <c r="P1779" s="32"/>
      <c r="Q1779" s="32"/>
      <c r="R1779" s="32"/>
      <c r="S1779" s="32"/>
      <c r="T1779" s="32"/>
      <c r="U1779" s="32"/>
      <c r="V1779" s="32"/>
      <c r="W1779" s="32"/>
      <c r="X1779" s="32"/>
      <c r="Y1779" s="32"/>
      <c r="Z1779" s="32"/>
      <c r="AA1779" s="32"/>
      <c r="AB1779" s="32"/>
    </row>
    <row r="1780" spans="1:28" ht="13" x14ac:dyDescent="0.15">
      <c r="A1780" s="32"/>
      <c r="B1780" s="32"/>
      <c r="C1780" s="32"/>
      <c r="D1780" s="32"/>
      <c r="E1780" s="32"/>
      <c r="F1780" s="32"/>
      <c r="G1780" s="32"/>
      <c r="H1780" s="32"/>
      <c r="I1780" s="32"/>
      <c r="J1780" s="32"/>
      <c r="K1780" s="32"/>
      <c r="L1780" s="32"/>
      <c r="M1780" s="23"/>
      <c r="N1780" s="32"/>
      <c r="O1780" s="32"/>
      <c r="P1780" s="32"/>
      <c r="Q1780" s="32"/>
      <c r="R1780" s="32"/>
      <c r="S1780" s="32"/>
      <c r="T1780" s="32"/>
      <c r="U1780" s="32"/>
      <c r="V1780" s="32"/>
      <c r="W1780" s="32"/>
      <c r="X1780" s="32"/>
      <c r="Y1780" s="32"/>
      <c r="Z1780" s="32"/>
      <c r="AA1780" s="32"/>
      <c r="AB1780" s="32"/>
    </row>
    <row r="1781" spans="1:28" ht="13" x14ac:dyDescent="0.15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23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</row>
    <row r="1782" spans="1:28" ht="13" x14ac:dyDescent="0.15">
      <c r="A1782" s="32"/>
      <c r="B1782" s="32"/>
      <c r="C1782" s="32"/>
      <c r="D1782" s="32"/>
      <c r="E1782" s="32"/>
      <c r="F1782" s="32"/>
      <c r="G1782" s="32"/>
      <c r="H1782" s="32"/>
      <c r="I1782" s="32"/>
      <c r="J1782" s="32"/>
      <c r="K1782" s="32"/>
      <c r="L1782" s="32"/>
      <c r="M1782" s="23"/>
      <c r="N1782" s="32"/>
      <c r="O1782" s="32"/>
      <c r="P1782" s="32"/>
      <c r="Q1782" s="32"/>
      <c r="R1782" s="32"/>
      <c r="S1782" s="32"/>
      <c r="T1782" s="32"/>
      <c r="U1782" s="32"/>
      <c r="V1782" s="32"/>
      <c r="W1782" s="32"/>
      <c r="X1782" s="32"/>
      <c r="Y1782" s="32"/>
      <c r="Z1782" s="32"/>
      <c r="AA1782" s="32"/>
      <c r="AB1782" s="32"/>
    </row>
    <row r="1783" spans="1:28" ht="13" x14ac:dyDescent="0.15">
      <c r="A1783" s="32"/>
      <c r="B1783" s="32"/>
      <c r="C1783" s="32"/>
      <c r="D1783" s="32"/>
      <c r="E1783" s="32"/>
      <c r="F1783" s="32"/>
      <c r="G1783" s="32"/>
      <c r="H1783" s="32"/>
      <c r="I1783" s="32"/>
      <c r="J1783" s="32"/>
      <c r="K1783" s="32"/>
      <c r="L1783" s="32"/>
      <c r="M1783" s="23"/>
      <c r="N1783" s="32"/>
      <c r="O1783" s="32"/>
      <c r="P1783" s="32"/>
      <c r="Q1783" s="32"/>
      <c r="R1783" s="32"/>
      <c r="S1783" s="32"/>
      <c r="T1783" s="32"/>
      <c r="U1783" s="32"/>
      <c r="V1783" s="32"/>
      <c r="W1783" s="32"/>
      <c r="X1783" s="32"/>
      <c r="Y1783" s="32"/>
      <c r="Z1783" s="32"/>
      <c r="AA1783" s="32"/>
      <c r="AB1783" s="32"/>
    </row>
    <row r="1784" spans="1:28" ht="13" x14ac:dyDescent="0.15">
      <c r="A1784" s="32"/>
      <c r="B1784" s="32"/>
      <c r="C1784" s="32"/>
      <c r="D1784" s="32"/>
      <c r="E1784" s="32"/>
      <c r="F1784" s="32"/>
      <c r="G1784" s="32"/>
      <c r="H1784" s="32"/>
      <c r="I1784" s="32"/>
      <c r="J1784" s="32"/>
      <c r="K1784" s="32"/>
      <c r="L1784" s="32"/>
      <c r="M1784" s="23"/>
      <c r="N1784" s="32"/>
      <c r="O1784" s="32"/>
      <c r="P1784" s="32"/>
      <c r="Q1784" s="32"/>
      <c r="R1784" s="32"/>
      <c r="S1784" s="32"/>
      <c r="T1784" s="32"/>
      <c r="U1784" s="32"/>
      <c r="V1784" s="32"/>
      <c r="W1784" s="32"/>
      <c r="X1784" s="32"/>
      <c r="Y1784" s="32"/>
      <c r="Z1784" s="32"/>
      <c r="AA1784" s="32"/>
      <c r="AB1784" s="32"/>
    </row>
    <row r="1785" spans="1:28" ht="13" x14ac:dyDescent="0.15">
      <c r="A1785" s="32"/>
      <c r="B1785" s="32"/>
      <c r="C1785" s="32"/>
      <c r="D1785" s="32"/>
      <c r="E1785" s="32"/>
      <c r="F1785" s="32"/>
      <c r="G1785" s="32"/>
      <c r="H1785" s="32"/>
      <c r="I1785" s="32"/>
      <c r="J1785" s="32"/>
      <c r="K1785" s="32"/>
      <c r="L1785" s="32"/>
      <c r="M1785" s="23"/>
      <c r="N1785" s="32"/>
      <c r="O1785" s="32"/>
      <c r="P1785" s="32"/>
      <c r="Q1785" s="32"/>
      <c r="R1785" s="32"/>
      <c r="S1785" s="32"/>
      <c r="T1785" s="32"/>
      <c r="U1785" s="32"/>
      <c r="V1785" s="32"/>
      <c r="W1785" s="32"/>
      <c r="X1785" s="32"/>
      <c r="Y1785" s="32"/>
      <c r="Z1785" s="32"/>
      <c r="AA1785" s="32"/>
      <c r="AB1785" s="32"/>
    </row>
    <row r="1786" spans="1:28" ht="13" x14ac:dyDescent="0.15">
      <c r="A1786" s="32"/>
      <c r="B1786" s="32"/>
      <c r="C1786" s="32"/>
      <c r="D1786" s="32"/>
      <c r="E1786" s="32"/>
      <c r="F1786" s="32"/>
      <c r="G1786" s="32"/>
      <c r="H1786" s="32"/>
      <c r="I1786" s="32"/>
      <c r="J1786" s="32"/>
      <c r="K1786" s="32"/>
      <c r="L1786" s="32"/>
      <c r="M1786" s="23"/>
      <c r="N1786" s="32"/>
      <c r="O1786" s="32"/>
      <c r="P1786" s="32"/>
      <c r="Q1786" s="32"/>
      <c r="R1786" s="32"/>
      <c r="S1786" s="32"/>
      <c r="T1786" s="32"/>
      <c r="U1786" s="32"/>
      <c r="V1786" s="32"/>
      <c r="W1786" s="32"/>
      <c r="X1786" s="32"/>
      <c r="Y1786" s="32"/>
      <c r="Z1786" s="32"/>
      <c r="AA1786" s="32"/>
      <c r="AB1786" s="32"/>
    </row>
    <row r="1787" spans="1:28" ht="13" x14ac:dyDescent="0.15">
      <c r="A1787" s="32"/>
      <c r="B1787" s="32"/>
      <c r="C1787" s="32"/>
      <c r="D1787" s="32"/>
      <c r="E1787" s="32"/>
      <c r="F1787" s="32"/>
      <c r="G1787" s="32"/>
      <c r="H1787" s="32"/>
      <c r="I1787" s="32"/>
      <c r="J1787" s="32"/>
      <c r="K1787" s="32"/>
      <c r="L1787" s="32"/>
      <c r="M1787" s="23"/>
      <c r="N1787" s="32"/>
      <c r="O1787" s="32"/>
      <c r="P1787" s="32"/>
      <c r="Q1787" s="32"/>
      <c r="R1787" s="32"/>
      <c r="S1787" s="32"/>
      <c r="T1787" s="32"/>
      <c r="U1787" s="32"/>
      <c r="V1787" s="32"/>
      <c r="W1787" s="32"/>
      <c r="X1787" s="32"/>
      <c r="Y1787" s="32"/>
      <c r="Z1787" s="32"/>
      <c r="AA1787" s="32"/>
      <c r="AB1787" s="32"/>
    </row>
    <row r="1788" spans="1:28" ht="13" x14ac:dyDescent="0.15">
      <c r="A1788" s="32"/>
      <c r="B1788" s="32"/>
      <c r="C1788" s="32"/>
      <c r="D1788" s="32"/>
      <c r="E1788" s="32"/>
      <c r="F1788" s="32"/>
      <c r="G1788" s="32"/>
      <c r="H1788" s="32"/>
      <c r="I1788" s="32"/>
      <c r="J1788" s="32"/>
      <c r="K1788" s="32"/>
      <c r="L1788" s="32"/>
      <c r="M1788" s="23"/>
      <c r="N1788" s="32"/>
      <c r="O1788" s="32"/>
      <c r="P1788" s="32"/>
      <c r="Q1788" s="32"/>
      <c r="R1788" s="32"/>
      <c r="S1788" s="32"/>
      <c r="T1788" s="32"/>
      <c r="U1788" s="32"/>
      <c r="V1788" s="32"/>
      <c r="W1788" s="32"/>
      <c r="X1788" s="32"/>
      <c r="Y1788" s="32"/>
      <c r="Z1788" s="32"/>
      <c r="AA1788" s="32"/>
      <c r="AB1788" s="32"/>
    </row>
    <row r="1789" spans="1:28" ht="13" x14ac:dyDescent="0.15">
      <c r="A1789" s="32"/>
      <c r="B1789" s="32"/>
      <c r="C1789" s="32"/>
      <c r="D1789" s="32"/>
      <c r="E1789" s="32"/>
      <c r="F1789" s="32"/>
      <c r="G1789" s="32"/>
      <c r="H1789" s="32"/>
      <c r="I1789" s="32"/>
      <c r="J1789" s="32"/>
      <c r="K1789" s="32"/>
      <c r="L1789" s="32"/>
      <c r="M1789" s="23"/>
      <c r="N1789" s="32"/>
      <c r="O1789" s="32"/>
      <c r="P1789" s="32"/>
      <c r="Q1789" s="32"/>
      <c r="R1789" s="32"/>
      <c r="S1789" s="32"/>
      <c r="T1789" s="32"/>
      <c r="U1789" s="32"/>
      <c r="V1789" s="32"/>
      <c r="W1789" s="32"/>
      <c r="X1789" s="32"/>
      <c r="Y1789" s="32"/>
      <c r="Z1789" s="32"/>
      <c r="AA1789" s="32"/>
      <c r="AB1789" s="32"/>
    </row>
    <row r="1790" spans="1:28" ht="13" x14ac:dyDescent="0.15">
      <c r="A1790" s="32"/>
      <c r="B1790" s="32"/>
      <c r="C1790" s="32"/>
      <c r="D1790" s="32"/>
      <c r="E1790" s="32"/>
      <c r="F1790" s="32"/>
      <c r="G1790" s="32"/>
      <c r="H1790" s="32"/>
      <c r="I1790" s="32"/>
      <c r="J1790" s="32"/>
      <c r="K1790" s="32"/>
      <c r="L1790" s="32"/>
      <c r="M1790" s="23"/>
      <c r="N1790" s="32"/>
      <c r="O1790" s="32"/>
      <c r="P1790" s="32"/>
      <c r="Q1790" s="32"/>
      <c r="R1790" s="32"/>
      <c r="S1790" s="32"/>
      <c r="T1790" s="32"/>
      <c r="U1790" s="32"/>
      <c r="V1790" s="32"/>
      <c r="W1790" s="32"/>
      <c r="X1790" s="32"/>
      <c r="Y1790" s="32"/>
      <c r="Z1790" s="32"/>
      <c r="AA1790" s="32"/>
      <c r="AB1790" s="32"/>
    </row>
    <row r="1791" spans="1:28" ht="13" x14ac:dyDescent="0.15">
      <c r="A1791" s="32"/>
      <c r="B1791" s="32"/>
      <c r="C1791" s="32"/>
      <c r="D1791" s="32"/>
      <c r="E1791" s="32"/>
      <c r="F1791" s="32"/>
      <c r="G1791" s="32"/>
      <c r="H1791" s="32"/>
      <c r="I1791" s="32"/>
      <c r="J1791" s="32"/>
      <c r="K1791" s="32"/>
      <c r="L1791" s="32"/>
      <c r="M1791" s="23"/>
      <c r="N1791" s="32"/>
      <c r="O1791" s="32"/>
      <c r="P1791" s="32"/>
      <c r="Q1791" s="32"/>
      <c r="R1791" s="32"/>
      <c r="S1791" s="32"/>
      <c r="T1791" s="32"/>
      <c r="U1791" s="32"/>
      <c r="V1791" s="32"/>
      <c r="W1791" s="32"/>
      <c r="X1791" s="32"/>
      <c r="Y1791" s="32"/>
      <c r="Z1791" s="32"/>
      <c r="AA1791" s="32"/>
      <c r="AB1791" s="32"/>
    </row>
    <row r="1792" spans="1:28" ht="13" x14ac:dyDescent="0.15">
      <c r="A1792" s="32"/>
      <c r="B1792" s="32"/>
      <c r="C1792" s="32"/>
      <c r="D1792" s="32"/>
      <c r="E1792" s="32"/>
      <c r="F1792" s="32"/>
      <c r="G1792" s="32"/>
      <c r="H1792" s="32"/>
      <c r="I1792" s="32"/>
      <c r="J1792" s="32"/>
      <c r="K1792" s="32"/>
      <c r="L1792" s="32"/>
      <c r="M1792" s="23"/>
      <c r="N1792" s="32"/>
      <c r="O1792" s="32"/>
      <c r="P1792" s="32"/>
      <c r="Q1792" s="32"/>
      <c r="R1792" s="32"/>
      <c r="S1792" s="32"/>
      <c r="T1792" s="32"/>
      <c r="U1792" s="32"/>
      <c r="V1792" s="32"/>
      <c r="W1792" s="32"/>
      <c r="X1792" s="32"/>
      <c r="Y1792" s="32"/>
      <c r="Z1792" s="32"/>
      <c r="AA1792" s="32"/>
      <c r="AB1792" s="32"/>
    </row>
    <row r="1793" spans="1:28" ht="13" x14ac:dyDescent="0.15">
      <c r="A1793" s="32"/>
      <c r="B1793" s="32"/>
      <c r="C1793" s="32"/>
      <c r="D1793" s="32"/>
      <c r="E1793" s="32"/>
      <c r="F1793" s="32"/>
      <c r="G1793" s="32"/>
      <c r="H1793" s="32"/>
      <c r="I1793" s="32"/>
      <c r="J1793" s="32"/>
      <c r="K1793" s="32"/>
      <c r="L1793" s="32"/>
      <c r="M1793" s="23"/>
      <c r="N1793" s="32"/>
      <c r="O1793" s="32"/>
      <c r="P1793" s="32"/>
      <c r="Q1793" s="32"/>
      <c r="R1793" s="32"/>
      <c r="S1793" s="32"/>
      <c r="T1793" s="32"/>
      <c r="U1793" s="32"/>
      <c r="V1793" s="32"/>
      <c r="W1793" s="32"/>
      <c r="X1793" s="32"/>
      <c r="Y1793" s="32"/>
      <c r="Z1793" s="32"/>
      <c r="AA1793" s="32"/>
      <c r="AB1793" s="32"/>
    </row>
    <row r="1794" spans="1:28" ht="13" x14ac:dyDescent="0.15">
      <c r="A1794" s="32"/>
      <c r="B1794" s="32"/>
      <c r="C1794" s="32"/>
      <c r="D1794" s="32"/>
      <c r="E1794" s="32"/>
      <c r="F1794" s="32"/>
      <c r="G1794" s="32"/>
      <c r="H1794" s="32"/>
      <c r="I1794" s="32"/>
      <c r="J1794" s="32"/>
      <c r="K1794" s="32"/>
      <c r="L1794" s="32"/>
      <c r="M1794" s="23"/>
      <c r="N1794" s="32"/>
      <c r="O1794" s="32"/>
      <c r="P1794" s="32"/>
      <c r="Q1794" s="32"/>
      <c r="R1794" s="32"/>
      <c r="S1794" s="32"/>
      <c r="T1794" s="32"/>
      <c r="U1794" s="32"/>
      <c r="V1794" s="32"/>
      <c r="W1794" s="32"/>
      <c r="X1794" s="32"/>
      <c r="Y1794" s="32"/>
      <c r="Z1794" s="32"/>
      <c r="AA1794" s="32"/>
      <c r="AB1794" s="32"/>
    </row>
    <row r="1795" spans="1:28" ht="13" x14ac:dyDescent="0.15">
      <c r="A1795" s="32"/>
      <c r="B1795" s="32"/>
      <c r="C1795" s="32"/>
      <c r="D1795" s="32"/>
      <c r="E1795" s="32"/>
      <c r="F1795" s="32"/>
      <c r="G1795" s="32"/>
      <c r="H1795" s="32"/>
      <c r="I1795" s="32"/>
      <c r="J1795" s="32"/>
      <c r="K1795" s="32"/>
      <c r="L1795" s="32"/>
      <c r="M1795" s="23"/>
      <c r="N1795" s="32"/>
      <c r="O1795" s="32"/>
      <c r="P1795" s="32"/>
      <c r="Q1795" s="32"/>
      <c r="R1795" s="32"/>
      <c r="S1795" s="32"/>
      <c r="T1795" s="32"/>
      <c r="U1795" s="32"/>
      <c r="V1795" s="32"/>
      <c r="W1795" s="32"/>
      <c r="X1795" s="32"/>
      <c r="Y1795" s="32"/>
      <c r="Z1795" s="32"/>
      <c r="AA1795" s="32"/>
      <c r="AB1795" s="32"/>
    </row>
    <row r="1796" spans="1:28" ht="13" x14ac:dyDescent="0.15">
      <c r="A1796" s="32"/>
      <c r="B1796" s="32"/>
      <c r="C1796" s="32"/>
      <c r="D1796" s="32"/>
      <c r="E1796" s="32"/>
      <c r="F1796" s="32"/>
      <c r="G1796" s="32"/>
      <c r="H1796" s="32"/>
      <c r="I1796" s="32"/>
      <c r="J1796" s="32"/>
      <c r="K1796" s="32"/>
      <c r="L1796" s="32"/>
      <c r="M1796" s="23"/>
      <c r="N1796" s="32"/>
      <c r="O1796" s="32"/>
      <c r="P1796" s="32"/>
      <c r="Q1796" s="32"/>
      <c r="R1796" s="32"/>
      <c r="S1796" s="32"/>
      <c r="T1796" s="32"/>
      <c r="U1796" s="32"/>
      <c r="V1796" s="32"/>
      <c r="W1796" s="32"/>
      <c r="X1796" s="32"/>
      <c r="Y1796" s="32"/>
      <c r="Z1796" s="32"/>
      <c r="AA1796" s="32"/>
      <c r="AB1796" s="32"/>
    </row>
    <row r="1797" spans="1:28" ht="13" x14ac:dyDescent="0.15">
      <c r="A1797" s="32"/>
      <c r="B1797" s="32"/>
      <c r="C1797" s="32"/>
      <c r="D1797" s="32"/>
      <c r="E1797" s="32"/>
      <c r="F1797" s="32"/>
      <c r="G1797" s="32"/>
      <c r="H1797" s="32"/>
      <c r="I1797" s="32"/>
      <c r="J1797" s="32"/>
      <c r="K1797" s="32"/>
      <c r="L1797" s="32"/>
      <c r="M1797" s="23"/>
      <c r="N1797" s="32"/>
      <c r="O1797" s="32"/>
      <c r="P1797" s="32"/>
      <c r="Q1797" s="32"/>
      <c r="R1797" s="32"/>
      <c r="S1797" s="32"/>
      <c r="T1797" s="32"/>
      <c r="U1797" s="32"/>
      <c r="V1797" s="32"/>
      <c r="W1797" s="32"/>
      <c r="X1797" s="32"/>
      <c r="Y1797" s="32"/>
      <c r="Z1797" s="32"/>
      <c r="AA1797" s="32"/>
      <c r="AB1797" s="32"/>
    </row>
    <row r="1798" spans="1:28" ht="13" x14ac:dyDescent="0.15">
      <c r="A1798" s="32"/>
      <c r="B1798" s="32"/>
      <c r="C1798" s="32"/>
      <c r="D1798" s="32"/>
      <c r="E1798" s="32"/>
      <c r="F1798" s="32"/>
      <c r="G1798" s="32"/>
      <c r="H1798" s="32"/>
      <c r="I1798" s="32"/>
      <c r="J1798" s="32"/>
      <c r="K1798" s="32"/>
      <c r="L1798" s="32"/>
      <c r="M1798" s="23"/>
      <c r="N1798" s="32"/>
      <c r="O1798" s="32"/>
      <c r="P1798" s="32"/>
      <c r="Q1798" s="32"/>
      <c r="R1798" s="32"/>
      <c r="S1798" s="32"/>
      <c r="T1798" s="32"/>
      <c r="U1798" s="32"/>
      <c r="V1798" s="32"/>
      <c r="W1798" s="32"/>
      <c r="X1798" s="32"/>
      <c r="Y1798" s="32"/>
      <c r="Z1798" s="32"/>
      <c r="AA1798" s="32"/>
      <c r="AB1798" s="32"/>
    </row>
    <row r="1799" spans="1:28" ht="13" x14ac:dyDescent="0.15">
      <c r="A1799" s="32"/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  <c r="M1799" s="23"/>
      <c r="N1799" s="32"/>
      <c r="O1799" s="32"/>
      <c r="P1799" s="32"/>
      <c r="Q1799" s="32"/>
      <c r="R1799" s="32"/>
      <c r="S1799" s="32"/>
      <c r="T1799" s="32"/>
      <c r="U1799" s="32"/>
      <c r="V1799" s="32"/>
      <c r="W1799" s="32"/>
      <c r="X1799" s="32"/>
      <c r="Y1799" s="32"/>
      <c r="Z1799" s="32"/>
      <c r="AA1799" s="32"/>
      <c r="AB1799" s="32"/>
    </row>
    <row r="1800" spans="1:28" ht="13" x14ac:dyDescent="0.15">
      <c r="A1800" s="32"/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  <c r="M1800" s="23"/>
      <c r="N1800" s="32"/>
      <c r="O1800" s="32"/>
      <c r="P1800" s="32"/>
      <c r="Q1800" s="32"/>
      <c r="R1800" s="32"/>
      <c r="S1800" s="32"/>
      <c r="T1800" s="32"/>
      <c r="U1800" s="32"/>
      <c r="V1800" s="32"/>
      <c r="W1800" s="32"/>
      <c r="X1800" s="32"/>
      <c r="Y1800" s="32"/>
      <c r="Z1800" s="32"/>
      <c r="AA1800" s="32"/>
      <c r="AB1800" s="32"/>
    </row>
    <row r="1801" spans="1:28" ht="13" x14ac:dyDescent="0.15">
      <c r="A1801" s="32"/>
      <c r="B1801" s="32"/>
      <c r="C1801" s="32"/>
      <c r="D1801" s="32"/>
      <c r="E1801" s="32"/>
      <c r="F1801" s="32"/>
      <c r="G1801" s="32"/>
      <c r="H1801" s="32"/>
      <c r="I1801" s="32"/>
      <c r="J1801" s="32"/>
      <c r="K1801" s="32"/>
      <c r="L1801" s="32"/>
      <c r="M1801" s="23"/>
      <c r="N1801" s="32"/>
      <c r="O1801" s="32"/>
      <c r="P1801" s="32"/>
      <c r="Q1801" s="32"/>
      <c r="R1801" s="32"/>
      <c r="S1801" s="32"/>
      <c r="T1801" s="32"/>
      <c r="U1801" s="32"/>
      <c r="V1801" s="32"/>
      <c r="W1801" s="32"/>
      <c r="X1801" s="32"/>
      <c r="Y1801" s="32"/>
      <c r="Z1801" s="32"/>
      <c r="AA1801" s="32"/>
      <c r="AB1801" s="32"/>
    </row>
    <row r="1802" spans="1:28" ht="13" x14ac:dyDescent="0.15">
      <c r="A1802" s="32"/>
      <c r="B1802" s="32"/>
      <c r="C1802" s="32"/>
      <c r="D1802" s="32"/>
      <c r="E1802" s="32"/>
      <c r="F1802" s="32"/>
      <c r="G1802" s="32"/>
      <c r="H1802" s="32"/>
      <c r="I1802" s="32"/>
      <c r="J1802" s="32"/>
      <c r="K1802" s="32"/>
      <c r="L1802" s="32"/>
      <c r="M1802" s="23"/>
      <c r="N1802" s="32"/>
      <c r="O1802" s="32"/>
      <c r="P1802" s="32"/>
      <c r="Q1802" s="32"/>
      <c r="R1802" s="32"/>
      <c r="S1802" s="32"/>
      <c r="T1802" s="32"/>
      <c r="U1802" s="32"/>
      <c r="V1802" s="32"/>
      <c r="W1802" s="32"/>
      <c r="X1802" s="32"/>
      <c r="Y1802" s="32"/>
      <c r="Z1802" s="32"/>
      <c r="AA1802" s="32"/>
      <c r="AB1802" s="32"/>
    </row>
    <row r="1803" spans="1:28" ht="13" x14ac:dyDescent="0.15">
      <c r="A1803" s="32"/>
      <c r="B1803" s="32"/>
      <c r="C1803" s="32"/>
      <c r="D1803" s="32"/>
      <c r="E1803" s="32"/>
      <c r="F1803" s="32"/>
      <c r="G1803" s="32"/>
      <c r="H1803" s="32"/>
      <c r="I1803" s="32"/>
      <c r="J1803" s="32"/>
      <c r="K1803" s="32"/>
      <c r="L1803" s="32"/>
      <c r="M1803" s="23"/>
      <c r="N1803" s="32"/>
      <c r="O1803" s="32"/>
      <c r="P1803" s="32"/>
      <c r="Q1803" s="32"/>
      <c r="R1803" s="32"/>
      <c r="S1803" s="32"/>
      <c r="T1803" s="32"/>
      <c r="U1803" s="32"/>
      <c r="V1803" s="32"/>
      <c r="W1803" s="32"/>
      <c r="X1803" s="32"/>
      <c r="Y1803" s="32"/>
      <c r="Z1803" s="32"/>
      <c r="AA1803" s="32"/>
      <c r="AB1803" s="32"/>
    </row>
    <row r="1804" spans="1:28" ht="13" x14ac:dyDescent="0.15">
      <c r="A1804" s="32"/>
      <c r="B1804" s="32"/>
      <c r="C1804" s="32"/>
      <c r="D1804" s="32"/>
      <c r="E1804" s="32"/>
      <c r="F1804" s="32"/>
      <c r="G1804" s="32"/>
      <c r="H1804" s="32"/>
      <c r="I1804" s="32"/>
      <c r="J1804" s="32"/>
      <c r="K1804" s="32"/>
      <c r="L1804" s="32"/>
      <c r="M1804" s="23"/>
      <c r="N1804" s="32"/>
      <c r="O1804" s="32"/>
      <c r="P1804" s="32"/>
      <c r="Q1804" s="32"/>
      <c r="R1804" s="32"/>
      <c r="S1804" s="32"/>
      <c r="T1804" s="32"/>
      <c r="U1804" s="32"/>
      <c r="V1804" s="32"/>
      <c r="W1804" s="32"/>
      <c r="X1804" s="32"/>
      <c r="Y1804" s="32"/>
      <c r="Z1804" s="32"/>
      <c r="AA1804" s="32"/>
      <c r="AB1804" s="32"/>
    </row>
    <row r="1805" spans="1:28" ht="13" x14ac:dyDescent="0.15">
      <c r="A1805" s="32"/>
      <c r="B1805" s="32"/>
      <c r="C1805" s="32"/>
      <c r="D1805" s="32"/>
      <c r="E1805" s="32"/>
      <c r="F1805" s="32"/>
      <c r="G1805" s="32"/>
      <c r="H1805" s="32"/>
      <c r="I1805" s="32"/>
      <c r="J1805" s="32"/>
      <c r="K1805" s="32"/>
      <c r="L1805" s="32"/>
      <c r="M1805" s="23"/>
      <c r="N1805" s="32"/>
      <c r="O1805" s="32"/>
      <c r="P1805" s="32"/>
      <c r="Q1805" s="32"/>
      <c r="R1805" s="32"/>
      <c r="S1805" s="32"/>
      <c r="T1805" s="32"/>
      <c r="U1805" s="32"/>
      <c r="V1805" s="32"/>
      <c r="W1805" s="32"/>
      <c r="X1805" s="32"/>
      <c r="Y1805" s="32"/>
      <c r="Z1805" s="32"/>
      <c r="AA1805" s="32"/>
      <c r="AB1805" s="32"/>
    </row>
    <row r="1806" spans="1:28" ht="13" x14ac:dyDescent="0.15">
      <c r="A1806" s="32"/>
      <c r="B1806" s="32"/>
      <c r="C1806" s="32"/>
      <c r="D1806" s="32"/>
      <c r="E1806" s="32"/>
      <c r="F1806" s="32"/>
      <c r="G1806" s="32"/>
      <c r="H1806" s="32"/>
      <c r="I1806" s="32"/>
      <c r="J1806" s="32"/>
      <c r="K1806" s="32"/>
      <c r="L1806" s="32"/>
      <c r="M1806" s="23"/>
      <c r="N1806" s="32"/>
      <c r="O1806" s="32"/>
      <c r="P1806" s="32"/>
      <c r="Q1806" s="32"/>
      <c r="R1806" s="32"/>
      <c r="S1806" s="32"/>
      <c r="T1806" s="32"/>
      <c r="U1806" s="32"/>
      <c r="V1806" s="32"/>
      <c r="W1806" s="32"/>
      <c r="X1806" s="32"/>
      <c r="Y1806" s="32"/>
      <c r="Z1806" s="32"/>
      <c r="AA1806" s="32"/>
      <c r="AB1806" s="32"/>
    </row>
    <row r="1807" spans="1:28" ht="13" x14ac:dyDescent="0.15">
      <c r="A1807" s="32"/>
      <c r="B1807" s="32"/>
      <c r="C1807" s="32"/>
      <c r="D1807" s="32"/>
      <c r="E1807" s="32"/>
      <c r="F1807" s="32"/>
      <c r="G1807" s="32"/>
      <c r="H1807" s="32"/>
      <c r="I1807" s="32"/>
      <c r="J1807" s="32"/>
      <c r="K1807" s="32"/>
      <c r="L1807" s="32"/>
      <c r="M1807" s="23"/>
      <c r="N1807" s="32"/>
      <c r="O1807" s="32"/>
      <c r="P1807" s="32"/>
      <c r="Q1807" s="32"/>
      <c r="R1807" s="32"/>
      <c r="S1807" s="32"/>
      <c r="T1807" s="32"/>
      <c r="U1807" s="32"/>
      <c r="V1807" s="32"/>
      <c r="W1807" s="32"/>
      <c r="X1807" s="32"/>
      <c r="Y1807" s="32"/>
      <c r="Z1807" s="32"/>
      <c r="AA1807" s="32"/>
      <c r="AB1807" s="32"/>
    </row>
    <row r="1808" spans="1:28" ht="13" x14ac:dyDescent="0.15">
      <c r="A1808" s="32"/>
      <c r="B1808" s="32"/>
      <c r="C1808" s="32"/>
      <c r="D1808" s="32"/>
      <c r="E1808" s="32"/>
      <c r="F1808" s="32"/>
      <c r="G1808" s="32"/>
      <c r="H1808" s="32"/>
      <c r="I1808" s="32"/>
      <c r="J1808" s="32"/>
      <c r="K1808" s="32"/>
      <c r="L1808" s="32"/>
      <c r="M1808" s="23"/>
      <c r="N1808" s="32"/>
      <c r="O1808" s="32"/>
      <c r="P1808" s="32"/>
      <c r="Q1808" s="32"/>
      <c r="R1808" s="32"/>
      <c r="S1808" s="32"/>
      <c r="T1808" s="32"/>
      <c r="U1808" s="32"/>
      <c r="V1808" s="32"/>
      <c r="W1808" s="32"/>
      <c r="X1808" s="32"/>
      <c r="Y1808" s="32"/>
      <c r="Z1808" s="32"/>
      <c r="AA1808" s="32"/>
      <c r="AB1808" s="32"/>
    </row>
    <row r="1809" spans="1:28" ht="13" x14ac:dyDescent="0.15">
      <c r="A1809" s="32"/>
      <c r="B1809" s="32"/>
      <c r="C1809" s="32"/>
      <c r="D1809" s="32"/>
      <c r="E1809" s="32"/>
      <c r="F1809" s="32"/>
      <c r="G1809" s="32"/>
      <c r="H1809" s="32"/>
      <c r="I1809" s="32"/>
      <c r="J1809" s="32"/>
      <c r="K1809" s="32"/>
      <c r="L1809" s="32"/>
      <c r="M1809" s="23"/>
      <c r="N1809" s="32"/>
      <c r="O1809" s="32"/>
      <c r="P1809" s="32"/>
      <c r="Q1809" s="32"/>
      <c r="R1809" s="32"/>
      <c r="S1809" s="32"/>
      <c r="T1809" s="32"/>
      <c r="U1809" s="32"/>
      <c r="V1809" s="32"/>
      <c r="W1809" s="32"/>
      <c r="X1809" s="32"/>
      <c r="Y1809" s="32"/>
      <c r="Z1809" s="32"/>
      <c r="AA1809" s="32"/>
      <c r="AB1809" s="32"/>
    </row>
    <row r="1810" spans="1:28" ht="13" x14ac:dyDescent="0.15">
      <c r="A1810" s="32"/>
      <c r="B1810" s="32"/>
      <c r="C1810" s="32"/>
      <c r="D1810" s="32"/>
      <c r="E1810" s="32"/>
      <c r="F1810" s="32"/>
      <c r="G1810" s="32"/>
      <c r="H1810" s="32"/>
      <c r="I1810" s="32"/>
      <c r="J1810" s="32"/>
      <c r="K1810" s="32"/>
      <c r="L1810" s="32"/>
      <c r="M1810" s="23"/>
      <c r="N1810" s="32"/>
      <c r="O1810" s="32"/>
      <c r="P1810" s="32"/>
      <c r="Q1810" s="32"/>
      <c r="R1810" s="32"/>
      <c r="S1810" s="32"/>
      <c r="T1810" s="32"/>
      <c r="U1810" s="32"/>
      <c r="V1810" s="32"/>
      <c r="W1810" s="32"/>
      <c r="X1810" s="32"/>
      <c r="Y1810" s="32"/>
      <c r="Z1810" s="32"/>
      <c r="AA1810" s="32"/>
      <c r="AB1810" s="32"/>
    </row>
    <row r="1811" spans="1:28" ht="13" x14ac:dyDescent="0.15">
      <c r="A1811" s="32"/>
      <c r="B1811" s="32"/>
      <c r="C1811" s="32"/>
      <c r="D1811" s="32"/>
      <c r="E1811" s="32"/>
      <c r="F1811" s="32"/>
      <c r="G1811" s="32"/>
      <c r="H1811" s="32"/>
      <c r="I1811" s="32"/>
      <c r="J1811" s="32"/>
      <c r="K1811" s="32"/>
      <c r="L1811" s="32"/>
      <c r="M1811" s="23"/>
      <c r="N1811" s="32"/>
      <c r="O1811" s="32"/>
      <c r="P1811" s="32"/>
      <c r="Q1811" s="32"/>
      <c r="R1811" s="32"/>
      <c r="S1811" s="32"/>
      <c r="T1811" s="32"/>
      <c r="U1811" s="32"/>
      <c r="V1811" s="32"/>
      <c r="W1811" s="32"/>
      <c r="X1811" s="32"/>
      <c r="Y1811" s="32"/>
      <c r="Z1811" s="32"/>
      <c r="AA1811" s="32"/>
      <c r="AB1811" s="32"/>
    </row>
    <row r="1812" spans="1:28" ht="13" x14ac:dyDescent="0.15">
      <c r="A1812" s="32"/>
      <c r="B1812" s="32"/>
      <c r="C1812" s="32"/>
      <c r="D1812" s="32"/>
      <c r="E1812" s="32"/>
      <c r="F1812" s="32"/>
      <c r="G1812" s="32"/>
      <c r="H1812" s="32"/>
      <c r="I1812" s="32"/>
      <c r="J1812" s="32"/>
      <c r="K1812" s="32"/>
      <c r="L1812" s="32"/>
      <c r="M1812" s="23"/>
      <c r="N1812" s="32"/>
      <c r="O1812" s="32"/>
      <c r="P1812" s="32"/>
      <c r="Q1812" s="32"/>
      <c r="R1812" s="32"/>
      <c r="S1812" s="32"/>
      <c r="T1812" s="32"/>
      <c r="U1812" s="32"/>
      <c r="V1812" s="32"/>
      <c r="W1812" s="32"/>
      <c r="X1812" s="32"/>
      <c r="Y1812" s="32"/>
      <c r="Z1812" s="32"/>
      <c r="AA1812" s="32"/>
      <c r="AB1812" s="32"/>
    </row>
    <row r="1813" spans="1:28" ht="13" x14ac:dyDescent="0.15">
      <c r="A1813" s="32"/>
      <c r="B1813" s="32"/>
      <c r="C1813" s="32"/>
      <c r="D1813" s="32"/>
      <c r="E1813" s="32"/>
      <c r="F1813" s="32"/>
      <c r="G1813" s="32"/>
      <c r="H1813" s="32"/>
      <c r="I1813" s="32"/>
      <c r="J1813" s="32"/>
      <c r="K1813" s="32"/>
      <c r="L1813" s="32"/>
      <c r="M1813" s="23"/>
      <c r="N1813" s="32"/>
      <c r="O1813" s="32"/>
      <c r="P1813" s="32"/>
      <c r="Q1813" s="32"/>
      <c r="R1813" s="32"/>
      <c r="S1813" s="32"/>
      <c r="T1813" s="32"/>
      <c r="U1813" s="32"/>
      <c r="V1813" s="32"/>
      <c r="W1813" s="32"/>
      <c r="X1813" s="32"/>
      <c r="Y1813" s="32"/>
      <c r="Z1813" s="32"/>
      <c r="AA1813" s="32"/>
      <c r="AB1813" s="32"/>
    </row>
    <row r="1814" spans="1:28" ht="13" x14ac:dyDescent="0.15">
      <c r="A1814" s="32"/>
      <c r="B1814" s="32"/>
      <c r="C1814" s="32"/>
      <c r="D1814" s="32"/>
      <c r="E1814" s="32"/>
      <c r="F1814" s="32"/>
      <c r="G1814" s="32"/>
      <c r="H1814" s="32"/>
      <c r="I1814" s="32"/>
      <c r="J1814" s="32"/>
      <c r="K1814" s="32"/>
      <c r="L1814" s="32"/>
      <c r="M1814" s="23"/>
      <c r="N1814" s="32"/>
      <c r="O1814" s="32"/>
      <c r="P1814" s="32"/>
      <c r="Q1814" s="32"/>
      <c r="R1814" s="32"/>
      <c r="S1814" s="32"/>
      <c r="T1814" s="32"/>
      <c r="U1814" s="32"/>
      <c r="V1814" s="32"/>
      <c r="W1814" s="32"/>
      <c r="X1814" s="32"/>
      <c r="Y1814" s="32"/>
      <c r="Z1814" s="32"/>
      <c r="AA1814" s="32"/>
      <c r="AB1814" s="32"/>
    </row>
    <row r="1815" spans="1:28" ht="13" x14ac:dyDescent="0.15">
      <c r="A1815" s="32"/>
      <c r="B1815" s="32"/>
      <c r="C1815" s="32"/>
      <c r="D1815" s="32"/>
      <c r="E1815" s="32"/>
      <c r="F1815" s="32"/>
      <c r="G1815" s="32"/>
      <c r="H1815" s="32"/>
      <c r="I1815" s="32"/>
      <c r="J1815" s="32"/>
      <c r="K1815" s="32"/>
      <c r="L1815" s="32"/>
      <c r="M1815" s="23"/>
      <c r="N1815" s="32"/>
      <c r="O1815" s="32"/>
      <c r="P1815" s="32"/>
      <c r="Q1815" s="32"/>
      <c r="R1815" s="32"/>
      <c r="S1815" s="32"/>
      <c r="T1815" s="32"/>
      <c r="U1815" s="32"/>
      <c r="V1815" s="32"/>
      <c r="W1815" s="32"/>
      <c r="X1815" s="32"/>
      <c r="Y1815" s="32"/>
      <c r="Z1815" s="32"/>
      <c r="AA1815" s="32"/>
      <c r="AB1815" s="32"/>
    </row>
    <row r="1816" spans="1:28" ht="13" x14ac:dyDescent="0.15">
      <c r="A1816" s="32"/>
      <c r="B1816" s="32"/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  <c r="M1816" s="23"/>
      <c r="N1816" s="32"/>
      <c r="O1816" s="32"/>
      <c r="P1816" s="32"/>
      <c r="Q1816" s="32"/>
      <c r="R1816" s="32"/>
      <c r="S1816" s="32"/>
      <c r="T1816" s="32"/>
      <c r="U1816" s="32"/>
      <c r="V1816" s="32"/>
      <c r="W1816" s="32"/>
      <c r="X1816" s="32"/>
      <c r="Y1816" s="32"/>
      <c r="Z1816" s="32"/>
      <c r="AA1816" s="32"/>
      <c r="AB1816" s="32"/>
    </row>
    <row r="1817" spans="1:28" ht="13" x14ac:dyDescent="0.15">
      <c r="A1817" s="32"/>
      <c r="B1817" s="32"/>
      <c r="C1817" s="32"/>
      <c r="D1817" s="32"/>
      <c r="E1817" s="32"/>
      <c r="F1817" s="32"/>
      <c r="G1817" s="32"/>
      <c r="H1817" s="32"/>
      <c r="I1817" s="32"/>
      <c r="J1817" s="32"/>
      <c r="K1817" s="32"/>
      <c r="L1817" s="32"/>
      <c r="M1817" s="23"/>
      <c r="N1817" s="32"/>
      <c r="O1817" s="32"/>
      <c r="P1817" s="32"/>
      <c r="Q1817" s="32"/>
      <c r="R1817" s="32"/>
      <c r="S1817" s="32"/>
      <c r="T1817" s="32"/>
      <c r="U1817" s="32"/>
      <c r="V1817" s="32"/>
      <c r="W1817" s="32"/>
      <c r="X1817" s="32"/>
      <c r="Y1817" s="32"/>
      <c r="Z1817" s="32"/>
      <c r="AA1817" s="32"/>
      <c r="AB1817" s="32"/>
    </row>
    <row r="1818" spans="1:28" ht="13" x14ac:dyDescent="0.15">
      <c r="A1818" s="32"/>
      <c r="B1818" s="32"/>
      <c r="C1818" s="32"/>
      <c r="D1818" s="32"/>
      <c r="E1818" s="32"/>
      <c r="F1818" s="32"/>
      <c r="G1818" s="32"/>
      <c r="H1818" s="32"/>
      <c r="I1818" s="32"/>
      <c r="J1818" s="32"/>
      <c r="K1818" s="32"/>
      <c r="L1818" s="32"/>
      <c r="M1818" s="23"/>
      <c r="N1818" s="32"/>
      <c r="O1818" s="32"/>
      <c r="P1818" s="32"/>
      <c r="Q1818" s="32"/>
      <c r="R1818" s="32"/>
      <c r="S1818" s="32"/>
      <c r="T1818" s="32"/>
      <c r="U1818" s="32"/>
      <c r="V1818" s="32"/>
      <c r="W1818" s="32"/>
      <c r="X1818" s="32"/>
      <c r="Y1818" s="32"/>
      <c r="Z1818" s="32"/>
      <c r="AA1818" s="32"/>
      <c r="AB1818" s="32"/>
    </row>
    <row r="1819" spans="1:28" ht="13" x14ac:dyDescent="0.15">
      <c r="A1819" s="32"/>
      <c r="B1819" s="32"/>
      <c r="C1819" s="32"/>
      <c r="D1819" s="32"/>
      <c r="E1819" s="32"/>
      <c r="F1819" s="32"/>
      <c r="G1819" s="32"/>
      <c r="H1819" s="32"/>
      <c r="I1819" s="32"/>
      <c r="J1819" s="32"/>
      <c r="K1819" s="32"/>
      <c r="L1819" s="32"/>
      <c r="M1819" s="23"/>
      <c r="N1819" s="32"/>
      <c r="O1819" s="32"/>
      <c r="P1819" s="32"/>
      <c r="Q1819" s="32"/>
      <c r="R1819" s="32"/>
      <c r="S1819" s="32"/>
      <c r="T1819" s="32"/>
      <c r="U1819" s="32"/>
      <c r="V1819" s="32"/>
      <c r="W1819" s="32"/>
      <c r="X1819" s="32"/>
      <c r="Y1819" s="32"/>
      <c r="Z1819" s="32"/>
      <c r="AA1819" s="32"/>
      <c r="AB1819" s="32"/>
    </row>
    <row r="1820" spans="1:28" ht="13" x14ac:dyDescent="0.15">
      <c r="A1820" s="32"/>
      <c r="B1820" s="32"/>
      <c r="C1820" s="32"/>
      <c r="D1820" s="32"/>
      <c r="E1820" s="32"/>
      <c r="F1820" s="32"/>
      <c r="G1820" s="32"/>
      <c r="H1820" s="32"/>
      <c r="I1820" s="32"/>
      <c r="J1820" s="32"/>
      <c r="K1820" s="32"/>
      <c r="L1820" s="32"/>
      <c r="M1820" s="23"/>
      <c r="N1820" s="32"/>
      <c r="O1820" s="32"/>
      <c r="P1820" s="32"/>
      <c r="Q1820" s="32"/>
      <c r="R1820" s="32"/>
      <c r="S1820" s="32"/>
      <c r="T1820" s="32"/>
      <c r="U1820" s="32"/>
      <c r="V1820" s="32"/>
      <c r="W1820" s="32"/>
      <c r="X1820" s="32"/>
      <c r="Y1820" s="32"/>
      <c r="Z1820" s="32"/>
      <c r="AA1820" s="32"/>
      <c r="AB1820" s="32"/>
    </row>
    <row r="1821" spans="1:28" ht="13" x14ac:dyDescent="0.15">
      <c r="A1821" s="32"/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  <c r="M1821" s="23"/>
      <c r="N1821" s="32"/>
      <c r="O1821" s="32"/>
      <c r="P1821" s="32"/>
      <c r="Q1821" s="32"/>
      <c r="R1821" s="32"/>
      <c r="S1821" s="32"/>
      <c r="T1821" s="32"/>
      <c r="U1821" s="32"/>
      <c r="V1821" s="32"/>
      <c r="W1821" s="32"/>
      <c r="X1821" s="32"/>
      <c r="Y1821" s="32"/>
      <c r="Z1821" s="32"/>
      <c r="AA1821" s="32"/>
      <c r="AB1821" s="32"/>
    </row>
    <row r="1822" spans="1:28" ht="13" x14ac:dyDescent="0.15">
      <c r="A1822" s="32"/>
      <c r="B1822" s="32"/>
      <c r="C1822" s="32"/>
      <c r="D1822" s="32"/>
      <c r="E1822" s="32"/>
      <c r="F1822" s="32"/>
      <c r="G1822" s="32"/>
      <c r="H1822" s="32"/>
      <c r="I1822" s="32"/>
      <c r="J1822" s="32"/>
      <c r="K1822" s="32"/>
      <c r="L1822" s="32"/>
      <c r="M1822" s="23"/>
      <c r="N1822" s="32"/>
      <c r="O1822" s="32"/>
      <c r="P1822" s="32"/>
      <c r="Q1822" s="32"/>
      <c r="R1822" s="32"/>
      <c r="S1822" s="32"/>
      <c r="T1822" s="32"/>
      <c r="U1822" s="32"/>
      <c r="V1822" s="32"/>
      <c r="W1822" s="32"/>
      <c r="X1822" s="32"/>
      <c r="Y1822" s="32"/>
      <c r="Z1822" s="32"/>
      <c r="AA1822" s="32"/>
      <c r="AB1822" s="32"/>
    </row>
    <row r="1823" spans="1:28" ht="13" x14ac:dyDescent="0.15">
      <c r="A1823" s="32"/>
      <c r="B1823" s="32"/>
      <c r="C1823" s="32"/>
      <c r="D1823" s="32"/>
      <c r="E1823" s="32"/>
      <c r="F1823" s="32"/>
      <c r="G1823" s="32"/>
      <c r="H1823" s="32"/>
      <c r="I1823" s="32"/>
      <c r="J1823" s="32"/>
      <c r="K1823" s="32"/>
      <c r="L1823" s="32"/>
      <c r="M1823" s="23"/>
      <c r="N1823" s="32"/>
      <c r="O1823" s="32"/>
      <c r="P1823" s="32"/>
      <c r="Q1823" s="32"/>
      <c r="R1823" s="32"/>
      <c r="S1823" s="32"/>
      <c r="T1823" s="32"/>
      <c r="U1823" s="32"/>
      <c r="V1823" s="32"/>
      <c r="W1823" s="32"/>
      <c r="X1823" s="32"/>
      <c r="Y1823" s="32"/>
      <c r="Z1823" s="32"/>
      <c r="AA1823" s="32"/>
      <c r="AB1823" s="32"/>
    </row>
    <row r="1824" spans="1:28" ht="13" x14ac:dyDescent="0.15">
      <c r="A1824" s="32"/>
      <c r="B1824" s="32"/>
      <c r="C1824" s="32"/>
      <c r="D1824" s="32"/>
      <c r="E1824" s="32"/>
      <c r="F1824" s="32"/>
      <c r="G1824" s="32"/>
      <c r="H1824" s="32"/>
      <c r="I1824" s="32"/>
      <c r="J1824" s="32"/>
      <c r="K1824" s="32"/>
      <c r="L1824" s="32"/>
      <c r="M1824" s="23"/>
      <c r="N1824" s="32"/>
      <c r="O1824" s="32"/>
      <c r="P1824" s="32"/>
      <c r="Q1824" s="32"/>
      <c r="R1824" s="32"/>
      <c r="S1824" s="32"/>
      <c r="T1824" s="32"/>
      <c r="U1824" s="32"/>
      <c r="V1824" s="32"/>
      <c r="W1824" s="32"/>
      <c r="X1824" s="32"/>
      <c r="Y1824" s="32"/>
      <c r="Z1824" s="32"/>
      <c r="AA1824" s="32"/>
      <c r="AB1824" s="32"/>
    </row>
    <row r="1825" spans="1:28" ht="13" x14ac:dyDescent="0.15">
      <c r="A1825" s="32"/>
      <c r="B1825" s="32"/>
      <c r="C1825" s="32"/>
      <c r="D1825" s="32"/>
      <c r="E1825" s="32"/>
      <c r="F1825" s="32"/>
      <c r="G1825" s="32"/>
      <c r="H1825" s="32"/>
      <c r="I1825" s="32"/>
      <c r="J1825" s="32"/>
      <c r="K1825" s="32"/>
      <c r="L1825" s="32"/>
      <c r="M1825" s="23"/>
      <c r="N1825" s="32"/>
      <c r="O1825" s="32"/>
      <c r="P1825" s="32"/>
      <c r="Q1825" s="32"/>
      <c r="R1825" s="32"/>
      <c r="S1825" s="32"/>
      <c r="T1825" s="32"/>
      <c r="U1825" s="32"/>
      <c r="V1825" s="32"/>
      <c r="W1825" s="32"/>
      <c r="X1825" s="32"/>
      <c r="Y1825" s="32"/>
      <c r="Z1825" s="32"/>
      <c r="AA1825" s="32"/>
      <c r="AB1825" s="32"/>
    </row>
    <row r="1826" spans="1:28" ht="13" x14ac:dyDescent="0.15">
      <c r="A1826" s="32"/>
      <c r="B1826" s="32"/>
      <c r="C1826" s="32"/>
      <c r="D1826" s="32"/>
      <c r="E1826" s="32"/>
      <c r="F1826" s="32"/>
      <c r="G1826" s="32"/>
      <c r="H1826" s="32"/>
      <c r="I1826" s="32"/>
      <c r="J1826" s="32"/>
      <c r="K1826" s="32"/>
      <c r="L1826" s="32"/>
      <c r="M1826" s="23"/>
      <c r="N1826" s="32"/>
      <c r="O1826" s="32"/>
      <c r="P1826" s="32"/>
      <c r="Q1826" s="32"/>
      <c r="R1826" s="32"/>
      <c r="S1826" s="32"/>
      <c r="T1826" s="32"/>
      <c r="U1826" s="32"/>
      <c r="V1826" s="32"/>
      <c r="W1826" s="32"/>
      <c r="X1826" s="32"/>
      <c r="Y1826" s="32"/>
      <c r="Z1826" s="32"/>
      <c r="AA1826" s="32"/>
      <c r="AB1826" s="32"/>
    </row>
    <row r="1827" spans="1:28" ht="13" x14ac:dyDescent="0.15">
      <c r="A1827" s="32"/>
      <c r="B1827" s="32"/>
      <c r="C1827" s="32"/>
      <c r="D1827" s="32"/>
      <c r="E1827" s="32"/>
      <c r="F1827" s="32"/>
      <c r="G1827" s="32"/>
      <c r="H1827" s="32"/>
      <c r="I1827" s="32"/>
      <c r="J1827" s="32"/>
      <c r="K1827" s="32"/>
      <c r="L1827" s="32"/>
      <c r="M1827" s="23"/>
      <c r="N1827" s="32"/>
      <c r="O1827" s="32"/>
      <c r="P1827" s="32"/>
      <c r="Q1827" s="32"/>
      <c r="R1827" s="32"/>
      <c r="S1827" s="32"/>
      <c r="T1827" s="32"/>
      <c r="U1827" s="32"/>
      <c r="V1827" s="32"/>
      <c r="W1827" s="32"/>
      <c r="X1827" s="32"/>
      <c r="Y1827" s="32"/>
      <c r="Z1827" s="32"/>
      <c r="AA1827" s="32"/>
      <c r="AB1827" s="32"/>
    </row>
    <row r="1828" spans="1:28" ht="13" x14ac:dyDescent="0.15">
      <c r="A1828" s="32"/>
      <c r="B1828" s="32"/>
      <c r="C1828" s="32"/>
      <c r="D1828" s="32"/>
      <c r="E1828" s="32"/>
      <c r="F1828" s="32"/>
      <c r="G1828" s="32"/>
      <c r="H1828" s="32"/>
      <c r="I1828" s="32"/>
      <c r="J1828" s="32"/>
      <c r="K1828" s="32"/>
      <c r="L1828" s="32"/>
      <c r="M1828" s="23"/>
      <c r="N1828" s="32"/>
      <c r="O1828" s="32"/>
      <c r="P1828" s="32"/>
      <c r="Q1828" s="32"/>
      <c r="R1828" s="32"/>
      <c r="S1828" s="32"/>
      <c r="T1828" s="32"/>
      <c r="U1828" s="32"/>
      <c r="V1828" s="32"/>
      <c r="W1828" s="32"/>
      <c r="X1828" s="32"/>
      <c r="Y1828" s="32"/>
      <c r="Z1828" s="32"/>
      <c r="AA1828" s="32"/>
      <c r="AB1828" s="32"/>
    </row>
    <row r="1829" spans="1:28" ht="13" x14ac:dyDescent="0.15">
      <c r="A1829" s="32"/>
      <c r="B1829" s="32"/>
      <c r="C1829" s="32"/>
      <c r="D1829" s="32"/>
      <c r="E1829" s="32"/>
      <c r="F1829" s="32"/>
      <c r="G1829" s="32"/>
      <c r="H1829" s="32"/>
      <c r="I1829" s="32"/>
      <c r="J1829" s="32"/>
      <c r="K1829" s="32"/>
      <c r="L1829" s="32"/>
      <c r="M1829" s="23"/>
      <c r="N1829" s="32"/>
      <c r="O1829" s="32"/>
      <c r="P1829" s="32"/>
      <c r="Q1829" s="32"/>
      <c r="R1829" s="32"/>
      <c r="S1829" s="32"/>
      <c r="T1829" s="32"/>
      <c r="U1829" s="32"/>
      <c r="V1829" s="32"/>
      <c r="W1829" s="32"/>
      <c r="X1829" s="32"/>
      <c r="Y1829" s="32"/>
      <c r="Z1829" s="32"/>
      <c r="AA1829" s="32"/>
      <c r="AB1829" s="32"/>
    </row>
    <row r="1830" spans="1:28" ht="13" x14ac:dyDescent="0.15">
      <c r="A1830" s="32"/>
      <c r="B1830" s="32"/>
      <c r="C1830" s="32"/>
      <c r="D1830" s="32"/>
      <c r="E1830" s="32"/>
      <c r="F1830" s="32"/>
      <c r="G1830" s="32"/>
      <c r="H1830" s="32"/>
      <c r="I1830" s="32"/>
      <c r="J1830" s="32"/>
      <c r="K1830" s="32"/>
      <c r="L1830" s="32"/>
      <c r="M1830" s="23"/>
      <c r="N1830" s="32"/>
      <c r="O1830" s="32"/>
      <c r="P1830" s="32"/>
      <c r="Q1830" s="32"/>
      <c r="R1830" s="32"/>
      <c r="S1830" s="32"/>
      <c r="T1830" s="32"/>
      <c r="U1830" s="32"/>
      <c r="V1830" s="32"/>
      <c r="W1830" s="32"/>
      <c r="X1830" s="32"/>
      <c r="Y1830" s="32"/>
      <c r="Z1830" s="32"/>
      <c r="AA1830" s="32"/>
      <c r="AB1830" s="32"/>
    </row>
    <row r="1831" spans="1:28" ht="13" x14ac:dyDescent="0.15">
      <c r="A1831" s="32"/>
      <c r="B1831" s="32"/>
      <c r="C1831" s="32"/>
      <c r="D1831" s="32"/>
      <c r="E1831" s="32"/>
      <c r="F1831" s="32"/>
      <c r="G1831" s="32"/>
      <c r="H1831" s="32"/>
      <c r="I1831" s="32"/>
      <c r="J1831" s="32"/>
      <c r="K1831" s="32"/>
      <c r="L1831" s="32"/>
      <c r="M1831" s="23"/>
      <c r="N1831" s="32"/>
      <c r="O1831" s="32"/>
      <c r="P1831" s="32"/>
      <c r="Q1831" s="32"/>
      <c r="R1831" s="32"/>
      <c r="S1831" s="32"/>
      <c r="T1831" s="32"/>
      <c r="U1831" s="32"/>
      <c r="V1831" s="32"/>
      <c r="W1831" s="32"/>
      <c r="X1831" s="32"/>
      <c r="Y1831" s="32"/>
      <c r="Z1831" s="32"/>
      <c r="AA1831" s="32"/>
      <c r="AB1831" s="32"/>
    </row>
    <row r="1832" spans="1:28" ht="13" x14ac:dyDescent="0.15">
      <c r="A1832" s="32"/>
      <c r="B1832" s="32"/>
      <c r="C1832" s="32"/>
      <c r="D1832" s="32"/>
      <c r="E1832" s="32"/>
      <c r="F1832" s="32"/>
      <c r="G1832" s="32"/>
      <c r="H1832" s="32"/>
      <c r="I1832" s="32"/>
      <c r="J1832" s="32"/>
      <c r="K1832" s="32"/>
      <c r="L1832" s="32"/>
      <c r="M1832" s="23"/>
      <c r="N1832" s="32"/>
      <c r="O1832" s="32"/>
      <c r="P1832" s="32"/>
      <c r="Q1832" s="32"/>
      <c r="R1832" s="32"/>
      <c r="S1832" s="32"/>
      <c r="T1832" s="32"/>
      <c r="U1832" s="32"/>
      <c r="V1832" s="32"/>
      <c r="W1832" s="32"/>
      <c r="X1832" s="32"/>
      <c r="Y1832" s="32"/>
      <c r="Z1832" s="32"/>
      <c r="AA1832" s="32"/>
      <c r="AB1832" s="32"/>
    </row>
    <row r="1833" spans="1:28" ht="13" x14ac:dyDescent="0.15">
      <c r="A1833" s="32"/>
      <c r="B1833" s="32"/>
      <c r="C1833" s="32"/>
      <c r="D1833" s="32"/>
      <c r="E1833" s="32"/>
      <c r="F1833" s="32"/>
      <c r="G1833" s="32"/>
      <c r="H1833" s="32"/>
      <c r="I1833" s="32"/>
      <c r="J1833" s="32"/>
      <c r="K1833" s="32"/>
      <c r="L1833" s="32"/>
      <c r="M1833" s="23"/>
      <c r="N1833" s="32"/>
      <c r="O1833" s="32"/>
      <c r="P1833" s="32"/>
      <c r="Q1833" s="32"/>
      <c r="R1833" s="32"/>
      <c r="S1833" s="32"/>
      <c r="T1833" s="32"/>
      <c r="U1833" s="32"/>
      <c r="V1833" s="32"/>
      <c r="W1833" s="32"/>
      <c r="X1833" s="32"/>
      <c r="Y1833" s="32"/>
      <c r="Z1833" s="32"/>
      <c r="AA1833" s="32"/>
      <c r="AB1833" s="32"/>
    </row>
    <row r="1834" spans="1:28" ht="13" x14ac:dyDescent="0.15">
      <c r="A1834" s="32"/>
      <c r="B1834" s="32"/>
      <c r="C1834" s="32"/>
      <c r="D1834" s="32"/>
      <c r="E1834" s="32"/>
      <c r="F1834" s="32"/>
      <c r="G1834" s="32"/>
      <c r="H1834" s="32"/>
      <c r="I1834" s="32"/>
      <c r="J1834" s="32"/>
      <c r="K1834" s="32"/>
      <c r="L1834" s="32"/>
      <c r="M1834" s="23"/>
      <c r="N1834" s="32"/>
      <c r="O1834" s="32"/>
      <c r="P1834" s="32"/>
      <c r="Q1834" s="32"/>
      <c r="R1834" s="32"/>
      <c r="S1834" s="32"/>
      <c r="T1834" s="32"/>
      <c r="U1834" s="32"/>
      <c r="V1834" s="32"/>
      <c r="W1834" s="32"/>
      <c r="X1834" s="32"/>
      <c r="Y1834" s="32"/>
      <c r="Z1834" s="32"/>
      <c r="AA1834" s="32"/>
      <c r="AB1834" s="32"/>
    </row>
    <row r="1835" spans="1:28" ht="13" x14ac:dyDescent="0.15">
      <c r="A1835" s="32"/>
      <c r="B1835" s="32"/>
      <c r="C1835" s="32"/>
      <c r="D1835" s="32"/>
      <c r="E1835" s="32"/>
      <c r="F1835" s="32"/>
      <c r="G1835" s="32"/>
      <c r="H1835" s="32"/>
      <c r="I1835" s="32"/>
      <c r="J1835" s="32"/>
      <c r="K1835" s="32"/>
      <c r="L1835" s="32"/>
      <c r="M1835" s="23"/>
      <c r="N1835" s="32"/>
      <c r="O1835" s="32"/>
      <c r="P1835" s="32"/>
      <c r="Q1835" s="32"/>
      <c r="R1835" s="32"/>
      <c r="S1835" s="32"/>
      <c r="T1835" s="32"/>
      <c r="U1835" s="32"/>
      <c r="V1835" s="32"/>
      <c r="W1835" s="32"/>
      <c r="X1835" s="32"/>
      <c r="Y1835" s="32"/>
      <c r="Z1835" s="32"/>
      <c r="AA1835" s="32"/>
      <c r="AB1835" s="32"/>
    </row>
    <row r="1836" spans="1:28" ht="13" x14ac:dyDescent="0.15">
      <c r="A1836" s="32"/>
      <c r="B1836" s="32"/>
      <c r="C1836" s="32"/>
      <c r="D1836" s="32"/>
      <c r="E1836" s="32"/>
      <c r="F1836" s="32"/>
      <c r="G1836" s="32"/>
      <c r="H1836" s="32"/>
      <c r="I1836" s="32"/>
      <c r="J1836" s="32"/>
      <c r="K1836" s="32"/>
      <c r="L1836" s="32"/>
      <c r="M1836" s="23"/>
      <c r="N1836" s="32"/>
      <c r="O1836" s="32"/>
      <c r="P1836" s="32"/>
      <c r="Q1836" s="32"/>
      <c r="R1836" s="32"/>
      <c r="S1836" s="32"/>
      <c r="T1836" s="32"/>
      <c r="U1836" s="32"/>
      <c r="V1836" s="32"/>
      <c r="W1836" s="32"/>
      <c r="X1836" s="32"/>
      <c r="Y1836" s="32"/>
      <c r="Z1836" s="32"/>
      <c r="AA1836" s="32"/>
      <c r="AB1836" s="32"/>
    </row>
    <row r="1837" spans="1:28" ht="13" x14ac:dyDescent="0.15">
      <c r="A1837" s="32"/>
      <c r="B1837" s="32"/>
      <c r="C1837" s="32"/>
      <c r="D1837" s="32"/>
      <c r="E1837" s="32"/>
      <c r="F1837" s="32"/>
      <c r="G1837" s="32"/>
      <c r="H1837" s="32"/>
      <c r="I1837" s="32"/>
      <c r="J1837" s="32"/>
      <c r="K1837" s="32"/>
      <c r="L1837" s="32"/>
      <c r="M1837" s="23"/>
      <c r="N1837" s="32"/>
      <c r="O1837" s="32"/>
      <c r="P1837" s="32"/>
      <c r="Q1837" s="32"/>
      <c r="R1837" s="32"/>
      <c r="S1837" s="32"/>
      <c r="T1837" s="32"/>
      <c r="U1837" s="32"/>
      <c r="V1837" s="32"/>
      <c r="W1837" s="32"/>
      <c r="X1837" s="32"/>
      <c r="Y1837" s="32"/>
      <c r="Z1837" s="32"/>
      <c r="AA1837" s="32"/>
      <c r="AB1837" s="32"/>
    </row>
    <row r="1838" spans="1:28" ht="13" x14ac:dyDescent="0.15">
      <c r="A1838" s="32"/>
      <c r="B1838" s="32"/>
      <c r="C1838" s="32"/>
      <c r="D1838" s="32"/>
      <c r="E1838" s="32"/>
      <c r="F1838" s="32"/>
      <c r="G1838" s="32"/>
      <c r="H1838" s="32"/>
      <c r="I1838" s="32"/>
      <c r="J1838" s="32"/>
      <c r="K1838" s="32"/>
      <c r="L1838" s="32"/>
      <c r="M1838" s="23"/>
      <c r="N1838" s="32"/>
      <c r="O1838" s="32"/>
      <c r="P1838" s="32"/>
      <c r="Q1838" s="32"/>
      <c r="R1838" s="32"/>
      <c r="S1838" s="32"/>
      <c r="T1838" s="32"/>
      <c r="U1838" s="32"/>
      <c r="V1838" s="32"/>
      <c r="W1838" s="32"/>
      <c r="X1838" s="32"/>
      <c r="Y1838" s="32"/>
      <c r="Z1838" s="32"/>
      <c r="AA1838" s="32"/>
      <c r="AB1838" s="32"/>
    </row>
    <row r="1839" spans="1:28" ht="13" x14ac:dyDescent="0.15">
      <c r="A1839" s="32"/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23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</row>
    <row r="1840" spans="1:28" ht="13" x14ac:dyDescent="0.15">
      <c r="A1840" s="32"/>
      <c r="B1840" s="32"/>
      <c r="C1840" s="32"/>
      <c r="D1840" s="32"/>
      <c r="E1840" s="32"/>
      <c r="F1840" s="32"/>
      <c r="G1840" s="32"/>
      <c r="H1840" s="32"/>
      <c r="I1840" s="32"/>
      <c r="J1840" s="32"/>
      <c r="K1840" s="32"/>
      <c r="L1840" s="32"/>
      <c r="M1840" s="23"/>
      <c r="N1840" s="32"/>
      <c r="O1840" s="32"/>
      <c r="P1840" s="32"/>
      <c r="Q1840" s="32"/>
      <c r="R1840" s="32"/>
      <c r="S1840" s="32"/>
      <c r="T1840" s="32"/>
      <c r="U1840" s="32"/>
      <c r="V1840" s="32"/>
      <c r="W1840" s="32"/>
      <c r="X1840" s="32"/>
      <c r="Y1840" s="32"/>
      <c r="Z1840" s="32"/>
      <c r="AA1840" s="32"/>
      <c r="AB1840" s="32"/>
    </row>
    <row r="1841" spans="1:28" ht="13" x14ac:dyDescent="0.15">
      <c r="A1841" s="32"/>
      <c r="B1841" s="32"/>
      <c r="C1841" s="32"/>
      <c r="D1841" s="32"/>
      <c r="E1841" s="32"/>
      <c r="F1841" s="32"/>
      <c r="G1841" s="32"/>
      <c r="H1841" s="32"/>
      <c r="I1841" s="32"/>
      <c r="J1841" s="32"/>
      <c r="K1841" s="32"/>
      <c r="L1841" s="32"/>
      <c r="M1841" s="23"/>
      <c r="N1841" s="32"/>
      <c r="O1841" s="32"/>
      <c r="P1841" s="32"/>
      <c r="Q1841" s="32"/>
      <c r="R1841" s="32"/>
      <c r="S1841" s="32"/>
      <c r="T1841" s="32"/>
      <c r="U1841" s="32"/>
      <c r="V1841" s="32"/>
      <c r="W1841" s="32"/>
      <c r="X1841" s="32"/>
      <c r="Y1841" s="32"/>
      <c r="Z1841" s="32"/>
      <c r="AA1841" s="32"/>
      <c r="AB1841" s="32"/>
    </row>
    <row r="1842" spans="1:28" ht="13" x14ac:dyDescent="0.15">
      <c r="A1842" s="32"/>
      <c r="B1842" s="32"/>
      <c r="C1842" s="32"/>
      <c r="D1842" s="32"/>
      <c r="E1842" s="32"/>
      <c r="F1842" s="32"/>
      <c r="G1842" s="32"/>
      <c r="H1842" s="32"/>
      <c r="I1842" s="32"/>
      <c r="J1842" s="32"/>
      <c r="K1842" s="32"/>
      <c r="L1842" s="32"/>
      <c r="M1842" s="23"/>
      <c r="N1842" s="32"/>
      <c r="O1842" s="32"/>
      <c r="P1842" s="32"/>
      <c r="Q1842" s="32"/>
      <c r="R1842" s="32"/>
      <c r="S1842" s="32"/>
      <c r="T1842" s="32"/>
      <c r="U1842" s="32"/>
      <c r="V1842" s="32"/>
      <c r="W1842" s="32"/>
      <c r="X1842" s="32"/>
      <c r="Y1842" s="32"/>
      <c r="Z1842" s="32"/>
      <c r="AA1842" s="32"/>
      <c r="AB1842" s="32"/>
    </row>
    <row r="1843" spans="1:28" ht="13" x14ac:dyDescent="0.15">
      <c r="A1843" s="32"/>
      <c r="B1843" s="32"/>
      <c r="C1843" s="32"/>
      <c r="D1843" s="32"/>
      <c r="E1843" s="32"/>
      <c r="F1843" s="32"/>
      <c r="G1843" s="32"/>
      <c r="H1843" s="32"/>
      <c r="I1843" s="32"/>
      <c r="J1843" s="32"/>
      <c r="K1843" s="32"/>
      <c r="L1843" s="32"/>
      <c r="M1843" s="23"/>
      <c r="N1843" s="32"/>
      <c r="O1843" s="32"/>
      <c r="P1843" s="32"/>
      <c r="Q1843" s="32"/>
      <c r="R1843" s="32"/>
      <c r="S1843" s="32"/>
      <c r="T1843" s="32"/>
      <c r="U1843" s="32"/>
      <c r="V1843" s="32"/>
      <c r="W1843" s="32"/>
      <c r="X1843" s="32"/>
      <c r="Y1843" s="32"/>
      <c r="Z1843" s="32"/>
      <c r="AA1843" s="32"/>
      <c r="AB1843" s="32"/>
    </row>
    <row r="1844" spans="1:28" ht="13" x14ac:dyDescent="0.15">
      <c r="A1844" s="32"/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  <c r="M1844" s="23"/>
      <c r="N1844" s="32"/>
      <c r="O1844" s="32"/>
      <c r="P1844" s="32"/>
      <c r="Q1844" s="32"/>
      <c r="R1844" s="32"/>
      <c r="S1844" s="32"/>
      <c r="T1844" s="32"/>
      <c r="U1844" s="32"/>
      <c r="V1844" s="32"/>
      <c r="W1844" s="32"/>
      <c r="X1844" s="32"/>
      <c r="Y1844" s="32"/>
      <c r="Z1844" s="32"/>
      <c r="AA1844" s="32"/>
      <c r="AB1844" s="32"/>
    </row>
    <row r="1845" spans="1:28" ht="13" x14ac:dyDescent="0.15">
      <c r="A1845" s="32"/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  <c r="M1845" s="23"/>
      <c r="N1845" s="32"/>
      <c r="O1845" s="32"/>
      <c r="P1845" s="32"/>
      <c r="Q1845" s="32"/>
      <c r="R1845" s="32"/>
      <c r="S1845" s="32"/>
      <c r="T1845" s="32"/>
      <c r="U1845" s="32"/>
      <c r="V1845" s="32"/>
      <c r="W1845" s="32"/>
      <c r="X1845" s="32"/>
      <c r="Y1845" s="32"/>
      <c r="Z1845" s="32"/>
      <c r="AA1845" s="32"/>
      <c r="AB1845" s="32"/>
    </row>
    <row r="1846" spans="1:28" ht="13" x14ac:dyDescent="0.15">
      <c r="A1846" s="32"/>
      <c r="B1846" s="32"/>
      <c r="C1846" s="32"/>
      <c r="D1846" s="32"/>
      <c r="E1846" s="32"/>
      <c r="F1846" s="32"/>
      <c r="G1846" s="32"/>
      <c r="H1846" s="32"/>
      <c r="I1846" s="32"/>
      <c r="J1846" s="32"/>
      <c r="K1846" s="32"/>
      <c r="L1846" s="32"/>
      <c r="M1846" s="23"/>
      <c r="N1846" s="32"/>
      <c r="O1846" s="32"/>
      <c r="P1846" s="32"/>
      <c r="Q1846" s="32"/>
      <c r="R1846" s="32"/>
      <c r="S1846" s="32"/>
      <c r="T1846" s="32"/>
      <c r="U1846" s="32"/>
      <c r="V1846" s="32"/>
      <c r="W1846" s="32"/>
      <c r="X1846" s="32"/>
      <c r="Y1846" s="32"/>
      <c r="Z1846" s="32"/>
      <c r="AA1846" s="32"/>
      <c r="AB1846" s="32"/>
    </row>
    <row r="1847" spans="1:28" ht="13" x14ac:dyDescent="0.15">
      <c r="A1847" s="32"/>
      <c r="B1847" s="32"/>
      <c r="C1847" s="32"/>
      <c r="D1847" s="32"/>
      <c r="E1847" s="32"/>
      <c r="F1847" s="32"/>
      <c r="G1847" s="32"/>
      <c r="H1847" s="32"/>
      <c r="I1847" s="32"/>
      <c r="J1847" s="32"/>
      <c r="K1847" s="32"/>
      <c r="L1847" s="32"/>
      <c r="M1847" s="23"/>
      <c r="N1847" s="32"/>
      <c r="O1847" s="32"/>
      <c r="P1847" s="32"/>
      <c r="Q1847" s="32"/>
      <c r="R1847" s="32"/>
      <c r="S1847" s="32"/>
      <c r="T1847" s="32"/>
      <c r="U1847" s="32"/>
      <c r="V1847" s="32"/>
      <c r="W1847" s="32"/>
      <c r="X1847" s="32"/>
      <c r="Y1847" s="32"/>
      <c r="Z1847" s="32"/>
      <c r="AA1847" s="32"/>
      <c r="AB1847" s="32"/>
    </row>
    <row r="1848" spans="1:28" ht="13" x14ac:dyDescent="0.15">
      <c r="A1848" s="32"/>
      <c r="B1848" s="32"/>
      <c r="C1848" s="32"/>
      <c r="D1848" s="32"/>
      <c r="E1848" s="32"/>
      <c r="F1848" s="32"/>
      <c r="G1848" s="32"/>
      <c r="H1848" s="32"/>
      <c r="I1848" s="32"/>
      <c r="J1848" s="32"/>
      <c r="K1848" s="32"/>
      <c r="L1848" s="32"/>
      <c r="M1848" s="23"/>
      <c r="N1848" s="32"/>
      <c r="O1848" s="32"/>
      <c r="P1848" s="32"/>
      <c r="Q1848" s="32"/>
      <c r="R1848" s="32"/>
      <c r="S1848" s="32"/>
      <c r="T1848" s="32"/>
      <c r="U1848" s="32"/>
      <c r="V1848" s="32"/>
      <c r="W1848" s="32"/>
      <c r="X1848" s="32"/>
      <c r="Y1848" s="32"/>
      <c r="Z1848" s="32"/>
      <c r="AA1848" s="32"/>
      <c r="AB1848" s="32"/>
    </row>
    <row r="1849" spans="1:28" ht="13" x14ac:dyDescent="0.15">
      <c r="A1849" s="32"/>
      <c r="B1849" s="32"/>
      <c r="C1849" s="32"/>
      <c r="D1849" s="32"/>
      <c r="E1849" s="32"/>
      <c r="F1849" s="32"/>
      <c r="G1849" s="32"/>
      <c r="H1849" s="32"/>
      <c r="I1849" s="32"/>
      <c r="J1849" s="32"/>
      <c r="K1849" s="32"/>
      <c r="L1849" s="32"/>
      <c r="M1849" s="23"/>
      <c r="N1849" s="32"/>
      <c r="O1849" s="32"/>
      <c r="P1849" s="32"/>
      <c r="Q1849" s="32"/>
      <c r="R1849" s="32"/>
      <c r="S1849" s="32"/>
      <c r="T1849" s="32"/>
      <c r="U1849" s="32"/>
      <c r="V1849" s="32"/>
      <c r="W1849" s="32"/>
      <c r="X1849" s="32"/>
      <c r="Y1849" s="32"/>
      <c r="Z1849" s="32"/>
      <c r="AA1849" s="32"/>
      <c r="AB1849" s="32"/>
    </row>
    <row r="1850" spans="1:28" ht="13" x14ac:dyDescent="0.15">
      <c r="A1850" s="32"/>
      <c r="B1850" s="32"/>
      <c r="C1850" s="32"/>
      <c r="D1850" s="32"/>
      <c r="E1850" s="32"/>
      <c r="F1850" s="32"/>
      <c r="G1850" s="32"/>
      <c r="H1850" s="32"/>
      <c r="I1850" s="32"/>
      <c r="J1850" s="32"/>
      <c r="K1850" s="32"/>
      <c r="L1850" s="32"/>
      <c r="M1850" s="23"/>
      <c r="N1850" s="32"/>
      <c r="O1850" s="32"/>
      <c r="P1850" s="32"/>
      <c r="Q1850" s="32"/>
      <c r="R1850" s="32"/>
      <c r="S1850" s="32"/>
      <c r="T1850" s="32"/>
      <c r="U1850" s="32"/>
      <c r="V1850" s="32"/>
      <c r="W1850" s="32"/>
      <c r="X1850" s="32"/>
      <c r="Y1850" s="32"/>
      <c r="Z1850" s="32"/>
      <c r="AA1850" s="32"/>
      <c r="AB1850" s="32"/>
    </row>
    <row r="1851" spans="1:28" ht="13" x14ac:dyDescent="0.15">
      <c r="A1851" s="32"/>
      <c r="B1851" s="32"/>
      <c r="C1851" s="32"/>
      <c r="D1851" s="32"/>
      <c r="E1851" s="32"/>
      <c r="F1851" s="32"/>
      <c r="G1851" s="32"/>
      <c r="H1851" s="32"/>
      <c r="I1851" s="32"/>
      <c r="J1851" s="32"/>
      <c r="K1851" s="32"/>
      <c r="L1851" s="32"/>
      <c r="M1851" s="23"/>
      <c r="N1851" s="32"/>
      <c r="O1851" s="32"/>
      <c r="P1851" s="32"/>
      <c r="Q1851" s="32"/>
      <c r="R1851" s="32"/>
      <c r="S1851" s="32"/>
      <c r="T1851" s="32"/>
      <c r="U1851" s="32"/>
      <c r="V1851" s="32"/>
      <c r="W1851" s="32"/>
      <c r="X1851" s="32"/>
      <c r="Y1851" s="32"/>
      <c r="Z1851" s="32"/>
      <c r="AA1851" s="32"/>
      <c r="AB1851" s="32"/>
    </row>
    <row r="1852" spans="1:28" ht="13" x14ac:dyDescent="0.15">
      <c r="A1852" s="32"/>
      <c r="B1852" s="32"/>
      <c r="C1852" s="32"/>
      <c r="D1852" s="32"/>
      <c r="E1852" s="32"/>
      <c r="F1852" s="32"/>
      <c r="G1852" s="32"/>
      <c r="H1852" s="32"/>
      <c r="I1852" s="32"/>
      <c r="J1852" s="32"/>
      <c r="K1852" s="32"/>
      <c r="L1852" s="32"/>
      <c r="M1852" s="23"/>
      <c r="N1852" s="32"/>
      <c r="O1852" s="32"/>
      <c r="P1852" s="32"/>
      <c r="Q1852" s="32"/>
      <c r="R1852" s="32"/>
      <c r="S1852" s="32"/>
      <c r="T1852" s="32"/>
      <c r="U1852" s="32"/>
      <c r="V1852" s="32"/>
      <c r="W1852" s="32"/>
      <c r="X1852" s="32"/>
      <c r="Y1852" s="32"/>
      <c r="Z1852" s="32"/>
      <c r="AA1852" s="32"/>
      <c r="AB1852" s="32"/>
    </row>
    <row r="1853" spans="1:28" ht="13" x14ac:dyDescent="0.15">
      <c r="A1853" s="32"/>
      <c r="B1853" s="32"/>
      <c r="C1853" s="32"/>
      <c r="D1853" s="32"/>
      <c r="E1853" s="32"/>
      <c r="F1853" s="32"/>
      <c r="G1853" s="32"/>
      <c r="H1853" s="32"/>
      <c r="I1853" s="32"/>
      <c r="J1853" s="32"/>
      <c r="K1853" s="32"/>
      <c r="L1853" s="32"/>
      <c r="M1853" s="23"/>
      <c r="N1853" s="32"/>
      <c r="O1853" s="32"/>
      <c r="P1853" s="32"/>
      <c r="Q1853" s="32"/>
      <c r="R1853" s="32"/>
      <c r="S1853" s="32"/>
      <c r="T1853" s="32"/>
      <c r="U1853" s="32"/>
      <c r="V1853" s="32"/>
      <c r="W1853" s="32"/>
      <c r="X1853" s="32"/>
      <c r="Y1853" s="32"/>
      <c r="Z1853" s="32"/>
      <c r="AA1853" s="32"/>
      <c r="AB1853" s="32"/>
    </row>
    <row r="1854" spans="1:28" ht="13" x14ac:dyDescent="0.15">
      <c r="A1854" s="32"/>
      <c r="B1854" s="32"/>
      <c r="C1854" s="32"/>
      <c r="D1854" s="32"/>
      <c r="E1854" s="32"/>
      <c r="F1854" s="32"/>
      <c r="G1854" s="32"/>
      <c r="H1854" s="32"/>
      <c r="I1854" s="32"/>
      <c r="J1854" s="32"/>
      <c r="K1854" s="32"/>
      <c r="L1854" s="32"/>
      <c r="M1854" s="23"/>
      <c r="N1854" s="32"/>
      <c r="O1854" s="32"/>
      <c r="P1854" s="32"/>
      <c r="Q1854" s="32"/>
      <c r="R1854" s="32"/>
      <c r="S1854" s="32"/>
      <c r="T1854" s="32"/>
      <c r="U1854" s="32"/>
      <c r="V1854" s="32"/>
      <c r="W1854" s="32"/>
      <c r="X1854" s="32"/>
      <c r="Y1854" s="32"/>
      <c r="Z1854" s="32"/>
      <c r="AA1854" s="32"/>
      <c r="AB1854" s="32"/>
    </row>
    <row r="1855" spans="1:28" ht="13" x14ac:dyDescent="0.15">
      <c r="A1855" s="32"/>
      <c r="B1855" s="32"/>
      <c r="C1855" s="32"/>
      <c r="D1855" s="32"/>
      <c r="E1855" s="32"/>
      <c r="F1855" s="32"/>
      <c r="G1855" s="32"/>
      <c r="H1855" s="32"/>
      <c r="I1855" s="32"/>
      <c r="J1855" s="32"/>
      <c r="K1855" s="32"/>
      <c r="L1855" s="32"/>
      <c r="M1855" s="23"/>
      <c r="N1855" s="32"/>
      <c r="O1855" s="32"/>
      <c r="P1855" s="32"/>
      <c r="Q1855" s="32"/>
      <c r="R1855" s="32"/>
      <c r="S1855" s="32"/>
      <c r="T1855" s="32"/>
      <c r="U1855" s="32"/>
      <c r="V1855" s="32"/>
      <c r="W1855" s="32"/>
      <c r="X1855" s="32"/>
      <c r="Y1855" s="32"/>
      <c r="Z1855" s="32"/>
      <c r="AA1855" s="32"/>
      <c r="AB1855" s="32"/>
    </row>
    <row r="1856" spans="1:28" ht="13" x14ac:dyDescent="0.15">
      <c r="A1856" s="32"/>
      <c r="B1856" s="32"/>
      <c r="C1856" s="32"/>
      <c r="D1856" s="32"/>
      <c r="E1856" s="32"/>
      <c r="F1856" s="32"/>
      <c r="G1856" s="32"/>
      <c r="H1856" s="32"/>
      <c r="I1856" s="32"/>
      <c r="J1856" s="32"/>
      <c r="K1856" s="32"/>
      <c r="L1856" s="32"/>
      <c r="M1856" s="23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  <c r="Y1856" s="32"/>
      <c r="Z1856" s="32"/>
      <c r="AA1856" s="32"/>
      <c r="AB1856" s="32"/>
    </row>
    <row r="1857" spans="1:28" ht="13" x14ac:dyDescent="0.15">
      <c r="A1857" s="32"/>
      <c r="B1857" s="32"/>
      <c r="C1857" s="32"/>
      <c r="D1857" s="32"/>
      <c r="E1857" s="32"/>
      <c r="F1857" s="32"/>
      <c r="G1857" s="32"/>
      <c r="H1857" s="32"/>
      <c r="I1857" s="32"/>
      <c r="J1857" s="32"/>
      <c r="K1857" s="32"/>
      <c r="L1857" s="32"/>
      <c r="M1857" s="23"/>
      <c r="N1857" s="32"/>
      <c r="O1857" s="32"/>
      <c r="P1857" s="32"/>
      <c r="Q1857" s="32"/>
      <c r="R1857" s="32"/>
      <c r="S1857" s="32"/>
      <c r="T1857" s="32"/>
      <c r="U1857" s="32"/>
      <c r="V1857" s="32"/>
      <c r="W1857" s="32"/>
      <c r="X1857" s="32"/>
      <c r="Y1857" s="32"/>
      <c r="Z1857" s="32"/>
      <c r="AA1857" s="32"/>
      <c r="AB1857" s="32"/>
    </row>
    <row r="1858" spans="1:28" ht="13" x14ac:dyDescent="0.15">
      <c r="A1858" s="32"/>
      <c r="B1858" s="32"/>
      <c r="C1858" s="32"/>
      <c r="D1858" s="32"/>
      <c r="E1858" s="32"/>
      <c r="F1858" s="32"/>
      <c r="G1858" s="32"/>
      <c r="H1858" s="32"/>
      <c r="I1858" s="32"/>
      <c r="J1858" s="32"/>
      <c r="K1858" s="32"/>
      <c r="L1858" s="32"/>
      <c r="M1858" s="23"/>
      <c r="N1858" s="32"/>
      <c r="O1858" s="32"/>
      <c r="P1858" s="32"/>
      <c r="Q1858" s="32"/>
      <c r="R1858" s="32"/>
      <c r="S1858" s="32"/>
      <c r="T1858" s="32"/>
      <c r="U1858" s="32"/>
      <c r="V1858" s="32"/>
      <c r="W1858" s="32"/>
      <c r="X1858" s="32"/>
      <c r="Y1858" s="32"/>
      <c r="Z1858" s="32"/>
      <c r="AA1858" s="32"/>
      <c r="AB1858" s="32"/>
    </row>
    <row r="1859" spans="1:28" ht="13" x14ac:dyDescent="0.15">
      <c r="A1859" s="32"/>
      <c r="B1859" s="32"/>
      <c r="C1859" s="32"/>
      <c r="D1859" s="32"/>
      <c r="E1859" s="32"/>
      <c r="F1859" s="32"/>
      <c r="G1859" s="32"/>
      <c r="H1859" s="32"/>
      <c r="I1859" s="32"/>
      <c r="J1859" s="32"/>
      <c r="K1859" s="32"/>
      <c r="L1859" s="32"/>
      <c r="M1859" s="23"/>
      <c r="N1859" s="32"/>
      <c r="O1859" s="32"/>
      <c r="P1859" s="32"/>
      <c r="Q1859" s="32"/>
      <c r="R1859" s="32"/>
      <c r="S1859" s="32"/>
      <c r="T1859" s="32"/>
      <c r="U1859" s="32"/>
      <c r="V1859" s="32"/>
      <c r="W1859" s="32"/>
      <c r="X1859" s="32"/>
      <c r="Y1859" s="32"/>
      <c r="Z1859" s="32"/>
      <c r="AA1859" s="32"/>
      <c r="AB1859" s="32"/>
    </row>
    <row r="1860" spans="1:28" ht="13" x14ac:dyDescent="0.15">
      <c r="A1860" s="32"/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  <c r="M1860" s="23"/>
      <c r="N1860" s="32"/>
      <c r="O1860" s="32"/>
      <c r="P1860" s="32"/>
      <c r="Q1860" s="32"/>
      <c r="R1860" s="32"/>
      <c r="S1860" s="32"/>
      <c r="T1860" s="32"/>
      <c r="U1860" s="32"/>
      <c r="V1860" s="32"/>
      <c r="W1860" s="32"/>
      <c r="X1860" s="32"/>
      <c r="Y1860" s="32"/>
      <c r="Z1860" s="32"/>
      <c r="AA1860" s="32"/>
      <c r="AB1860" s="32"/>
    </row>
    <row r="1861" spans="1:28" ht="13" x14ac:dyDescent="0.15">
      <c r="A1861" s="32"/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  <c r="M1861" s="23"/>
      <c r="N1861" s="32"/>
      <c r="O1861" s="32"/>
      <c r="P1861" s="32"/>
      <c r="Q1861" s="32"/>
      <c r="R1861" s="32"/>
      <c r="S1861" s="32"/>
      <c r="T1861" s="32"/>
      <c r="U1861" s="32"/>
      <c r="V1861" s="32"/>
      <c r="W1861" s="32"/>
      <c r="X1861" s="32"/>
      <c r="Y1861" s="32"/>
      <c r="Z1861" s="32"/>
      <c r="AA1861" s="32"/>
      <c r="AB1861" s="32"/>
    </row>
    <row r="1862" spans="1:28" ht="13" x14ac:dyDescent="0.15">
      <c r="A1862" s="32"/>
      <c r="B1862" s="32"/>
      <c r="C1862" s="32"/>
      <c r="D1862" s="32"/>
      <c r="E1862" s="32"/>
      <c r="F1862" s="32"/>
      <c r="G1862" s="32"/>
      <c r="H1862" s="32"/>
      <c r="I1862" s="32"/>
      <c r="J1862" s="32"/>
      <c r="K1862" s="32"/>
      <c r="L1862" s="32"/>
      <c r="M1862" s="23"/>
      <c r="N1862" s="32"/>
      <c r="O1862" s="32"/>
      <c r="P1862" s="32"/>
      <c r="Q1862" s="32"/>
      <c r="R1862" s="32"/>
      <c r="S1862" s="32"/>
      <c r="T1862" s="32"/>
      <c r="U1862" s="32"/>
      <c r="V1862" s="32"/>
      <c r="W1862" s="32"/>
      <c r="X1862" s="32"/>
      <c r="Y1862" s="32"/>
      <c r="Z1862" s="32"/>
      <c r="AA1862" s="32"/>
      <c r="AB1862" s="32"/>
    </row>
    <row r="1863" spans="1:28" ht="13" x14ac:dyDescent="0.15">
      <c r="A1863" s="32"/>
      <c r="B1863" s="32"/>
      <c r="C1863" s="32"/>
      <c r="D1863" s="32"/>
      <c r="E1863" s="32"/>
      <c r="F1863" s="32"/>
      <c r="G1863" s="32"/>
      <c r="H1863" s="32"/>
      <c r="I1863" s="32"/>
      <c r="J1863" s="32"/>
      <c r="K1863" s="32"/>
      <c r="L1863" s="32"/>
      <c r="M1863" s="23"/>
      <c r="N1863" s="32"/>
      <c r="O1863" s="32"/>
      <c r="P1863" s="32"/>
      <c r="Q1863" s="32"/>
      <c r="R1863" s="32"/>
      <c r="S1863" s="32"/>
      <c r="T1863" s="32"/>
      <c r="U1863" s="32"/>
      <c r="V1863" s="32"/>
      <c r="W1863" s="32"/>
      <c r="X1863" s="32"/>
      <c r="Y1863" s="32"/>
      <c r="Z1863" s="32"/>
      <c r="AA1863" s="32"/>
      <c r="AB1863" s="32"/>
    </row>
    <row r="1864" spans="1:28" ht="13" x14ac:dyDescent="0.15">
      <c r="A1864" s="32"/>
      <c r="B1864" s="32"/>
      <c r="C1864" s="32"/>
      <c r="D1864" s="32"/>
      <c r="E1864" s="32"/>
      <c r="F1864" s="32"/>
      <c r="G1864" s="32"/>
      <c r="H1864" s="32"/>
      <c r="I1864" s="32"/>
      <c r="J1864" s="32"/>
      <c r="K1864" s="32"/>
      <c r="L1864" s="32"/>
      <c r="M1864" s="23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  <c r="Y1864" s="32"/>
      <c r="Z1864" s="32"/>
      <c r="AA1864" s="32"/>
      <c r="AB1864" s="32"/>
    </row>
    <row r="1865" spans="1:28" ht="13" x14ac:dyDescent="0.15">
      <c r="A1865" s="32"/>
      <c r="B1865" s="32"/>
      <c r="C1865" s="32"/>
      <c r="D1865" s="32"/>
      <c r="E1865" s="32"/>
      <c r="F1865" s="32"/>
      <c r="G1865" s="32"/>
      <c r="H1865" s="32"/>
      <c r="I1865" s="32"/>
      <c r="J1865" s="32"/>
      <c r="K1865" s="32"/>
      <c r="L1865" s="32"/>
      <c r="M1865" s="23"/>
      <c r="N1865" s="32"/>
      <c r="O1865" s="32"/>
      <c r="P1865" s="32"/>
      <c r="Q1865" s="32"/>
      <c r="R1865" s="32"/>
      <c r="S1865" s="32"/>
      <c r="T1865" s="32"/>
      <c r="U1865" s="32"/>
      <c r="V1865" s="32"/>
      <c r="W1865" s="32"/>
      <c r="X1865" s="32"/>
      <c r="Y1865" s="32"/>
      <c r="Z1865" s="32"/>
      <c r="AA1865" s="32"/>
      <c r="AB1865" s="32"/>
    </row>
    <row r="1866" spans="1:28" ht="13" x14ac:dyDescent="0.15">
      <c r="A1866" s="32"/>
      <c r="B1866" s="32"/>
      <c r="C1866" s="32"/>
      <c r="D1866" s="32"/>
      <c r="E1866" s="32"/>
      <c r="F1866" s="32"/>
      <c r="G1866" s="32"/>
      <c r="H1866" s="32"/>
      <c r="I1866" s="32"/>
      <c r="J1866" s="32"/>
      <c r="K1866" s="32"/>
      <c r="L1866" s="32"/>
      <c r="M1866" s="23"/>
      <c r="N1866" s="32"/>
      <c r="O1866" s="32"/>
      <c r="P1866" s="32"/>
      <c r="Q1866" s="32"/>
      <c r="R1866" s="32"/>
      <c r="S1866" s="32"/>
      <c r="T1866" s="32"/>
      <c r="U1866" s="32"/>
      <c r="V1866" s="32"/>
      <c r="W1866" s="32"/>
      <c r="X1866" s="32"/>
      <c r="Y1866" s="32"/>
      <c r="Z1866" s="32"/>
      <c r="AA1866" s="32"/>
      <c r="AB1866" s="32"/>
    </row>
    <row r="1867" spans="1:28" ht="13" x14ac:dyDescent="0.15">
      <c r="A1867" s="32"/>
      <c r="B1867" s="32"/>
      <c r="C1867" s="32"/>
      <c r="D1867" s="32"/>
      <c r="E1867" s="32"/>
      <c r="F1867" s="32"/>
      <c r="G1867" s="32"/>
      <c r="H1867" s="32"/>
      <c r="I1867" s="32"/>
      <c r="J1867" s="32"/>
      <c r="K1867" s="32"/>
      <c r="L1867" s="32"/>
      <c r="M1867" s="23"/>
      <c r="N1867" s="32"/>
      <c r="O1867" s="32"/>
      <c r="P1867" s="32"/>
      <c r="Q1867" s="32"/>
      <c r="R1867" s="32"/>
      <c r="S1867" s="32"/>
      <c r="T1867" s="32"/>
      <c r="U1867" s="32"/>
      <c r="V1867" s="32"/>
      <c r="W1867" s="32"/>
      <c r="X1867" s="32"/>
      <c r="Y1867" s="32"/>
      <c r="Z1867" s="32"/>
      <c r="AA1867" s="32"/>
      <c r="AB1867" s="32"/>
    </row>
    <row r="1868" spans="1:28" ht="13" x14ac:dyDescent="0.15">
      <c r="A1868" s="32"/>
      <c r="B1868" s="32"/>
      <c r="C1868" s="32"/>
      <c r="D1868" s="32"/>
      <c r="E1868" s="32"/>
      <c r="F1868" s="32"/>
      <c r="G1868" s="32"/>
      <c r="H1868" s="32"/>
      <c r="I1868" s="32"/>
      <c r="J1868" s="32"/>
      <c r="K1868" s="32"/>
      <c r="L1868" s="32"/>
      <c r="M1868" s="23"/>
      <c r="N1868" s="32"/>
      <c r="O1868" s="32"/>
      <c r="P1868" s="32"/>
      <c r="Q1868" s="32"/>
      <c r="R1868" s="32"/>
      <c r="S1868" s="32"/>
      <c r="T1868" s="32"/>
      <c r="U1868" s="32"/>
      <c r="V1868" s="32"/>
      <c r="W1868" s="32"/>
      <c r="X1868" s="32"/>
      <c r="Y1868" s="32"/>
      <c r="Z1868" s="32"/>
      <c r="AA1868" s="32"/>
      <c r="AB1868" s="32"/>
    </row>
    <row r="1869" spans="1:28" ht="13" x14ac:dyDescent="0.15">
      <c r="A1869" s="32"/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  <c r="M1869" s="23"/>
      <c r="N1869" s="32"/>
      <c r="O1869" s="32"/>
      <c r="P1869" s="32"/>
      <c r="Q1869" s="32"/>
      <c r="R1869" s="32"/>
      <c r="S1869" s="32"/>
      <c r="T1869" s="32"/>
      <c r="U1869" s="32"/>
      <c r="V1869" s="32"/>
      <c r="W1869" s="32"/>
      <c r="X1869" s="32"/>
      <c r="Y1869" s="32"/>
      <c r="Z1869" s="32"/>
      <c r="AA1869" s="32"/>
      <c r="AB1869" s="32"/>
    </row>
    <row r="1870" spans="1:28" ht="13" x14ac:dyDescent="0.15">
      <c r="A1870" s="32"/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  <c r="M1870" s="23"/>
      <c r="N1870" s="32"/>
      <c r="O1870" s="32"/>
      <c r="P1870" s="32"/>
      <c r="Q1870" s="32"/>
      <c r="R1870" s="32"/>
      <c r="S1870" s="32"/>
      <c r="T1870" s="32"/>
      <c r="U1870" s="32"/>
      <c r="V1870" s="32"/>
      <c r="W1870" s="32"/>
      <c r="X1870" s="32"/>
      <c r="Y1870" s="32"/>
      <c r="Z1870" s="32"/>
      <c r="AA1870" s="32"/>
      <c r="AB1870" s="32"/>
    </row>
    <row r="1871" spans="1:28" ht="13" x14ac:dyDescent="0.15">
      <c r="A1871" s="32"/>
      <c r="B1871" s="32"/>
      <c r="C1871" s="32"/>
      <c r="D1871" s="32"/>
      <c r="E1871" s="32"/>
      <c r="F1871" s="32"/>
      <c r="G1871" s="32"/>
      <c r="H1871" s="32"/>
      <c r="I1871" s="32"/>
      <c r="J1871" s="32"/>
      <c r="K1871" s="32"/>
      <c r="L1871" s="32"/>
      <c r="M1871" s="23"/>
      <c r="N1871" s="32"/>
      <c r="O1871" s="32"/>
      <c r="P1871" s="32"/>
      <c r="Q1871" s="32"/>
      <c r="R1871" s="32"/>
      <c r="S1871" s="32"/>
      <c r="T1871" s="32"/>
      <c r="U1871" s="32"/>
      <c r="V1871" s="32"/>
      <c r="W1871" s="32"/>
      <c r="X1871" s="32"/>
      <c r="Y1871" s="32"/>
      <c r="Z1871" s="32"/>
      <c r="AA1871" s="32"/>
      <c r="AB1871" s="32"/>
    </row>
    <row r="1872" spans="1:28" ht="13" x14ac:dyDescent="0.15">
      <c r="A1872" s="32"/>
      <c r="B1872" s="32"/>
      <c r="C1872" s="32"/>
      <c r="D1872" s="32"/>
      <c r="E1872" s="32"/>
      <c r="F1872" s="32"/>
      <c r="G1872" s="32"/>
      <c r="H1872" s="32"/>
      <c r="I1872" s="32"/>
      <c r="J1872" s="32"/>
      <c r="K1872" s="32"/>
      <c r="L1872" s="32"/>
      <c r="M1872" s="23"/>
      <c r="N1872" s="32"/>
      <c r="O1872" s="32"/>
      <c r="P1872" s="32"/>
      <c r="Q1872" s="32"/>
      <c r="R1872" s="32"/>
      <c r="S1872" s="32"/>
      <c r="T1872" s="32"/>
      <c r="U1872" s="32"/>
      <c r="V1872" s="32"/>
      <c r="W1872" s="32"/>
      <c r="X1872" s="32"/>
      <c r="Y1872" s="32"/>
      <c r="Z1872" s="32"/>
      <c r="AA1872" s="32"/>
      <c r="AB1872" s="32"/>
    </row>
    <row r="1873" spans="1:28" ht="13" x14ac:dyDescent="0.15">
      <c r="A1873" s="32"/>
      <c r="B1873" s="32"/>
      <c r="C1873" s="32"/>
      <c r="D1873" s="32"/>
      <c r="E1873" s="32"/>
      <c r="F1873" s="32"/>
      <c r="G1873" s="32"/>
      <c r="H1873" s="32"/>
      <c r="I1873" s="32"/>
      <c r="J1873" s="32"/>
      <c r="K1873" s="32"/>
      <c r="L1873" s="32"/>
      <c r="M1873" s="23"/>
      <c r="N1873" s="32"/>
      <c r="O1873" s="32"/>
      <c r="P1873" s="32"/>
      <c r="Q1873" s="32"/>
      <c r="R1873" s="32"/>
      <c r="S1873" s="32"/>
      <c r="T1873" s="32"/>
      <c r="U1873" s="32"/>
      <c r="V1873" s="32"/>
      <c r="W1873" s="32"/>
      <c r="X1873" s="32"/>
      <c r="Y1873" s="32"/>
      <c r="Z1873" s="32"/>
      <c r="AA1873" s="32"/>
      <c r="AB1873" s="32"/>
    </row>
    <row r="1874" spans="1:28" ht="13" x14ac:dyDescent="0.15">
      <c r="A1874" s="32"/>
      <c r="B1874" s="32"/>
      <c r="C1874" s="32"/>
      <c r="D1874" s="32"/>
      <c r="E1874" s="32"/>
      <c r="F1874" s="32"/>
      <c r="G1874" s="32"/>
      <c r="H1874" s="32"/>
      <c r="I1874" s="32"/>
      <c r="J1874" s="32"/>
      <c r="K1874" s="32"/>
      <c r="L1874" s="32"/>
      <c r="M1874" s="23"/>
      <c r="N1874" s="32"/>
      <c r="O1874" s="32"/>
      <c r="P1874" s="32"/>
      <c r="Q1874" s="32"/>
      <c r="R1874" s="32"/>
      <c r="S1874" s="32"/>
      <c r="T1874" s="32"/>
      <c r="U1874" s="32"/>
      <c r="V1874" s="32"/>
      <c r="W1874" s="32"/>
      <c r="X1874" s="32"/>
      <c r="Y1874" s="32"/>
      <c r="Z1874" s="32"/>
      <c r="AA1874" s="32"/>
      <c r="AB1874" s="32"/>
    </row>
    <row r="1875" spans="1:28" ht="13" x14ac:dyDescent="0.15">
      <c r="A1875" s="32"/>
      <c r="B1875" s="32"/>
      <c r="C1875" s="32"/>
      <c r="D1875" s="32"/>
      <c r="E1875" s="32"/>
      <c r="F1875" s="32"/>
      <c r="G1875" s="32"/>
      <c r="H1875" s="32"/>
      <c r="I1875" s="32"/>
      <c r="J1875" s="32"/>
      <c r="K1875" s="32"/>
      <c r="L1875" s="32"/>
      <c r="M1875" s="23"/>
      <c r="N1875" s="32"/>
      <c r="O1875" s="32"/>
      <c r="P1875" s="32"/>
      <c r="Q1875" s="32"/>
      <c r="R1875" s="32"/>
      <c r="S1875" s="32"/>
      <c r="T1875" s="32"/>
      <c r="U1875" s="32"/>
      <c r="V1875" s="32"/>
      <c r="W1875" s="32"/>
      <c r="X1875" s="32"/>
      <c r="Y1875" s="32"/>
      <c r="Z1875" s="32"/>
      <c r="AA1875" s="32"/>
      <c r="AB1875" s="32"/>
    </row>
    <row r="1876" spans="1:28" ht="13" x14ac:dyDescent="0.15">
      <c r="A1876" s="32"/>
      <c r="B1876" s="32"/>
      <c r="C1876" s="32"/>
      <c r="D1876" s="32"/>
      <c r="E1876" s="32"/>
      <c r="F1876" s="32"/>
      <c r="G1876" s="32"/>
      <c r="H1876" s="32"/>
      <c r="I1876" s="32"/>
      <c r="J1876" s="32"/>
      <c r="K1876" s="32"/>
      <c r="L1876" s="32"/>
      <c r="M1876" s="23"/>
      <c r="N1876" s="32"/>
      <c r="O1876" s="32"/>
      <c r="P1876" s="32"/>
      <c r="Q1876" s="32"/>
      <c r="R1876" s="32"/>
      <c r="S1876" s="32"/>
      <c r="T1876" s="32"/>
      <c r="U1876" s="32"/>
      <c r="V1876" s="32"/>
      <c r="W1876" s="32"/>
      <c r="X1876" s="32"/>
      <c r="Y1876" s="32"/>
      <c r="Z1876" s="32"/>
      <c r="AA1876" s="32"/>
      <c r="AB1876" s="32"/>
    </row>
    <row r="1877" spans="1:28" ht="13" x14ac:dyDescent="0.15">
      <c r="A1877" s="32"/>
      <c r="B1877" s="32"/>
      <c r="C1877" s="32"/>
      <c r="D1877" s="32"/>
      <c r="E1877" s="32"/>
      <c r="F1877" s="32"/>
      <c r="G1877" s="32"/>
      <c r="H1877" s="32"/>
      <c r="I1877" s="32"/>
      <c r="J1877" s="32"/>
      <c r="K1877" s="32"/>
      <c r="L1877" s="32"/>
      <c r="M1877" s="23"/>
      <c r="N1877" s="32"/>
      <c r="O1877" s="32"/>
      <c r="P1877" s="32"/>
      <c r="Q1877" s="32"/>
      <c r="R1877" s="32"/>
      <c r="S1877" s="32"/>
      <c r="T1877" s="32"/>
      <c r="U1877" s="32"/>
      <c r="V1877" s="32"/>
      <c r="W1877" s="32"/>
      <c r="X1877" s="32"/>
      <c r="Y1877" s="32"/>
      <c r="Z1877" s="32"/>
      <c r="AA1877" s="32"/>
      <c r="AB1877" s="32"/>
    </row>
    <row r="1878" spans="1:28" ht="13" x14ac:dyDescent="0.15">
      <c r="A1878" s="32"/>
      <c r="B1878" s="32"/>
      <c r="C1878" s="32"/>
      <c r="D1878" s="32"/>
      <c r="E1878" s="32"/>
      <c r="F1878" s="32"/>
      <c r="G1878" s="32"/>
      <c r="H1878" s="32"/>
      <c r="I1878" s="32"/>
      <c r="J1878" s="32"/>
      <c r="K1878" s="32"/>
      <c r="L1878" s="32"/>
      <c r="M1878" s="23"/>
      <c r="N1878" s="32"/>
      <c r="O1878" s="32"/>
      <c r="P1878" s="32"/>
      <c r="Q1878" s="32"/>
      <c r="R1878" s="32"/>
      <c r="S1878" s="32"/>
      <c r="T1878" s="32"/>
      <c r="U1878" s="32"/>
      <c r="V1878" s="32"/>
      <c r="W1878" s="32"/>
      <c r="X1878" s="32"/>
      <c r="Y1878" s="32"/>
      <c r="Z1878" s="32"/>
      <c r="AA1878" s="32"/>
      <c r="AB1878" s="32"/>
    </row>
    <row r="1879" spans="1:28" ht="13" x14ac:dyDescent="0.15">
      <c r="A1879" s="32"/>
      <c r="B1879" s="32"/>
      <c r="C1879" s="32"/>
      <c r="D1879" s="32"/>
      <c r="E1879" s="32"/>
      <c r="F1879" s="32"/>
      <c r="G1879" s="32"/>
      <c r="H1879" s="32"/>
      <c r="I1879" s="32"/>
      <c r="J1879" s="32"/>
      <c r="K1879" s="32"/>
      <c r="L1879" s="32"/>
      <c r="M1879" s="23"/>
      <c r="N1879" s="32"/>
      <c r="O1879" s="32"/>
      <c r="P1879" s="32"/>
      <c r="Q1879" s="32"/>
      <c r="R1879" s="32"/>
      <c r="S1879" s="32"/>
      <c r="T1879" s="32"/>
      <c r="U1879" s="32"/>
      <c r="V1879" s="32"/>
      <c r="W1879" s="32"/>
      <c r="X1879" s="32"/>
      <c r="Y1879" s="32"/>
      <c r="Z1879" s="32"/>
      <c r="AA1879" s="32"/>
      <c r="AB1879" s="32"/>
    </row>
    <row r="1880" spans="1:28" ht="13" x14ac:dyDescent="0.15">
      <c r="A1880" s="32"/>
      <c r="B1880" s="32"/>
      <c r="C1880" s="32"/>
      <c r="D1880" s="32"/>
      <c r="E1880" s="32"/>
      <c r="F1880" s="32"/>
      <c r="G1880" s="32"/>
      <c r="H1880" s="32"/>
      <c r="I1880" s="32"/>
      <c r="J1880" s="32"/>
      <c r="K1880" s="32"/>
      <c r="L1880" s="32"/>
      <c r="M1880" s="23"/>
      <c r="N1880" s="32"/>
      <c r="O1880" s="32"/>
      <c r="P1880" s="32"/>
      <c r="Q1880" s="32"/>
      <c r="R1880" s="32"/>
      <c r="S1880" s="32"/>
      <c r="T1880" s="32"/>
      <c r="U1880" s="32"/>
      <c r="V1880" s="32"/>
      <c r="W1880" s="32"/>
      <c r="X1880" s="32"/>
      <c r="Y1880" s="32"/>
      <c r="Z1880" s="32"/>
      <c r="AA1880" s="32"/>
      <c r="AB1880" s="32"/>
    </row>
    <row r="1881" spans="1:28" ht="13" x14ac:dyDescent="0.15">
      <c r="A1881" s="32"/>
      <c r="B1881" s="32"/>
      <c r="C1881" s="32"/>
      <c r="D1881" s="32"/>
      <c r="E1881" s="32"/>
      <c r="F1881" s="32"/>
      <c r="G1881" s="32"/>
      <c r="H1881" s="32"/>
      <c r="I1881" s="32"/>
      <c r="J1881" s="32"/>
      <c r="K1881" s="32"/>
      <c r="L1881" s="32"/>
      <c r="M1881" s="23"/>
      <c r="N1881" s="32"/>
      <c r="O1881" s="32"/>
      <c r="P1881" s="32"/>
      <c r="Q1881" s="32"/>
      <c r="R1881" s="32"/>
      <c r="S1881" s="32"/>
      <c r="T1881" s="32"/>
      <c r="U1881" s="32"/>
      <c r="V1881" s="32"/>
      <c r="W1881" s="32"/>
      <c r="X1881" s="32"/>
      <c r="Y1881" s="32"/>
      <c r="Z1881" s="32"/>
      <c r="AA1881" s="32"/>
      <c r="AB1881" s="32"/>
    </row>
    <row r="1882" spans="1:28" ht="13" x14ac:dyDescent="0.15">
      <c r="A1882" s="32"/>
      <c r="B1882" s="32"/>
      <c r="C1882" s="32"/>
      <c r="D1882" s="32"/>
      <c r="E1882" s="32"/>
      <c r="F1882" s="32"/>
      <c r="G1882" s="32"/>
      <c r="H1882" s="32"/>
      <c r="I1882" s="32"/>
      <c r="J1882" s="32"/>
      <c r="K1882" s="32"/>
      <c r="L1882" s="32"/>
      <c r="M1882" s="23"/>
      <c r="N1882" s="32"/>
      <c r="O1882" s="32"/>
      <c r="P1882" s="32"/>
      <c r="Q1882" s="32"/>
      <c r="R1882" s="32"/>
      <c r="S1882" s="32"/>
      <c r="T1882" s="32"/>
      <c r="U1882" s="32"/>
      <c r="V1882" s="32"/>
      <c r="W1882" s="32"/>
      <c r="X1882" s="32"/>
      <c r="Y1882" s="32"/>
      <c r="Z1882" s="32"/>
      <c r="AA1882" s="32"/>
      <c r="AB1882" s="32"/>
    </row>
    <row r="1883" spans="1:28" ht="13" x14ac:dyDescent="0.15">
      <c r="A1883" s="32"/>
      <c r="B1883" s="32"/>
      <c r="C1883" s="32"/>
      <c r="D1883" s="32"/>
      <c r="E1883" s="32"/>
      <c r="F1883" s="32"/>
      <c r="G1883" s="32"/>
      <c r="H1883" s="32"/>
      <c r="I1883" s="32"/>
      <c r="J1883" s="32"/>
      <c r="K1883" s="32"/>
      <c r="L1883" s="32"/>
      <c r="M1883" s="23"/>
      <c r="N1883" s="32"/>
      <c r="O1883" s="32"/>
      <c r="P1883" s="32"/>
      <c r="Q1883" s="32"/>
      <c r="R1883" s="32"/>
      <c r="S1883" s="32"/>
      <c r="T1883" s="32"/>
      <c r="U1883" s="32"/>
      <c r="V1883" s="32"/>
      <c r="W1883" s="32"/>
      <c r="X1883" s="32"/>
      <c r="Y1883" s="32"/>
      <c r="Z1883" s="32"/>
      <c r="AA1883" s="32"/>
      <c r="AB1883" s="32"/>
    </row>
    <row r="1884" spans="1:28" ht="13" x14ac:dyDescent="0.15">
      <c r="A1884" s="32"/>
      <c r="B1884" s="32"/>
      <c r="C1884" s="32"/>
      <c r="D1884" s="32"/>
      <c r="E1884" s="32"/>
      <c r="F1884" s="32"/>
      <c r="G1884" s="32"/>
      <c r="H1884" s="32"/>
      <c r="I1884" s="32"/>
      <c r="J1884" s="32"/>
      <c r="K1884" s="32"/>
      <c r="L1884" s="32"/>
      <c r="M1884" s="23"/>
      <c r="N1884" s="32"/>
      <c r="O1884" s="32"/>
      <c r="P1884" s="32"/>
      <c r="Q1884" s="32"/>
      <c r="R1884" s="32"/>
      <c r="S1884" s="32"/>
      <c r="T1884" s="32"/>
      <c r="U1884" s="32"/>
      <c r="V1884" s="32"/>
      <c r="W1884" s="32"/>
      <c r="X1884" s="32"/>
      <c r="Y1884" s="32"/>
      <c r="Z1884" s="32"/>
      <c r="AA1884" s="32"/>
      <c r="AB1884" s="32"/>
    </row>
    <row r="1885" spans="1:28" ht="13" x14ac:dyDescent="0.15">
      <c r="A1885" s="32"/>
      <c r="B1885" s="32"/>
      <c r="C1885" s="32"/>
      <c r="D1885" s="32"/>
      <c r="E1885" s="32"/>
      <c r="F1885" s="32"/>
      <c r="G1885" s="32"/>
      <c r="H1885" s="32"/>
      <c r="I1885" s="32"/>
      <c r="J1885" s="32"/>
      <c r="K1885" s="32"/>
      <c r="L1885" s="32"/>
      <c r="M1885" s="23"/>
      <c r="N1885" s="32"/>
      <c r="O1885" s="32"/>
      <c r="P1885" s="32"/>
      <c r="Q1885" s="32"/>
      <c r="R1885" s="32"/>
      <c r="S1885" s="32"/>
      <c r="T1885" s="32"/>
      <c r="U1885" s="32"/>
      <c r="V1885" s="32"/>
      <c r="W1885" s="32"/>
      <c r="X1885" s="32"/>
      <c r="Y1885" s="32"/>
      <c r="Z1885" s="32"/>
      <c r="AA1885" s="32"/>
      <c r="AB1885" s="32"/>
    </row>
    <row r="1886" spans="1:28" ht="13" x14ac:dyDescent="0.15">
      <c r="A1886" s="32"/>
      <c r="B1886" s="32"/>
      <c r="C1886" s="32"/>
      <c r="D1886" s="32"/>
      <c r="E1886" s="32"/>
      <c r="F1886" s="32"/>
      <c r="G1886" s="32"/>
      <c r="H1886" s="32"/>
      <c r="I1886" s="32"/>
      <c r="J1886" s="32"/>
      <c r="K1886" s="32"/>
      <c r="L1886" s="32"/>
      <c r="M1886" s="23"/>
      <c r="N1886" s="32"/>
      <c r="O1886" s="32"/>
      <c r="P1886" s="32"/>
      <c r="Q1886" s="32"/>
      <c r="R1886" s="32"/>
      <c r="S1886" s="32"/>
      <c r="T1886" s="32"/>
      <c r="U1886" s="32"/>
      <c r="V1886" s="32"/>
      <c r="W1886" s="32"/>
      <c r="X1886" s="32"/>
      <c r="Y1886" s="32"/>
      <c r="Z1886" s="32"/>
      <c r="AA1886" s="32"/>
      <c r="AB1886" s="32"/>
    </row>
    <row r="1887" spans="1:28" ht="13" x14ac:dyDescent="0.15">
      <c r="A1887" s="32"/>
      <c r="B1887" s="32"/>
      <c r="C1887" s="32"/>
      <c r="D1887" s="32"/>
      <c r="E1887" s="32"/>
      <c r="F1887" s="32"/>
      <c r="G1887" s="32"/>
      <c r="H1887" s="32"/>
      <c r="I1887" s="32"/>
      <c r="J1887" s="32"/>
      <c r="K1887" s="32"/>
      <c r="L1887" s="32"/>
      <c r="M1887" s="23"/>
      <c r="N1887" s="32"/>
      <c r="O1887" s="32"/>
      <c r="P1887" s="32"/>
      <c r="Q1887" s="32"/>
      <c r="R1887" s="32"/>
      <c r="S1887" s="32"/>
      <c r="T1887" s="32"/>
      <c r="U1887" s="32"/>
      <c r="V1887" s="32"/>
      <c r="W1887" s="32"/>
      <c r="X1887" s="32"/>
      <c r="Y1887" s="32"/>
      <c r="Z1887" s="32"/>
      <c r="AA1887" s="32"/>
      <c r="AB1887" s="32"/>
    </row>
    <row r="1888" spans="1:28" ht="13" x14ac:dyDescent="0.15">
      <c r="A1888" s="32"/>
      <c r="B1888" s="32"/>
      <c r="C1888" s="32"/>
      <c r="D1888" s="32"/>
      <c r="E1888" s="32"/>
      <c r="F1888" s="32"/>
      <c r="G1888" s="32"/>
      <c r="H1888" s="32"/>
      <c r="I1888" s="32"/>
      <c r="J1888" s="32"/>
      <c r="K1888" s="32"/>
      <c r="L1888" s="32"/>
      <c r="M1888" s="23"/>
      <c r="N1888" s="32"/>
      <c r="O1888" s="32"/>
      <c r="P1888" s="32"/>
      <c r="Q1888" s="32"/>
      <c r="R1888" s="32"/>
      <c r="S1888" s="32"/>
      <c r="T1888" s="32"/>
      <c r="U1888" s="32"/>
      <c r="V1888" s="32"/>
      <c r="W1888" s="32"/>
      <c r="X1888" s="32"/>
      <c r="Y1888" s="32"/>
      <c r="Z1888" s="32"/>
      <c r="AA1888" s="32"/>
      <c r="AB1888" s="32"/>
    </row>
    <row r="1889" spans="1:28" ht="13" x14ac:dyDescent="0.15">
      <c r="A1889" s="32"/>
      <c r="B1889" s="32"/>
      <c r="C1889" s="32"/>
      <c r="D1889" s="32"/>
      <c r="E1889" s="32"/>
      <c r="F1889" s="32"/>
      <c r="G1889" s="32"/>
      <c r="H1889" s="32"/>
      <c r="I1889" s="32"/>
      <c r="J1889" s="32"/>
      <c r="K1889" s="32"/>
      <c r="L1889" s="32"/>
      <c r="M1889" s="23"/>
      <c r="N1889" s="32"/>
      <c r="O1889" s="32"/>
      <c r="P1889" s="32"/>
      <c r="Q1889" s="32"/>
      <c r="R1889" s="32"/>
      <c r="S1889" s="32"/>
      <c r="T1889" s="32"/>
      <c r="U1889" s="32"/>
      <c r="V1889" s="32"/>
      <c r="W1889" s="32"/>
      <c r="X1889" s="32"/>
      <c r="Y1889" s="32"/>
      <c r="Z1889" s="32"/>
      <c r="AA1889" s="32"/>
      <c r="AB1889" s="32"/>
    </row>
    <row r="1890" spans="1:28" ht="13" x14ac:dyDescent="0.15">
      <c r="A1890" s="32"/>
      <c r="B1890" s="32"/>
      <c r="C1890" s="32"/>
      <c r="D1890" s="32"/>
      <c r="E1890" s="32"/>
      <c r="F1890" s="32"/>
      <c r="G1890" s="32"/>
      <c r="H1890" s="32"/>
      <c r="I1890" s="32"/>
      <c r="J1890" s="32"/>
      <c r="K1890" s="32"/>
      <c r="L1890" s="32"/>
      <c r="M1890" s="23"/>
      <c r="N1890" s="32"/>
      <c r="O1890" s="32"/>
      <c r="P1890" s="32"/>
      <c r="Q1890" s="32"/>
      <c r="R1890" s="32"/>
      <c r="S1890" s="32"/>
      <c r="T1890" s="32"/>
      <c r="U1890" s="32"/>
      <c r="V1890" s="32"/>
      <c r="W1890" s="32"/>
      <c r="X1890" s="32"/>
      <c r="Y1890" s="32"/>
      <c r="Z1890" s="32"/>
      <c r="AA1890" s="32"/>
      <c r="AB1890" s="32"/>
    </row>
    <row r="1891" spans="1:28" ht="13" x14ac:dyDescent="0.15">
      <c r="A1891" s="32"/>
      <c r="B1891" s="32"/>
      <c r="C1891" s="32"/>
      <c r="D1891" s="32"/>
      <c r="E1891" s="32"/>
      <c r="F1891" s="32"/>
      <c r="G1891" s="32"/>
      <c r="H1891" s="32"/>
      <c r="I1891" s="32"/>
      <c r="J1891" s="32"/>
      <c r="K1891" s="32"/>
      <c r="L1891" s="32"/>
      <c r="M1891" s="23"/>
      <c r="N1891" s="32"/>
      <c r="O1891" s="32"/>
      <c r="P1891" s="32"/>
      <c r="Q1891" s="32"/>
      <c r="R1891" s="32"/>
      <c r="S1891" s="32"/>
      <c r="T1891" s="32"/>
      <c r="U1891" s="32"/>
      <c r="V1891" s="32"/>
      <c r="W1891" s="32"/>
      <c r="X1891" s="32"/>
      <c r="Y1891" s="32"/>
      <c r="Z1891" s="32"/>
      <c r="AA1891" s="32"/>
      <c r="AB1891" s="32"/>
    </row>
    <row r="1892" spans="1:28" ht="13" x14ac:dyDescent="0.15">
      <c r="A1892" s="32"/>
      <c r="B1892" s="32"/>
      <c r="C1892" s="32"/>
      <c r="D1892" s="32"/>
      <c r="E1892" s="32"/>
      <c r="F1892" s="32"/>
      <c r="G1892" s="32"/>
      <c r="H1892" s="32"/>
      <c r="I1892" s="32"/>
      <c r="J1892" s="32"/>
      <c r="K1892" s="32"/>
      <c r="L1892" s="32"/>
      <c r="M1892" s="23"/>
      <c r="N1892" s="32"/>
      <c r="O1892" s="32"/>
      <c r="P1892" s="32"/>
      <c r="Q1892" s="32"/>
      <c r="R1892" s="32"/>
      <c r="S1892" s="32"/>
      <c r="T1892" s="32"/>
      <c r="U1892" s="32"/>
      <c r="V1892" s="32"/>
      <c r="W1892" s="32"/>
      <c r="X1892" s="32"/>
      <c r="Y1892" s="32"/>
      <c r="Z1892" s="32"/>
      <c r="AA1892" s="32"/>
      <c r="AB1892" s="32"/>
    </row>
    <row r="1893" spans="1:28" ht="13" x14ac:dyDescent="0.15">
      <c r="A1893" s="32"/>
      <c r="B1893" s="32"/>
      <c r="C1893" s="32"/>
      <c r="D1893" s="32"/>
      <c r="E1893" s="32"/>
      <c r="F1893" s="32"/>
      <c r="G1893" s="32"/>
      <c r="H1893" s="32"/>
      <c r="I1893" s="32"/>
      <c r="J1893" s="32"/>
      <c r="K1893" s="32"/>
      <c r="L1893" s="32"/>
      <c r="M1893" s="23"/>
      <c r="N1893" s="32"/>
      <c r="O1893" s="32"/>
      <c r="P1893" s="32"/>
      <c r="Q1893" s="32"/>
      <c r="R1893" s="32"/>
      <c r="S1893" s="32"/>
      <c r="T1893" s="32"/>
      <c r="U1893" s="32"/>
      <c r="V1893" s="32"/>
      <c r="W1893" s="32"/>
      <c r="X1893" s="32"/>
      <c r="Y1893" s="32"/>
      <c r="Z1893" s="32"/>
      <c r="AA1893" s="32"/>
      <c r="AB1893" s="32"/>
    </row>
    <row r="1894" spans="1:28" ht="13" x14ac:dyDescent="0.15">
      <c r="A1894" s="32"/>
      <c r="B1894" s="32"/>
      <c r="C1894" s="32"/>
      <c r="D1894" s="32"/>
      <c r="E1894" s="32"/>
      <c r="F1894" s="32"/>
      <c r="G1894" s="32"/>
      <c r="H1894" s="32"/>
      <c r="I1894" s="32"/>
      <c r="J1894" s="32"/>
      <c r="K1894" s="32"/>
      <c r="L1894" s="32"/>
      <c r="M1894" s="23"/>
      <c r="N1894" s="32"/>
      <c r="O1894" s="32"/>
      <c r="P1894" s="32"/>
      <c r="Q1894" s="32"/>
      <c r="R1894" s="32"/>
      <c r="S1894" s="32"/>
      <c r="T1894" s="32"/>
      <c r="U1894" s="32"/>
      <c r="V1894" s="32"/>
      <c r="W1894" s="32"/>
      <c r="X1894" s="32"/>
      <c r="Y1894" s="32"/>
      <c r="Z1894" s="32"/>
      <c r="AA1894" s="32"/>
      <c r="AB1894" s="32"/>
    </row>
    <row r="1895" spans="1:28" ht="13" x14ac:dyDescent="0.15">
      <c r="A1895" s="32"/>
      <c r="B1895" s="32"/>
      <c r="C1895" s="32"/>
      <c r="D1895" s="32"/>
      <c r="E1895" s="32"/>
      <c r="F1895" s="32"/>
      <c r="G1895" s="32"/>
      <c r="H1895" s="32"/>
      <c r="I1895" s="32"/>
      <c r="J1895" s="32"/>
      <c r="K1895" s="32"/>
      <c r="L1895" s="32"/>
      <c r="M1895" s="23"/>
      <c r="N1895" s="32"/>
      <c r="O1895" s="32"/>
      <c r="P1895" s="32"/>
      <c r="Q1895" s="32"/>
      <c r="R1895" s="32"/>
      <c r="S1895" s="32"/>
      <c r="T1895" s="32"/>
      <c r="U1895" s="32"/>
      <c r="V1895" s="32"/>
      <c r="W1895" s="32"/>
      <c r="X1895" s="32"/>
      <c r="Y1895" s="32"/>
      <c r="Z1895" s="32"/>
      <c r="AA1895" s="32"/>
      <c r="AB1895" s="32"/>
    </row>
    <row r="1896" spans="1:28" ht="13" x14ac:dyDescent="0.15">
      <c r="A1896" s="32"/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  <c r="M1896" s="23"/>
      <c r="N1896" s="32"/>
      <c r="O1896" s="32"/>
      <c r="P1896" s="32"/>
      <c r="Q1896" s="32"/>
      <c r="R1896" s="32"/>
      <c r="S1896" s="32"/>
      <c r="T1896" s="32"/>
      <c r="U1896" s="32"/>
      <c r="V1896" s="32"/>
      <c r="W1896" s="32"/>
      <c r="X1896" s="32"/>
      <c r="Y1896" s="32"/>
      <c r="Z1896" s="32"/>
      <c r="AA1896" s="32"/>
      <c r="AB1896" s="32"/>
    </row>
    <row r="1897" spans="1:28" ht="13" x14ac:dyDescent="0.15">
      <c r="A1897" s="32"/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  <c r="M1897" s="23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  <c r="Y1897" s="32"/>
      <c r="Z1897" s="32"/>
      <c r="AA1897" s="32"/>
      <c r="AB1897" s="32"/>
    </row>
    <row r="1898" spans="1:28" ht="13" x14ac:dyDescent="0.15">
      <c r="A1898" s="32"/>
      <c r="B1898" s="32"/>
      <c r="C1898" s="32"/>
      <c r="D1898" s="32"/>
      <c r="E1898" s="32"/>
      <c r="F1898" s="32"/>
      <c r="G1898" s="32"/>
      <c r="H1898" s="32"/>
      <c r="I1898" s="32"/>
      <c r="J1898" s="32"/>
      <c r="K1898" s="32"/>
      <c r="L1898" s="32"/>
      <c r="M1898" s="23"/>
      <c r="N1898" s="32"/>
      <c r="O1898" s="32"/>
      <c r="P1898" s="32"/>
      <c r="Q1898" s="32"/>
      <c r="R1898" s="32"/>
      <c r="S1898" s="32"/>
      <c r="T1898" s="32"/>
      <c r="U1898" s="32"/>
      <c r="V1898" s="32"/>
      <c r="W1898" s="32"/>
      <c r="X1898" s="32"/>
      <c r="Y1898" s="32"/>
      <c r="Z1898" s="32"/>
      <c r="AA1898" s="32"/>
      <c r="AB1898" s="32"/>
    </row>
    <row r="1899" spans="1:28" ht="13" x14ac:dyDescent="0.15">
      <c r="A1899" s="32"/>
      <c r="B1899" s="32"/>
      <c r="C1899" s="32"/>
      <c r="D1899" s="32"/>
      <c r="E1899" s="32"/>
      <c r="F1899" s="32"/>
      <c r="G1899" s="32"/>
      <c r="H1899" s="32"/>
      <c r="I1899" s="32"/>
      <c r="J1899" s="32"/>
      <c r="K1899" s="32"/>
      <c r="L1899" s="32"/>
      <c r="M1899" s="23"/>
      <c r="N1899" s="32"/>
      <c r="O1899" s="32"/>
      <c r="P1899" s="32"/>
      <c r="Q1899" s="32"/>
      <c r="R1899" s="32"/>
      <c r="S1899" s="32"/>
      <c r="T1899" s="32"/>
      <c r="U1899" s="32"/>
      <c r="V1899" s="32"/>
      <c r="W1899" s="32"/>
      <c r="X1899" s="32"/>
      <c r="Y1899" s="32"/>
      <c r="Z1899" s="32"/>
      <c r="AA1899" s="32"/>
      <c r="AB1899" s="32"/>
    </row>
    <row r="1900" spans="1:28" ht="13" x14ac:dyDescent="0.15">
      <c r="A1900" s="32"/>
      <c r="B1900" s="32"/>
      <c r="C1900" s="32"/>
      <c r="D1900" s="32"/>
      <c r="E1900" s="32"/>
      <c r="F1900" s="32"/>
      <c r="G1900" s="32"/>
      <c r="H1900" s="32"/>
      <c r="I1900" s="32"/>
      <c r="J1900" s="32"/>
      <c r="K1900" s="32"/>
      <c r="L1900" s="32"/>
      <c r="M1900" s="23"/>
      <c r="N1900" s="32"/>
      <c r="O1900" s="32"/>
      <c r="P1900" s="32"/>
      <c r="Q1900" s="32"/>
      <c r="R1900" s="32"/>
      <c r="S1900" s="32"/>
      <c r="T1900" s="32"/>
      <c r="U1900" s="32"/>
      <c r="V1900" s="32"/>
      <c r="W1900" s="32"/>
      <c r="X1900" s="32"/>
      <c r="Y1900" s="32"/>
      <c r="Z1900" s="32"/>
      <c r="AA1900" s="32"/>
      <c r="AB1900" s="32"/>
    </row>
    <row r="1901" spans="1:28" ht="13" x14ac:dyDescent="0.15">
      <c r="A1901" s="32"/>
      <c r="B1901" s="32"/>
      <c r="C1901" s="32"/>
      <c r="D1901" s="32"/>
      <c r="E1901" s="32"/>
      <c r="F1901" s="32"/>
      <c r="G1901" s="32"/>
      <c r="H1901" s="32"/>
      <c r="I1901" s="32"/>
      <c r="J1901" s="32"/>
      <c r="K1901" s="32"/>
      <c r="L1901" s="32"/>
      <c r="M1901" s="23"/>
      <c r="N1901" s="32"/>
      <c r="O1901" s="32"/>
      <c r="P1901" s="32"/>
      <c r="Q1901" s="32"/>
      <c r="R1901" s="32"/>
      <c r="S1901" s="32"/>
      <c r="T1901" s="32"/>
      <c r="U1901" s="32"/>
      <c r="V1901" s="32"/>
      <c r="W1901" s="32"/>
      <c r="X1901" s="32"/>
      <c r="Y1901" s="32"/>
      <c r="Z1901" s="32"/>
      <c r="AA1901" s="32"/>
      <c r="AB1901" s="32"/>
    </row>
    <row r="1902" spans="1:28" ht="13" x14ac:dyDescent="0.15">
      <c r="A1902" s="32"/>
      <c r="B1902" s="32"/>
      <c r="C1902" s="32"/>
      <c r="D1902" s="32"/>
      <c r="E1902" s="32"/>
      <c r="F1902" s="32"/>
      <c r="G1902" s="32"/>
      <c r="H1902" s="32"/>
      <c r="I1902" s="32"/>
      <c r="J1902" s="32"/>
      <c r="K1902" s="32"/>
      <c r="L1902" s="32"/>
      <c r="M1902" s="23"/>
      <c r="N1902" s="32"/>
      <c r="O1902" s="32"/>
      <c r="P1902" s="32"/>
      <c r="Q1902" s="32"/>
      <c r="R1902" s="32"/>
      <c r="S1902" s="32"/>
      <c r="T1902" s="32"/>
      <c r="U1902" s="32"/>
      <c r="V1902" s="32"/>
      <c r="W1902" s="32"/>
      <c r="X1902" s="32"/>
      <c r="Y1902" s="32"/>
      <c r="Z1902" s="32"/>
      <c r="AA1902" s="32"/>
      <c r="AB1902" s="32"/>
    </row>
    <row r="1903" spans="1:28" ht="13" x14ac:dyDescent="0.15">
      <c r="A1903" s="32"/>
      <c r="B1903" s="32"/>
      <c r="C1903" s="32"/>
      <c r="D1903" s="32"/>
      <c r="E1903" s="32"/>
      <c r="F1903" s="32"/>
      <c r="G1903" s="32"/>
      <c r="H1903" s="32"/>
      <c r="I1903" s="32"/>
      <c r="J1903" s="32"/>
      <c r="K1903" s="32"/>
      <c r="L1903" s="32"/>
      <c r="M1903" s="23"/>
      <c r="N1903" s="32"/>
      <c r="O1903" s="32"/>
      <c r="P1903" s="32"/>
      <c r="Q1903" s="32"/>
      <c r="R1903" s="32"/>
      <c r="S1903" s="32"/>
      <c r="T1903" s="32"/>
      <c r="U1903" s="32"/>
      <c r="V1903" s="32"/>
      <c r="W1903" s="32"/>
      <c r="X1903" s="32"/>
      <c r="Y1903" s="32"/>
      <c r="Z1903" s="32"/>
      <c r="AA1903" s="32"/>
      <c r="AB1903" s="32"/>
    </row>
    <row r="1904" spans="1:28" ht="13" x14ac:dyDescent="0.15">
      <c r="A1904" s="32"/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23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</row>
    <row r="1905" spans="1:28" ht="13" x14ac:dyDescent="0.15">
      <c r="A1905" s="32"/>
      <c r="B1905" s="32"/>
      <c r="C1905" s="32"/>
      <c r="D1905" s="32"/>
      <c r="E1905" s="32"/>
      <c r="F1905" s="32"/>
      <c r="G1905" s="32"/>
      <c r="H1905" s="32"/>
      <c r="I1905" s="32"/>
      <c r="J1905" s="32"/>
      <c r="K1905" s="32"/>
      <c r="L1905" s="32"/>
      <c r="M1905" s="23"/>
      <c r="N1905" s="32"/>
      <c r="O1905" s="32"/>
      <c r="P1905" s="32"/>
      <c r="Q1905" s="32"/>
      <c r="R1905" s="32"/>
      <c r="S1905" s="32"/>
      <c r="T1905" s="32"/>
      <c r="U1905" s="32"/>
      <c r="V1905" s="32"/>
      <c r="W1905" s="32"/>
      <c r="X1905" s="32"/>
      <c r="Y1905" s="32"/>
      <c r="Z1905" s="32"/>
      <c r="AA1905" s="32"/>
      <c r="AB1905" s="32"/>
    </row>
    <row r="1906" spans="1:28" ht="13" x14ac:dyDescent="0.15">
      <c r="A1906" s="32"/>
      <c r="B1906" s="32"/>
      <c r="C1906" s="32"/>
      <c r="D1906" s="32"/>
      <c r="E1906" s="32"/>
      <c r="F1906" s="32"/>
      <c r="G1906" s="32"/>
      <c r="H1906" s="32"/>
      <c r="I1906" s="32"/>
      <c r="J1906" s="32"/>
      <c r="K1906" s="32"/>
      <c r="L1906" s="32"/>
      <c r="M1906" s="23"/>
      <c r="N1906" s="32"/>
      <c r="O1906" s="32"/>
      <c r="P1906" s="32"/>
      <c r="Q1906" s="32"/>
      <c r="R1906" s="32"/>
      <c r="S1906" s="32"/>
      <c r="T1906" s="32"/>
      <c r="U1906" s="32"/>
      <c r="V1906" s="32"/>
      <c r="W1906" s="32"/>
      <c r="X1906" s="32"/>
      <c r="Y1906" s="32"/>
      <c r="Z1906" s="32"/>
      <c r="AA1906" s="32"/>
      <c r="AB1906" s="32"/>
    </row>
    <row r="1907" spans="1:28" ht="13" x14ac:dyDescent="0.15">
      <c r="A1907" s="32"/>
      <c r="B1907" s="32"/>
      <c r="C1907" s="32"/>
      <c r="D1907" s="32"/>
      <c r="E1907" s="32"/>
      <c r="F1907" s="32"/>
      <c r="G1907" s="32"/>
      <c r="H1907" s="32"/>
      <c r="I1907" s="32"/>
      <c r="J1907" s="32"/>
      <c r="K1907" s="32"/>
      <c r="L1907" s="32"/>
      <c r="M1907" s="23"/>
      <c r="N1907" s="32"/>
      <c r="O1907" s="32"/>
      <c r="P1907" s="32"/>
      <c r="Q1907" s="32"/>
      <c r="R1907" s="32"/>
      <c r="S1907" s="32"/>
      <c r="T1907" s="32"/>
      <c r="U1907" s="32"/>
      <c r="V1907" s="32"/>
      <c r="W1907" s="32"/>
      <c r="X1907" s="32"/>
      <c r="Y1907" s="32"/>
      <c r="Z1907" s="32"/>
      <c r="AA1907" s="32"/>
      <c r="AB1907" s="32"/>
    </row>
    <row r="1908" spans="1:28" ht="13" x14ac:dyDescent="0.15">
      <c r="A1908" s="32"/>
      <c r="B1908" s="32"/>
      <c r="C1908" s="32"/>
      <c r="D1908" s="32"/>
      <c r="E1908" s="32"/>
      <c r="F1908" s="32"/>
      <c r="G1908" s="32"/>
      <c r="H1908" s="32"/>
      <c r="I1908" s="32"/>
      <c r="J1908" s="32"/>
      <c r="K1908" s="32"/>
      <c r="L1908" s="32"/>
      <c r="M1908" s="23"/>
      <c r="N1908" s="32"/>
      <c r="O1908" s="32"/>
      <c r="P1908" s="32"/>
      <c r="Q1908" s="32"/>
      <c r="R1908" s="32"/>
      <c r="S1908" s="32"/>
      <c r="T1908" s="32"/>
      <c r="U1908" s="32"/>
      <c r="V1908" s="32"/>
      <c r="W1908" s="32"/>
      <c r="X1908" s="32"/>
      <c r="Y1908" s="32"/>
      <c r="Z1908" s="32"/>
      <c r="AA1908" s="32"/>
      <c r="AB1908" s="32"/>
    </row>
    <row r="1909" spans="1:28" ht="13" x14ac:dyDescent="0.15">
      <c r="A1909" s="32"/>
      <c r="B1909" s="32"/>
      <c r="C1909" s="32"/>
      <c r="D1909" s="32"/>
      <c r="E1909" s="32"/>
      <c r="F1909" s="32"/>
      <c r="G1909" s="32"/>
      <c r="H1909" s="32"/>
      <c r="I1909" s="32"/>
      <c r="J1909" s="32"/>
      <c r="K1909" s="32"/>
      <c r="L1909" s="32"/>
      <c r="M1909" s="23"/>
      <c r="N1909" s="32"/>
      <c r="O1909" s="32"/>
      <c r="P1909" s="32"/>
      <c r="Q1909" s="32"/>
      <c r="R1909" s="32"/>
      <c r="S1909" s="32"/>
      <c r="T1909" s="32"/>
      <c r="U1909" s="32"/>
      <c r="V1909" s="32"/>
      <c r="W1909" s="32"/>
      <c r="X1909" s="32"/>
      <c r="Y1909" s="32"/>
      <c r="Z1909" s="32"/>
      <c r="AA1909" s="32"/>
      <c r="AB1909" s="32"/>
    </row>
    <row r="1910" spans="1:28" ht="13" x14ac:dyDescent="0.15">
      <c r="A1910" s="32"/>
      <c r="B1910" s="32"/>
      <c r="C1910" s="32"/>
      <c r="D1910" s="32"/>
      <c r="E1910" s="32"/>
      <c r="F1910" s="32"/>
      <c r="G1910" s="32"/>
      <c r="H1910" s="32"/>
      <c r="I1910" s="32"/>
      <c r="J1910" s="32"/>
      <c r="K1910" s="32"/>
      <c r="L1910" s="32"/>
      <c r="M1910" s="23"/>
      <c r="N1910" s="32"/>
      <c r="O1910" s="32"/>
      <c r="P1910" s="32"/>
      <c r="Q1910" s="32"/>
      <c r="R1910" s="32"/>
      <c r="S1910" s="32"/>
      <c r="T1910" s="32"/>
      <c r="U1910" s="32"/>
      <c r="V1910" s="32"/>
      <c r="W1910" s="32"/>
      <c r="X1910" s="32"/>
      <c r="Y1910" s="32"/>
      <c r="Z1910" s="32"/>
      <c r="AA1910" s="32"/>
      <c r="AB1910" s="32"/>
    </row>
    <row r="1911" spans="1:28" ht="13" x14ac:dyDescent="0.15">
      <c r="A1911" s="32"/>
      <c r="B1911" s="32"/>
      <c r="C1911" s="32"/>
      <c r="D1911" s="32"/>
      <c r="E1911" s="32"/>
      <c r="F1911" s="32"/>
      <c r="G1911" s="32"/>
      <c r="H1911" s="32"/>
      <c r="I1911" s="32"/>
      <c r="J1911" s="32"/>
      <c r="K1911" s="32"/>
      <c r="L1911" s="32"/>
      <c r="M1911" s="23"/>
      <c r="N1911" s="32"/>
      <c r="O1911" s="32"/>
      <c r="P1911" s="32"/>
      <c r="Q1911" s="32"/>
      <c r="R1911" s="32"/>
      <c r="S1911" s="32"/>
      <c r="T1911" s="32"/>
      <c r="U1911" s="32"/>
      <c r="V1911" s="32"/>
      <c r="W1911" s="32"/>
      <c r="X1911" s="32"/>
      <c r="Y1911" s="32"/>
      <c r="Z1911" s="32"/>
      <c r="AA1911" s="32"/>
      <c r="AB1911" s="32"/>
    </row>
    <row r="1912" spans="1:28" ht="13" x14ac:dyDescent="0.15">
      <c r="A1912" s="32"/>
      <c r="B1912" s="32"/>
      <c r="C1912" s="32"/>
      <c r="D1912" s="32"/>
      <c r="E1912" s="32"/>
      <c r="F1912" s="32"/>
      <c r="G1912" s="32"/>
      <c r="H1912" s="32"/>
      <c r="I1912" s="32"/>
      <c r="J1912" s="32"/>
      <c r="K1912" s="32"/>
      <c r="L1912" s="32"/>
      <c r="M1912" s="23"/>
      <c r="N1912" s="32"/>
      <c r="O1912" s="32"/>
      <c r="P1912" s="32"/>
      <c r="Q1912" s="32"/>
      <c r="R1912" s="32"/>
      <c r="S1912" s="32"/>
      <c r="T1912" s="32"/>
      <c r="U1912" s="32"/>
      <c r="V1912" s="32"/>
      <c r="W1912" s="32"/>
      <c r="X1912" s="32"/>
      <c r="Y1912" s="32"/>
      <c r="Z1912" s="32"/>
      <c r="AA1912" s="32"/>
      <c r="AB1912" s="32"/>
    </row>
    <row r="1913" spans="1:28" ht="13" x14ac:dyDescent="0.15">
      <c r="A1913" s="32"/>
      <c r="B1913" s="32"/>
      <c r="C1913" s="32"/>
      <c r="D1913" s="32"/>
      <c r="E1913" s="32"/>
      <c r="F1913" s="32"/>
      <c r="G1913" s="32"/>
      <c r="H1913" s="32"/>
      <c r="I1913" s="32"/>
      <c r="J1913" s="32"/>
      <c r="K1913" s="32"/>
      <c r="L1913" s="32"/>
      <c r="M1913" s="23"/>
      <c r="N1913" s="32"/>
      <c r="O1913" s="32"/>
      <c r="P1913" s="32"/>
      <c r="Q1913" s="32"/>
      <c r="R1913" s="32"/>
      <c r="S1913" s="32"/>
      <c r="T1913" s="32"/>
      <c r="U1913" s="32"/>
      <c r="V1913" s="32"/>
      <c r="W1913" s="32"/>
      <c r="X1913" s="32"/>
      <c r="Y1913" s="32"/>
      <c r="Z1913" s="32"/>
      <c r="AA1913" s="32"/>
      <c r="AB1913" s="32"/>
    </row>
    <row r="1914" spans="1:28" ht="13" x14ac:dyDescent="0.15">
      <c r="A1914" s="32"/>
      <c r="B1914" s="32"/>
      <c r="C1914" s="32"/>
      <c r="D1914" s="32"/>
      <c r="E1914" s="32"/>
      <c r="F1914" s="32"/>
      <c r="G1914" s="32"/>
      <c r="H1914" s="32"/>
      <c r="I1914" s="32"/>
      <c r="J1914" s="32"/>
      <c r="K1914" s="32"/>
      <c r="L1914" s="32"/>
      <c r="M1914" s="23"/>
      <c r="N1914" s="32"/>
      <c r="O1914" s="32"/>
      <c r="P1914" s="32"/>
      <c r="Q1914" s="32"/>
      <c r="R1914" s="32"/>
      <c r="S1914" s="32"/>
      <c r="T1914" s="32"/>
      <c r="U1914" s="32"/>
      <c r="V1914" s="32"/>
      <c r="W1914" s="32"/>
      <c r="X1914" s="32"/>
      <c r="Y1914" s="32"/>
      <c r="Z1914" s="32"/>
      <c r="AA1914" s="32"/>
      <c r="AB1914" s="32"/>
    </row>
    <row r="1915" spans="1:28" ht="13" x14ac:dyDescent="0.15">
      <c r="A1915" s="32"/>
      <c r="B1915" s="32"/>
      <c r="C1915" s="32"/>
      <c r="D1915" s="32"/>
      <c r="E1915" s="32"/>
      <c r="F1915" s="32"/>
      <c r="G1915" s="32"/>
      <c r="H1915" s="32"/>
      <c r="I1915" s="32"/>
      <c r="J1915" s="32"/>
      <c r="K1915" s="32"/>
      <c r="L1915" s="32"/>
      <c r="M1915" s="23"/>
      <c r="N1915" s="32"/>
      <c r="O1915" s="32"/>
      <c r="P1915" s="32"/>
      <c r="Q1915" s="32"/>
      <c r="R1915" s="32"/>
      <c r="S1915" s="32"/>
      <c r="T1915" s="32"/>
      <c r="U1915" s="32"/>
      <c r="V1915" s="32"/>
      <c r="W1915" s="32"/>
      <c r="X1915" s="32"/>
      <c r="Y1915" s="32"/>
      <c r="Z1915" s="32"/>
      <c r="AA1915" s="32"/>
      <c r="AB1915" s="32"/>
    </row>
    <row r="1916" spans="1:28" ht="13" x14ac:dyDescent="0.15">
      <c r="A1916" s="32"/>
      <c r="B1916" s="32"/>
      <c r="C1916" s="32"/>
      <c r="D1916" s="32"/>
      <c r="E1916" s="32"/>
      <c r="F1916" s="32"/>
      <c r="G1916" s="32"/>
      <c r="H1916" s="32"/>
      <c r="I1916" s="32"/>
      <c r="J1916" s="32"/>
      <c r="K1916" s="32"/>
      <c r="L1916" s="32"/>
      <c r="M1916" s="23"/>
      <c r="N1916" s="32"/>
      <c r="O1916" s="32"/>
      <c r="P1916" s="32"/>
      <c r="Q1916" s="32"/>
      <c r="R1916" s="32"/>
      <c r="S1916" s="32"/>
      <c r="T1916" s="32"/>
      <c r="U1916" s="32"/>
      <c r="V1916" s="32"/>
      <c r="W1916" s="32"/>
      <c r="X1916" s="32"/>
      <c r="Y1916" s="32"/>
      <c r="Z1916" s="32"/>
      <c r="AA1916" s="32"/>
      <c r="AB1916" s="32"/>
    </row>
    <row r="1917" spans="1:28" ht="13" x14ac:dyDescent="0.15">
      <c r="A1917" s="32"/>
      <c r="B1917" s="32"/>
      <c r="C1917" s="32"/>
      <c r="D1917" s="32"/>
      <c r="E1917" s="32"/>
      <c r="F1917" s="32"/>
      <c r="G1917" s="32"/>
      <c r="H1917" s="32"/>
      <c r="I1917" s="32"/>
      <c r="J1917" s="32"/>
      <c r="K1917" s="32"/>
      <c r="L1917" s="32"/>
      <c r="M1917" s="23"/>
      <c r="N1917" s="32"/>
      <c r="O1917" s="32"/>
      <c r="P1917" s="32"/>
      <c r="Q1917" s="32"/>
      <c r="R1917" s="32"/>
      <c r="S1917" s="32"/>
      <c r="T1917" s="32"/>
      <c r="U1917" s="32"/>
      <c r="V1917" s="32"/>
      <c r="W1917" s="32"/>
      <c r="X1917" s="32"/>
      <c r="Y1917" s="32"/>
      <c r="Z1917" s="32"/>
      <c r="AA1917" s="32"/>
      <c r="AB1917" s="32"/>
    </row>
    <row r="1918" spans="1:28" ht="13" x14ac:dyDescent="0.15">
      <c r="A1918" s="32"/>
      <c r="B1918" s="32"/>
      <c r="C1918" s="32"/>
      <c r="D1918" s="32"/>
      <c r="E1918" s="32"/>
      <c r="F1918" s="32"/>
      <c r="G1918" s="32"/>
      <c r="H1918" s="32"/>
      <c r="I1918" s="32"/>
      <c r="J1918" s="32"/>
      <c r="K1918" s="32"/>
      <c r="L1918" s="32"/>
      <c r="M1918" s="23"/>
      <c r="N1918" s="32"/>
      <c r="O1918" s="32"/>
      <c r="P1918" s="32"/>
      <c r="Q1918" s="32"/>
      <c r="R1918" s="32"/>
      <c r="S1918" s="32"/>
      <c r="T1918" s="32"/>
      <c r="U1918" s="32"/>
      <c r="V1918" s="32"/>
      <c r="W1918" s="32"/>
      <c r="X1918" s="32"/>
      <c r="Y1918" s="32"/>
      <c r="Z1918" s="32"/>
      <c r="AA1918" s="32"/>
      <c r="AB1918" s="32"/>
    </row>
    <row r="1919" spans="1:28" ht="13" x14ac:dyDescent="0.15">
      <c r="A1919" s="32"/>
      <c r="B1919" s="32"/>
      <c r="C1919" s="32"/>
      <c r="D1919" s="32"/>
      <c r="E1919" s="32"/>
      <c r="F1919" s="32"/>
      <c r="G1919" s="32"/>
      <c r="H1919" s="32"/>
      <c r="I1919" s="32"/>
      <c r="J1919" s="32"/>
      <c r="K1919" s="32"/>
      <c r="L1919" s="32"/>
      <c r="M1919" s="23"/>
      <c r="N1919" s="32"/>
      <c r="O1919" s="32"/>
      <c r="P1919" s="32"/>
      <c r="Q1919" s="32"/>
      <c r="R1919" s="32"/>
      <c r="S1919" s="32"/>
      <c r="T1919" s="32"/>
      <c r="U1919" s="32"/>
      <c r="V1919" s="32"/>
      <c r="W1919" s="32"/>
      <c r="X1919" s="32"/>
      <c r="Y1919" s="32"/>
      <c r="Z1919" s="32"/>
      <c r="AA1919" s="32"/>
      <c r="AB1919" s="32"/>
    </row>
    <row r="1920" spans="1:28" ht="13" x14ac:dyDescent="0.15">
      <c r="A1920" s="32"/>
      <c r="B1920" s="32"/>
      <c r="C1920" s="32"/>
      <c r="D1920" s="32"/>
      <c r="E1920" s="32"/>
      <c r="F1920" s="32"/>
      <c r="G1920" s="32"/>
      <c r="H1920" s="32"/>
      <c r="I1920" s="32"/>
      <c r="J1920" s="32"/>
      <c r="K1920" s="32"/>
      <c r="L1920" s="32"/>
      <c r="M1920" s="23"/>
      <c r="N1920" s="32"/>
      <c r="O1920" s="32"/>
      <c r="P1920" s="32"/>
      <c r="Q1920" s="32"/>
      <c r="R1920" s="32"/>
      <c r="S1920" s="32"/>
      <c r="T1920" s="32"/>
      <c r="U1920" s="32"/>
      <c r="V1920" s="32"/>
      <c r="W1920" s="32"/>
      <c r="X1920" s="32"/>
      <c r="Y1920" s="32"/>
      <c r="Z1920" s="32"/>
      <c r="AA1920" s="32"/>
      <c r="AB1920" s="32"/>
    </row>
    <row r="1921" spans="1:28" ht="13" x14ac:dyDescent="0.15">
      <c r="A1921" s="32"/>
      <c r="B1921" s="32"/>
      <c r="C1921" s="32"/>
      <c r="D1921" s="32"/>
      <c r="E1921" s="32"/>
      <c r="F1921" s="32"/>
      <c r="G1921" s="32"/>
      <c r="H1921" s="32"/>
      <c r="I1921" s="32"/>
      <c r="J1921" s="32"/>
      <c r="K1921" s="32"/>
      <c r="L1921" s="32"/>
      <c r="M1921" s="23"/>
      <c r="N1921" s="32"/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32"/>
      <c r="AB1921" s="32"/>
    </row>
    <row r="1922" spans="1:28" ht="13" x14ac:dyDescent="0.15">
      <c r="A1922" s="32"/>
      <c r="B1922" s="32"/>
      <c r="C1922" s="32"/>
      <c r="D1922" s="32"/>
      <c r="E1922" s="32"/>
      <c r="F1922" s="32"/>
      <c r="G1922" s="32"/>
      <c r="H1922" s="32"/>
      <c r="I1922" s="32"/>
      <c r="J1922" s="32"/>
      <c r="K1922" s="32"/>
      <c r="L1922" s="32"/>
      <c r="M1922" s="23"/>
      <c r="N1922" s="32"/>
      <c r="O1922" s="32"/>
      <c r="P1922" s="32"/>
      <c r="Q1922" s="32"/>
      <c r="R1922" s="32"/>
      <c r="S1922" s="32"/>
      <c r="T1922" s="32"/>
      <c r="U1922" s="32"/>
      <c r="V1922" s="32"/>
      <c r="W1922" s="32"/>
      <c r="X1922" s="32"/>
      <c r="Y1922" s="32"/>
      <c r="Z1922" s="32"/>
      <c r="AA1922" s="32"/>
      <c r="AB1922" s="32"/>
    </row>
    <row r="1923" spans="1:28" ht="13" x14ac:dyDescent="0.15">
      <c r="A1923" s="32"/>
      <c r="B1923" s="32"/>
      <c r="C1923" s="32"/>
      <c r="D1923" s="32"/>
      <c r="E1923" s="32"/>
      <c r="F1923" s="32"/>
      <c r="G1923" s="32"/>
      <c r="H1923" s="32"/>
      <c r="I1923" s="32"/>
      <c r="J1923" s="32"/>
      <c r="K1923" s="32"/>
      <c r="L1923" s="32"/>
      <c r="M1923" s="23"/>
      <c r="N1923" s="32"/>
      <c r="O1923" s="32"/>
      <c r="P1923" s="32"/>
      <c r="Q1923" s="32"/>
      <c r="R1923" s="32"/>
      <c r="S1923" s="32"/>
      <c r="T1923" s="32"/>
      <c r="U1923" s="32"/>
      <c r="V1923" s="32"/>
      <c r="W1923" s="32"/>
      <c r="X1923" s="32"/>
      <c r="Y1923" s="32"/>
      <c r="Z1923" s="32"/>
      <c r="AA1923" s="32"/>
      <c r="AB1923" s="32"/>
    </row>
    <row r="1924" spans="1:28" ht="13" x14ac:dyDescent="0.15">
      <c r="A1924" s="32"/>
      <c r="B1924" s="32"/>
      <c r="C1924" s="32"/>
      <c r="D1924" s="32"/>
      <c r="E1924" s="32"/>
      <c r="F1924" s="32"/>
      <c r="G1924" s="32"/>
      <c r="H1924" s="32"/>
      <c r="I1924" s="32"/>
      <c r="J1924" s="32"/>
      <c r="K1924" s="32"/>
      <c r="L1924" s="32"/>
      <c r="M1924" s="23"/>
      <c r="N1924" s="32"/>
      <c r="O1924" s="32"/>
      <c r="P1924" s="32"/>
      <c r="Q1924" s="32"/>
      <c r="R1924" s="32"/>
      <c r="S1924" s="32"/>
      <c r="T1924" s="32"/>
      <c r="U1924" s="32"/>
      <c r="V1924" s="32"/>
      <c r="W1924" s="32"/>
      <c r="X1924" s="32"/>
      <c r="Y1924" s="32"/>
      <c r="Z1924" s="32"/>
      <c r="AA1924" s="32"/>
      <c r="AB1924" s="32"/>
    </row>
    <row r="1925" spans="1:28" ht="13" x14ac:dyDescent="0.15">
      <c r="A1925" s="32"/>
      <c r="B1925" s="32"/>
      <c r="C1925" s="32"/>
      <c r="D1925" s="32"/>
      <c r="E1925" s="32"/>
      <c r="F1925" s="32"/>
      <c r="G1925" s="32"/>
      <c r="H1925" s="32"/>
      <c r="I1925" s="32"/>
      <c r="J1925" s="32"/>
      <c r="K1925" s="32"/>
      <c r="L1925" s="32"/>
      <c r="M1925" s="23"/>
      <c r="N1925" s="32"/>
      <c r="O1925" s="32"/>
      <c r="P1925" s="32"/>
      <c r="Q1925" s="32"/>
      <c r="R1925" s="32"/>
      <c r="S1925" s="32"/>
      <c r="T1925" s="32"/>
      <c r="U1925" s="32"/>
      <c r="V1925" s="32"/>
      <c r="W1925" s="32"/>
      <c r="X1925" s="32"/>
      <c r="Y1925" s="32"/>
      <c r="Z1925" s="32"/>
      <c r="AA1925" s="32"/>
      <c r="AB1925" s="32"/>
    </row>
    <row r="1926" spans="1:28" ht="13" x14ac:dyDescent="0.15">
      <c r="A1926" s="32"/>
      <c r="B1926" s="32"/>
      <c r="C1926" s="32"/>
      <c r="D1926" s="32"/>
      <c r="E1926" s="32"/>
      <c r="F1926" s="32"/>
      <c r="G1926" s="32"/>
      <c r="H1926" s="32"/>
      <c r="I1926" s="32"/>
      <c r="J1926" s="32"/>
      <c r="K1926" s="32"/>
      <c r="L1926" s="32"/>
      <c r="M1926" s="23"/>
      <c r="N1926" s="32"/>
      <c r="O1926" s="32"/>
      <c r="P1926" s="32"/>
      <c r="Q1926" s="32"/>
      <c r="R1926" s="32"/>
      <c r="S1926" s="32"/>
      <c r="T1926" s="32"/>
      <c r="U1926" s="32"/>
      <c r="V1926" s="32"/>
      <c r="W1926" s="32"/>
      <c r="X1926" s="32"/>
      <c r="Y1926" s="32"/>
      <c r="Z1926" s="32"/>
      <c r="AA1926" s="32"/>
      <c r="AB1926" s="32"/>
    </row>
    <row r="1927" spans="1:28" ht="13" x14ac:dyDescent="0.15">
      <c r="A1927" s="32"/>
      <c r="B1927" s="32"/>
      <c r="C1927" s="32"/>
      <c r="D1927" s="32"/>
      <c r="E1927" s="32"/>
      <c r="F1927" s="32"/>
      <c r="G1927" s="32"/>
      <c r="H1927" s="32"/>
      <c r="I1927" s="32"/>
      <c r="J1927" s="32"/>
      <c r="K1927" s="32"/>
      <c r="L1927" s="32"/>
      <c r="M1927" s="23"/>
      <c r="N1927" s="32"/>
      <c r="O1927" s="32"/>
      <c r="P1927" s="32"/>
      <c r="Q1927" s="32"/>
      <c r="R1927" s="32"/>
      <c r="S1927" s="32"/>
      <c r="T1927" s="32"/>
      <c r="U1927" s="32"/>
      <c r="V1927" s="32"/>
      <c r="W1927" s="32"/>
      <c r="X1927" s="32"/>
      <c r="Y1927" s="32"/>
      <c r="Z1927" s="32"/>
      <c r="AA1927" s="32"/>
      <c r="AB1927" s="32"/>
    </row>
    <row r="1928" spans="1:28" ht="13" x14ac:dyDescent="0.15">
      <c r="A1928" s="32"/>
      <c r="B1928" s="32"/>
      <c r="C1928" s="32"/>
      <c r="D1928" s="32"/>
      <c r="E1928" s="32"/>
      <c r="F1928" s="32"/>
      <c r="G1928" s="32"/>
      <c r="H1928" s="32"/>
      <c r="I1928" s="32"/>
      <c r="J1928" s="32"/>
      <c r="K1928" s="32"/>
      <c r="L1928" s="32"/>
      <c r="M1928" s="23"/>
      <c r="N1928" s="32"/>
      <c r="O1928" s="32"/>
      <c r="P1928" s="32"/>
      <c r="Q1928" s="32"/>
      <c r="R1928" s="32"/>
      <c r="S1928" s="32"/>
      <c r="T1928" s="32"/>
      <c r="U1928" s="32"/>
      <c r="V1928" s="32"/>
      <c r="W1928" s="32"/>
      <c r="X1928" s="32"/>
      <c r="Y1928" s="32"/>
      <c r="Z1928" s="32"/>
      <c r="AA1928" s="32"/>
      <c r="AB1928" s="32"/>
    </row>
    <row r="1929" spans="1:28" ht="13" x14ac:dyDescent="0.15">
      <c r="A1929" s="32"/>
      <c r="B1929" s="32"/>
      <c r="C1929" s="32"/>
      <c r="D1929" s="32"/>
      <c r="E1929" s="32"/>
      <c r="F1929" s="32"/>
      <c r="G1929" s="32"/>
      <c r="H1929" s="32"/>
      <c r="I1929" s="32"/>
      <c r="J1929" s="32"/>
      <c r="K1929" s="32"/>
      <c r="L1929" s="32"/>
      <c r="M1929" s="23"/>
      <c r="N1929" s="32"/>
      <c r="O1929" s="32"/>
      <c r="P1929" s="32"/>
      <c r="Q1929" s="32"/>
      <c r="R1929" s="32"/>
      <c r="S1929" s="32"/>
      <c r="T1929" s="32"/>
      <c r="U1929" s="32"/>
      <c r="V1929" s="32"/>
      <c r="W1929" s="32"/>
      <c r="X1929" s="32"/>
      <c r="Y1929" s="32"/>
      <c r="Z1929" s="32"/>
      <c r="AA1929" s="32"/>
      <c r="AB1929" s="32"/>
    </row>
    <row r="1930" spans="1:28" ht="13" x14ac:dyDescent="0.15">
      <c r="A1930" s="32"/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  <c r="M1930" s="23"/>
      <c r="N1930" s="32"/>
      <c r="O1930" s="32"/>
      <c r="P1930" s="32"/>
      <c r="Q1930" s="32"/>
      <c r="R1930" s="32"/>
      <c r="S1930" s="32"/>
      <c r="T1930" s="32"/>
      <c r="U1930" s="32"/>
      <c r="V1930" s="32"/>
      <c r="W1930" s="32"/>
      <c r="X1930" s="32"/>
      <c r="Y1930" s="32"/>
      <c r="Z1930" s="32"/>
      <c r="AA1930" s="32"/>
      <c r="AB1930" s="32"/>
    </row>
    <row r="1931" spans="1:28" ht="13" x14ac:dyDescent="0.15">
      <c r="A1931" s="32"/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  <c r="M1931" s="23"/>
      <c r="N1931" s="32"/>
      <c r="O1931" s="32"/>
      <c r="P1931" s="32"/>
      <c r="Q1931" s="32"/>
      <c r="R1931" s="32"/>
      <c r="S1931" s="32"/>
      <c r="T1931" s="32"/>
      <c r="U1931" s="32"/>
      <c r="V1931" s="32"/>
      <c r="W1931" s="32"/>
      <c r="X1931" s="32"/>
      <c r="Y1931" s="32"/>
      <c r="Z1931" s="32"/>
      <c r="AA1931" s="32"/>
      <c r="AB1931" s="32"/>
    </row>
    <row r="1932" spans="1:28" ht="13" x14ac:dyDescent="0.15">
      <c r="A1932" s="32"/>
      <c r="B1932" s="32"/>
      <c r="C1932" s="32"/>
      <c r="D1932" s="32"/>
      <c r="E1932" s="32"/>
      <c r="F1932" s="32"/>
      <c r="G1932" s="32"/>
      <c r="H1932" s="32"/>
      <c r="I1932" s="32"/>
      <c r="J1932" s="32"/>
      <c r="K1932" s="32"/>
      <c r="L1932" s="32"/>
      <c r="M1932" s="23"/>
      <c r="N1932" s="32"/>
      <c r="O1932" s="32"/>
      <c r="P1932" s="32"/>
      <c r="Q1932" s="32"/>
      <c r="R1932" s="32"/>
      <c r="S1932" s="32"/>
      <c r="T1932" s="32"/>
      <c r="U1932" s="32"/>
      <c r="V1932" s="32"/>
      <c r="W1932" s="32"/>
      <c r="X1932" s="32"/>
      <c r="Y1932" s="32"/>
      <c r="Z1932" s="32"/>
      <c r="AA1932" s="32"/>
      <c r="AB1932" s="32"/>
    </row>
    <row r="1933" spans="1:28" ht="13" x14ac:dyDescent="0.15">
      <c r="A1933" s="32"/>
      <c r="B1933" s="32"/>
      <c r="C1933" s="32"/>
      <c r="D1933" s="32"/>
      <c r="E1933" s="32"/>
      <c r="F1933" s="32"/>
      <c r="G1933" s="32"/>
      <c r="H1933" s="32"/>
      <c r="I1933" s="32"/>
      <c r="J1933" s="32"/>
      <c r="K1933" s="32"/>
      <c r="L1933" s="32"/>
      <c r="M1933" s="23"/>
      <c r="N1933" s="32"/>
      <c r="O1933" s="32"/>
      <c r="P1933" s="32"/>
      <c r="Q1933" s="32"/>
      <c r="R1933" s="32"/>
      <c r="S1933" s="32"/>
      <c r="T1933" s="32"/>
      <c r="U1933" s="32"/>
      <c r="V1933" s="32"/>
      <c r="W1933" s="32"/>
      <c r="X1933" s="32"/>
      <c r="Y1933" s="32"/>
      <c r="Z1933" s="32"/>
      <c r="AA1933" s="32"/>
      <c r="AB1933" s="32"/>
    </row>
    <row r="1934" spans="1:28" ht="13" x14ac:dyDescent="0.15">
      <c r="A1934" s="32"/>
      <c r="B1934" s="32"/>
      <c r="C1934" s="32"/>
      <c r="D1934" s="32"/>
      <c r="E1934" s="32"/>
      <c r="F1934" s="32"/>
      <c r="G1934" s="32"/>
      <c r="H1934" s="32"/>
      <c r="I1934" s="32"/>
      <c r="J1934" s="32"/>
      <c r="K1934" s="32"/>
      <c r="L1934" s="32"/>
      <c r="M1934" s="23"/>
      <c r="N1934" s="32"/>
      <c r="O1934" s="32"/>
      <c r="P1934" s="32"/>
      <c r="Q1934" s="32"/>
      <c r="R1934" s="32"/>
      <c r="S1934" s="32"/>
      <c r="T1934" s="32"/>
      <c r="U1934" s="32"/>
      <c r="V1934" s="32"/>
      <c r="W1934" s="32"/>
      <c r="X1934" s="32"/>
      <c r="Y1934" s="32"/>
      <c r="Z1934" s="32"/>
      <c r="AA1934" s="32"/>
      <c r="AB1934" s="32"/>
    </row>
    <row r="1935" spans="1:28" ht="13" x14ac:dyDescent="0.15">
      <c r="A1935" s="32"/>
      <c r="B1935" s="32"/>
      <c r="C1935" s="32"/>
      <c r="D1935" s="32"/>
      <c r="E1935" s="32"/>
      <c r="F1935" s="32"/>
      <c r="G1935" s="32"/>
      <c r="H1935" s="32"/>
      <c r="I1935" s="32"/>
      <c r="J1935" s="32"/>
      <c r="K1935" s="32"/>
      <c r="L1935" s="32"/>
      <c r="M1935" s="23"/>
      <c r="N1935" s="32"/>
      <c r="O1935" s="32"/>
      <c r="P1935" s="32"/>
      <c r="Q1935" s="32"/>
      <c r="R1935" s="32"/>
      <c r="S1935" s="32"/>
      <c r="T1935" s="32"/>
      <c r="U1935" s="32"/>
      <c r="V1935" s="32"/>
      <c r="W1935" s="32"/>
      <c r="X1935" s="32"/>
      <c r="Y1935" s="32"/>
      <c r="Z1935" s="32"/>
      <c r="AA1935" s="32"/>
      <c r="AB1935" s="32"/>
    </row>
    <row r="1936" spans="1:28" ht="13" x14ac:dyDescent="0.15">
      <c r="A1936" s="32"/>
      <c r="B1936" s="32"/>
      <c r="C1936" s="32"/>
      <c r="D1936" s="32"/>
      <c r="E1936" s="32"/>
      <c r="F1936" s="32"/>
      <c r="G1936" s="32"/>
      <c r="H1936" s="32"/>
      <c r="I1936" s="32"/>
      <c r="J1936" s="32"/>
      <c r="K1936" s="32"/>
      <c r="L1936" s="32"/>
      <c r="M1936" s="23"/>
      <c r="N1936" s="32"/>
      <c r="O1936" s="32"/>
      <c r="P1936" s="32"/>
      <c r="Q1936" s="32"/>
      <c r="R1936" s="32"/>
      <c r="S1936" s="32"/>
      <c r="T1936" s="32"/>
      <c r="U1936" s="32"/>
      <c r="V1936" s="32"/>
      <c r="W1936" s="32"/>
      <c r="X1936" s="32"/>
      <c r="Y1936" s="32"/>
      <c r="Z1936" s="32"/>
      <c r="AA1936" s="32"/>
      <c r="AB1936" s="32"/>
    </row>
    <row r="1937" spans="1:28" ht="13" x14ac:dyDescent="0.15">
      <c r="A1937" s="32"/>
      <c r="B1937" s="32"/>
      <c r="C1937" s="32"/>
      <c r="D1937" s="32"/>
      <c r="E1937" s="32"/>
      <c r="F1937" s="32"/>
      <c r="G1937" s="32"/>
      <c r="H1937" s="32"/>
      <c r="I1937" s="32"/>
      <c r="J1937" s="32"/>
      <c r="K1937" s="32"/>
      <c r="L1937" s="32"/>
      <c r="M1937" s="23"/>
      <c r="N1937" s="32"/>
      <c r="O1937" s="32"/>
      <c r="P1937" s="32"/>
      <c r="Q1937" s="32"/>
      <c r="R1937" s="32"/>
      <c r="S1937" s="32"/>
      <c r="T1937" s="32"/>
      <c r="U1937" s="32"/>
      <c r="V1937" s="32"/>
      <c r="W1937" s="32"/>
      <c r="X1937" s="32"/>
      <c r="Y1937" s="32"/>
      <c r="Z1937" s="32"/>
      <c r="AA1937" s="32"/>
      <c r="AB1937" s="32"/>
    </row>
    <row r="1938" spans="1:28" ht="13" x14ac:dyDescent="0.15">
      <c r="A1938" s="32"/>
      <c r="B1938" s="32"/>
      <c r="C1938" s="32"/>
      <c r="D1938" s="32"/>
      <c r="E1938" s="32"/>
      <c r="F1938" s="32"/>
      <c r="G1938" s="32"/>
      <c r="H1938" s="32"/>
      <c r="I1938" s="32"/>
      <c r="J1938" s="32"/>
      <c r="K1938" s="32"/>
      <c r="L1938" s="32"/>
      <c r="M1938" s="23"/>
      <c r="N1938" s="32"/>
      <c r="O1938" s="32"/>
      <c r="P1938" s="32"/>
      <c r="Q1938" s="32"/>
      <c r="R1938" s="32"/>
      <c r="S1938" s="32"/>
      <c r="T1938" s="32"/>
      <c r="U1938" s="32"/>
      <c r="V1938" s="32"/>
      <c r="W1938" s="32"/>
      <c r="X1938" s="32"/>
      <c r="Y1938" s="32"/>
      <c r="Z1938" s="32"/>
      <c r="AA1938" s="32"/>
      <c r="AB1938" s="32"/>
    </row>
    <row r="1939" spans="1:28" ht="13" x14ac:dyDescent="0.15">
      <c r="A1939" s="32"/>
      <c r="B1939" s="32"/>
      <c r="C1939" s="32"/>
      <c r="D1939" s="32"/>
      <c r="E1939" s="32"/>
      <c r="F1939" s="32"/>
      <c r="G1939" s="32"/>
      <c r="H1939" s="32"/>
      <c r="I1939" s="32"/>
      <c r="J1939" s="32"/>
      <c r="K1939" s="32"/>
      <c r="L1939" s="32"/>
      <c r="M1939" s="23"/>
      <c r="N1939" s="32"/>
      <c r="O1939" s="32"/>
      <c r="P1939" s="32"/>
      <c r="Q1939" s="32"/>
      <c r="R1939" s="32"/>
      <c r="S1939" s="32"/>
      <c r="T1939" s="32"/>
      <c r="U1939" s="32"/>
      <c r="V1939" s="32"/>
      <c r="W1939" s="32"/>
      <c r="X1939" s="32"/>
      <c r="Y1939" s="32"/>
      <c r="Z1939" s="32"/>
      <c r="AA1939" s="32"/>
      <c r="AB1939" s="32"/>
    </row>
    <row r="1940" spans="1:28" ht="13" x14ac:dyDescent="0.15">
      <c r="A1940" s="32"/>
      <c r="B1940" s="32"/>
      <c r="C1940" s="32"/>
      <c r="D1940" s="32"/>
      <c r="E1940" s="32"/>
      <c r="F1940" s="32"/>
      <c r="G1940" s="32"/>
      <c r="H1940" s="32"/>
      <c r="I1940" s="32"/>
      <c r="J1940" s="32"/>
      <c r="K1940" s="32"/>
      <c r="L1940" s="32"/>
      <c r="M1940" s="23"/>
      <c r="N1940" s="32"/>
      <c r="O1940" s="32"/>
      <c r="P1940" s="32"/>
      <c r="Q1940" s="32"/>
      <c r="R1940" s="32"/>
      <c r="S1940" s="32"/>
      <c r="T1940" s="32"/>
      <c r="U1940" s="32"/>
      <c r="V1940" s="32"/>
      <c r="W1940" s="32"/>
      <c r="X1940" s="32"/>
      <c r="Y1940" s="32"/>
      <c r="Z1940" s="32"/>
      <c r="AA1940" s="32"/>
      <c r="AB1940" s="32"/>
    </row>
    <row r="1941" spans="1:28" ht="13" x14ac:dyDescent="0.15">
      <c r="A1941" s="32"/>
      <c r="B1941" s="32"/>
      <c r="C1941" s="32"/>
      <c r="D1941" s="32"/>
      <c r="E1941" s="32"/>
      <c r="F1941" s="32"/>
      <c r="G1941" s="32"/>
      <c r="H1941" s="32"/>
      <c r="I1941" s="32"/>
      <c r="J1941" s="32"/>
      <c r="K1941" s="32"/>
      <c r="L1941" s="32"/>
      <c r="M1941" s="23"/>
      <c r="N1941" s="32"/>
      <c r="O1941" s="32"/>
      <c r="P1941" s="32"/>
      <c r="Q1941" s="32"/>
      <c r="R1941" s="32"/>
      <c r="S1941" s="32"/>
      <c r="T1941" s="32"/>
      <c r="U1941" s="32"/>
      <c r="V1941" s="32"/>
      <c r="W1941" s="32"/>
      <c r="X1941" s="32"/>
      <c r="Y1941" s="32"/>
      <c r="Z1941" s="32"/>
      <c r="AA1941" s="32"/>
      <c r="AB1941" s="32"/>
    </row>
    <row r="1942" spans="1:28" ht="13" x14ac:dyDescent="0.15">
      <c r="A1942" s="32"/>
      <c r="B1942" s="32"/>
      <c r="C1942" s="32"/>
      <c r="D1942" s="32"/>
      <c r="E1942" s="32"/>
      <c r="F1942" s="32"/>
      <c r="G1942" s="32"/>
      <c r="H1942" s="32"/>
      <c r="I1942" s="32"/>
      <c r="J1942" s="32"/>
      <c r="K1942" s="32"/>
      <c r="L1942" s="32"/>
      <c r="M1942" s="23"/>
      <c r="N1942" s="32"/>
      <c r="O1942" s="32"/>
      <c r="P1942" s="32"/>
      <c r="Q1942" s="32"/>
      <c r="R1942" s="32"/>
      <c r="S1942" s="32"/>
      <c r="T1942" s="32"/>
      <c r="U1942" s="32"/>
      <c r="V1942" s="32"/>
      <c r="W1942" s="32"/>
      <c r="X1942" s="32"/>
      <c r="Y1942" s="32"/>
      <c r="Z1942" s="32"/>
      <c r="AA1942" s="32"/>
      <c r="AB1942" s="32"/>
    </row>
    <row r="1943" spans="1:28" ht="13" x14ac:dyDescent="0.15">
      <c r="A1943" s="32"/>
      <c r="B1943" s="32"/>
      <c r="C1943" s="32"/>
      <c r="D1943" s="32"/>
      <c r="E1943" s="32"/>
      <c r="F1943" s="32"/>
      <c r="G1943" s="32"/>
      <c r="H1943" s="32"/>
      <c r="I1943" s="32"/>
      <c r="J1943" s="32"/>
      <c r="K1943" s="32"/>
      <c r="L1943" s="32"/>
      <c r="M1943" s="23"/>
      <c r="N1943" s="32"/>
      <c r="O1943" s="32"/>
      <c r="P1943" s="32"/>
      <c r="Q1943" s="32"/>
      <c r="R1943" s="32"/>
      <c r="S1943" s="32"/>
      <c r="T1943" s="32"/>
      <c r="U1943" s="32"/>
      <c r="V1943" s="32"/>
      <c r="W1943" s="32"/>
      <c r="X1943" s="32"/>
      <c r="Y1943" s="32"/>
      <c r="Z1943" s="32"/>
      <c r="AA1943" s="32"/>
      <c r="AB1943" s="32"/>
    </row>
    <row r="1944" spans="1:28" ht="13" x14ac:dyDescent="0.15">
      <c r="A1944" s="32"/>
      <c r="B1944" s="32"/>
      <c r="C1944" s="32"/>
      <c r="D1944" s="32"/>
      <c r="E1944" s="32"/>
      <c r="F1944" s="32"/>
      <c r="G1944" s="32"/>
      <c r="H1944" s="32"/>
      <c r="I1944" s="32"/>
      <c r="J1944" s="32"/>
      <c r="K1944" s="32"/>
      <c r="L1944" s="32"/>
      <c r="M1944" s="23"/>
      <c r="N1944" s="32"/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  <c r="Y1944" s="32"/>
      <c r="Z1944" s="32"/>
      <c r="AA1944" s="32"/>
      <c r="AB1944" s="32"/>
    </row>
    <row r="1945" spans="1:28" ht="13" x14ac:dyDescent="0.15">
      <c r="A1945" s="32"/>
      <c r="B1945" s="32"/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23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  <c r="Y1945" s="32"/>
      <c r="Z1945" s="32"/>
      <c r="AA1945" s="32"/>
      <c r="AB1945" s="32"/>
    </row>
    <row r="1946" spans="1:28" ht="13" x14ac:dyDescent="0.15">
      <c r="A1946" s="32"/>
      <c r="B1946" s="32"/>
      <c r="C1946" s="32"/>
      <c r="D1946" s="32"/>
      <c r="E1946" s="32"/>
      <c r="F1946" s="32"/>
      <c r="G1946" s="32"/>
      <c r="H1946" s="32"/>
      <c r="I1946" s="32"/>
      <c r="J1946" s="32"/>
      <c r="K1946" s="32"/>
      <c r="L1946" s="32"/>
      <c r="M1946" s="23"/>
      <c r="N1946" s="32"/>
      <c r="O1946" s="32"/>
      <c r="P1946" s="32"/>
      <c r="Q1946" s="32"/>
      <c r="R1946" s="32"/>
      <c r="S1946" s="32"/>
      <c r="T1946" s="32"/>
      <c r="U1946" s="32"/>
      <c r="V1946" s="32"/>
      <c r="W1946" s="32"/>
      <c r="X1946" s="32"/>
      <c r="Y1946" s="32"/>
      <c r="Z1946" s="32"/>
      <c r="AA1946" s="32"/>
      <c r="AB1946" s="32"/>
    </row>
    <row r="1947" spans="1:28" ht="13" x14ac:dyDescent="0.15">
      <c r="A1947" s="32"/>
      <c r="B1947" s="32"/>
      <c r="C1947" s="32"/>
      <c r="D1947" s="32"/>
      <c r="E1947" s="32"/>
      <c r="F1947" s="32"/>
      <c r="G1947" s="32"/>
      <c r="H1947" s="32"/>
      <c r="I1947" s="32"/>
      <c r="J1947" s="32"/>
      <c r="K1947" s="32"/>
      <c r="L1947" s="32"/>
      <c r="M1947" s="23"/>
      <c r="N1947" s="32"/>
      <c r="O1947" s="32"/>
      <c r="P1947" s="32"/>
      <c r="Q1947" s="32"/>
      <c r="R1947" s="32"/>
      <c r="S1947" s="32"/>
      <c r="T1947" s="32"/>
      <c r="U1947" s="32"/>
      <c r="V1947" s="32"/>
      <c r="W1947" s="32"/>
      <c r="X1947" s="32"/>
      <c r="Y1947" s="32"/>
      <c r="Z1947" s="32"/>
      <c r="AA1947" s="32"/>
      <c r="AB1947" s="32"/>
    </row>
    <row r="1948" spans="1:28" ht="13" x14ac:dyDescent="0.15">
      <c r="A1948" s="32"/>
      <c r="B1948" s="32"/>
      <c r="C1948" s="32"/>
      <c r="D1948" s="32"/>
      <c r="E1948" s="32"/>
      <c r="F1948" s="32"/>
      <c r="G1948" s="32"/>
      <c r="H1948" s="32"/>
      <c r="I1948" s="32"/>
      <c r="J1948" s="32"/>
      <c r="K1948" s="32"/>
      <c r="L1948" s="32"/>
      <c r="M1948" s="23"/>
      <c r="N1948" s="32"/>
      <c r="O1948" s="32"/>
      <c r="P1948" s="32"/>
      <c r="Q1948" s="32"/>
      <c r="R1948" s="32"/>
      <c r="S1948" s="32"/>
      <c r="T1948" s="32"/>
      <c r="U1948" s="32"/>
      <c r="V1948" s="32"/>
      <c r="W1948" s="32"/>
      <c r="X1948" s="32"/>
      <c r="Y1948" s="32"/>
      <c r="Z1948" s="32"/>
      <c r="AA1948" s="32"/>
      <c r="AB1948" s="32"/>
    </row>
    <row r="1949" spans="1:28" ht="13" x14ac:dyDescent="0.15">
      <c r="A1949" s="32"/>
      <c r="B1949" s="32"/>
      <c r="C1949" s="32"/>
      <c r="D1949" s="32"/>
      <c r="E1949" s="32"/>
      <c r="F1949" s="32"/>
      <c r="G1949" s="32"/>
      <c r="H1949" s="32"/>
      <c r="I1949" s="32"/>
      <c r="J1949" s="32"/>
      <c r="K1949" s="32"/>
      <c r="L1949" s="32"/>
      <c r="M1949" s="23"/>
      <c r="N1949" s="32"/>
      <c r="O1949" s="32"/>
      <c r="P1949" s="32"/>
      <c r="Q1949" s="32"/>
      <c r="R1949" s="32"/>
      <c r="S1949" s="32"/>
      <c r="T1949" s="32"/>
      <c r="U1949" s="32"/>
      <c r="V1949" s="32"/>
      <c r="W1949" s="32"/>
      <c r="X1949" s="32"/>
      <c r="Y1949" s="32"/>
      <c r="Z1949" s="32"/>
      <c r="AA1949" s="32"/>
      <c r="AB1949" s="32"/>
    </row>
    <row r="1950" spans="1:28" ht="13" x14ac:dyDescent="0.15">
      <c r="A1950" s="32"/>
      <c r="B1950" s="32"/>
      <c r="C1950" s="32"/>
      <c r="D1950" s="32"/>
      <c r="E1950" s="32"/>
      <c r="F1950" s="32"/>
      <c r="G1950" s="32"/>
      <c r="H1950" s="32"/>
      <c r="I1950" s="32"/>
      <c r="J1950" s="32"/>
      <c r="K1950" s="32"/>
      <c r="L1950" s="32"/>
      <c r="M1950" s="23"/>
      <c r="N1950" s="32"/>
      <c r="O1950" s="32"/>
      <c r="P1950" s="32"/>
      <c r="Q1950" s="32"/>
      <c r="R1950" s="32"/>
      <c r="S1950" s="32"/>
      <c r="T1950" s="32"/>
      <c r="U1950" s="32"/>
      <c r="V1950" s="32"/>
      <c r="W1950" s="32"/>
      <c r="X1950" s="32"/>
      <c r="Y1950" s="32"/>
      <c r="Z1950" s="32"/>
      <c r="AA1950" s="32"/>
      <c r="AB1950" s="32"/>
    </row>
    <row r="1951" spans="1:28" ht="13" x14ac:dyDescent="0.15">
      <c r="A1951" s="32"/>
      <c r="B1951" s="32"/>
      <c r="C1951" s="32"/>
      <c r="D1951" s="32"/>
      <c r="E1951" s="32"/>
      <c r="F1951" s="32"/>
      <c r="G1951" s="32"/>
      <c r="H1951" s="32"/>
      <c r="I1951" s="32"/>
      <c r="J1951" s="32"/>
      <c r="K1951" s="32"/>
      <c r="L1951" s="32"/>
      <c r="M1951" s="23"/>
      <c r="N1951" s="32"/>
      <c r="O1951" s="32"/>
      <c r="P1951" s="32"/>
      <c r="Q1951" s="32"/>
      <c r="R1951" s="32"/>
      <c r="S1951" s="32"/>
      <c r="T1951" s="32"/>
      <c r="U1951" s="32"/>
      <c r="V1951" s="32"/>
      <c r="W1951" s="32"/>
      <c r="X1951" s="32"/>
      <c r="Y1951" s="32"/>
      <c r="Z1951" s="32"/>
      <c r="AA1951" s="32"/>
      <c r="AB1951" s="32"/>
    </row>
    <row r="1952" spans="1:28" ht="13" x14ac:dyDescent="0.15">
      <c r="A1952" s="32"/>
      <c r="B1952" s="32"/>
      <c r="C1952" s="32"/>
      <c r="D1952" s="32"/>
      <c r="E1952" s="32"/>
      <c r="F1952" s="32"/>
      <c r="G1952" s="32"/>
      <c r="H1952" s="32"/>
      <c r="I1952" s="32"/>
      <c r="J1952" s="32"/>
      <c r="K1952" s="32"/>
      <c r="L1952" s="32"/>
      <c r="M1952" s="23"/>
      <c r="N1952" s="32"/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32"/>
      <c r="AB1952" s="32"/>
    </row>
    <row r="1953" spans="1:28" ht="13" x14ac:dyDescent="0.15">
      <c r="A1953" s="32"/>
      <c r="B1953" s="32"/>
      <c r="C1953" s="32"/>
      <c r="D1953" s="32"/>
      <c r="E1953" s="32"/>
      <c r="F1953" s="32"/>
      <c r="G1953" s="32"/>
      <c r="H1953" s="32"/>
      <c r="I1953" s="32"/>
      <c r="J1953" s="32"/>
      <c r="K1953" s="32"/>
      <c r="L1953" s="32"/>
      <c r="M1953" s="23"/>
      <c r="N1953" s="32"/>
      <c r="O1953" s="32"/>
      <c r="P1953" s="32"/>
      <c r="Q1953" s="32"/>
      <c r="R1953" s="32"/>
      <c r="S1953" s="32"/>
      <c r="T1953" s="32"/>
      <c r="U1953" s="32"/>
      <c r="V1953" s="32"/>
      <c r="W1953" s="32"/>
      <c r="X1953" s="32"/>
      <c r="Y1953" s="32"/>
      <c r="Z1953" s="32"/>
      <c r="AA1953" s="32"/>
      <c r="AB1953" s="32"/>
    </row>
    <row r="1954" spans="1:28" ht="13" x14ac:dyDescent="0.15">
      <c r="A1954" s="32"/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  <c r="M1954" s="23"/>
      <c r="N1954" s="32"/>
      <c r="O1954" s="32"/>
      <c r="P1954" s="32"/>
      <c r="Q1954" s="32"/>
      <c r="R1954" s="32"/>
      <c r="S1954" s="32"/>
      <c r="T1954" s="32"/>
      <c r="U1954" s="32"/>
      <c r="V1954" s="32"/>
      <c r="W1954" s="32"/>
      <c r="X1954" s="32"/>
      <c r="Y1954" s="32"/>
      <c r="Z1954" s="32"/>
      <c r="AA1954" s="32"/>
      <c r="AB1954" s="32"/>
    </row>
    <row r="1955" spans="1:28" ht="13" x14ac:dyDescent="0.15">
      <c r="A1955" s="32"/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  <c r="M1955" s="23"/>
      <c r="N1955" s="32"/>
      <c r="O1955" s="32"/>
      <c r="P1955" s="32"/>
      <c r="Q1955" s="32"/>
      <c r="R1955" s="32"/>
      <c r="S1955" s="32"/>
      <c r="T1955" s="32"/>
      <c r="U1955" s="32"/>
      <c r="V1955" s="32"/>
      <c r="W1955" s="32"/>
      <c r="X1955" s="32"/>
      <c r="Y1955" s="32"/>
      <c r="Z1955" s="32"/>
      <c r="AA1955" s="32"/>
      <c r="AB1955" s="32"/>
    </row>
    <row r="1956" spans="1:28" ht="13" x14ac:dyDescent="0.15">
      <c r="A1956" s="32"/>
      <c r="B1956" s="32"/>
      <c r="C1956" s="32"/>
      <c r="D1956" s="32"/>
      <c r="E1956" s="32"/>
      <c r="F1956" s="32"/>
      <c r="G1956" s="32"/>
      <c r="H1956" s="32"/>
      <c r="I1956" s="32"/>
      <c r="J1956" s="32"/>
      <c r="K1956" s="32"/>
      <c r="L1956" s="32"/>
      <c r="M1956" s="23"/>
      <c r="N1956" s="32"/>
      <c r="O1956" s="32"/>
      <c r="P1956" s="32"/>
      <c r="Q1956" s="32"/>
      <c r="R1956" s="32"/>
      <c r="S1956" s="32"/>
      <c r="T1956" s="32"/>
      <c r="U1956" s="32"/>
      <c r="V1956" s="32"/>
      <c r="W1956" s="32"/>
      <c r="X1956" s="32"/>
      <c r="Y1956" s="32"/>
      <c r="Z1956" s="32"/>
      <c r="AA1956" s="32"/>
      <c r="AB1956" s="32"/>
    </row>
    <row r="1957" spans="1:28" ht="13" x14ac:dyDescent="0.15">
      <c r="A1957" s="32"/>
      <c r="B1957" s="32"/>
      <c r="C1957" s="32"/>
      <c r="D1957" s="32"/>
      <c r="E1957" s="32"/>
      <c r="F1957" s="32"/>
      <c r="G1957" s="32"/>
      <c r="H1957" s="32"/>
      <c r="I1957" s="32"/>
      <c r="J1957" s="32"/>
      <c r="K1957" s="32"/>
      <c r="L1957" s="32"/>
      <c r="M1957" s="23"/>
      <c r="N1957" s="32"/>
      <c r="O1957" s="32"/>
      <c r="P1957" s="32"/>
      <c r="Q1957" s="32"/>
      <c r="R1957" s="32"/>
      <c r="S1957" s="32"/>
      <c r="T1957" s="32"/>
      <c r="U1957" s="32"/>
      <c r="V1957" s="32"/>
      <c r="W1957" s="32"/>
      <c r="X1957" s="32"/>
      <c r="Y1957" s="32"/>
      <c r="Z1957" s="32"/>
      <c r="AA1957" s="32"/>
      <c r="AB1957" s="32"/>
    </row>
    <row r="1958" spans="1:28" ht="13" x14ac:dyDescent="0.15">
      <c r="A1958" s="32"/>
      <c r="B1958" s="32"/>
      <c r="C1958" s="32"/>
      <c r="D1958" s="32"/>
      <c r="E1958" s="32"/>
      <c r="F1958" s="32"/>
      <c r="G1958" s="32"/>
      <c r="H1958" s="32"/>
      <c r="I1958" s="32"/>
      <c r="J1958" s="32"/>
      <c r="K1958" s="32"/>
      <c r="L1958" s="32"/>
      <c r="M1958" s="23"/>
      <c r="N1958" s="32"/>
      <c r="O1958" s="32"/>
      <c r="P1958" s="32"/>
      <c r="Q1958" s="32"/>
      <c r="R1958" s="32"/>
      <c r="S1958" s="32"/>
      <c r="T1958" s="32"/>
      <c r="U1958" s="32"/>
      <c r="V1958" s="32"/>
      <c r="W1958" s="32"/>
      <c r="X1958" s="32"/>
      <c r="Y1958" s="32"/>
      <c r="Z1958" s="32"/>
      <c r="AA1958" s="32"/>
      <c r="AB1958" s="32"/>
    </row>
    <row r="1959" spans="1:28" ht="13" x14ac:dyDescent="0.15">
      <c r="A1959" s="32"/>
      <c r="B1959" s="32"/>
      <c r="C1959" s="32"/>
      <c r="D1959" s="32"/>
      <c r="E1959" s="32"/>
      <c r="F1959" s="32"/>
      <c r="G1959" s="32"/>
      <c r="H1959" s="32"/>
      <c r="I1959" s="32"/>
      <c r="J1959" s="32"/>
      <c r="K1959" s="32"/>
      <c r="L1959" s="32"/>
      <c r="M1959" s="23"/>
      <c r="N1959" s="32"/>
      <c r="O1959" s="32"/>
      <c r="P1959" s="32"/>
      <c r="Q1959" s="32"/>
      <c r="R1959" s="32"/>
      <c r="S1959" s="32"/>
      <c r="T1959" s="32"/>
      <c r="U1959" s="32"/>
      <c r="V1959" s="32"/>
      <c r="W1959" s="32"/>
      <c r="X1959" s="32"/>
      <c r="Y1959" s="32"/>
      <c r="Z1959" s="32"/>
      <c r="AA1959" s="32"/>
      <c r="AB1959" s="32"/>
    </row>
    <row r="1960" spans="1:28" ht="13" x14ac:dyDescent="0.15">
      <c r="A1960" s="32"/>
      <c r="B1960" s="32"/>
      <c r="C1960" s="32"/>
      <c r="D1960" s="32"/>
      <c r="E1960" s="32"/>
      <c r="F1960" s="32"/>
      <c r="G1960" s="32"/>
      <c r="H1960" s="32"/>
      <c r="I1960" s="32"/>
      <c r="J1960" s="32"/>
      <c r="K1960" s="32"/>
      <c r="L1960" s="32"/>
      <c r="M1960" s="23"/>
      <c r="N1960" s="32"/>
      <c r="O1960" s="32"/>
      <c r="P1960" s="32"/>
      <c r="Q1960" s="32"/>
      <c r="R1960" s="32"/>
      <c r="S1960" s="32"/>
      <c r="T1960" s="32"/>
      <c r="U1960" s="32"/>
      <c r="V1960" s="32"/>
      <c r="W1960" s="32"/>
      <c r="X1960" s="32"/>
      <c r="Y1960" s="32"/>
      <c r="Z1960" s="32"/>
      <c r="AA1960" s="32"/>
      <c r="AB1960" s="32"/>
    </row>
    <row r="1961" spans="1:28" ht="13" x14ac:dyDescent="0.15">
      <c r="A1961" s="32"/>
      <c r="B1961" s="32"/>
      <c r="C1961" s="32"/>
      <c r="D1961" s="32"/>
      <c r="E1961" s="32"/>
      <c r="F1961" s="32"/>
      <c r="G1961" s="32"/>
      <c r="H1961" s="32"/>
      <c r="I1961" s="32"/>
      <c r="J1961" s="32"/>
      <c r="K1961" s="32"/>
      <c r="L1961" s="32"/>
      <c r="M1961" s="23"/>
      <c r="N1961" s="32"/>
      <c r="O1961" s="32"/>
      <c r="P1961" s="32"/>
      <c r="Q1961" s="32"/>
      <c r="R1961" s="32"/>
      <c r="S1961" s="32"/>
      <c r="T1961" s="32"/>
      <c r="U1961" s="32"/>
      <c r="V1961" s="32"/>
      <c r="W1961" s="32"/>
      <c r="X1961" s="32"/>
      <c r="Y1961" s="32"/>
      <c r="Z1961" s="32"/>
      <c r="AA1961" s="32"/>
      <c r="AB1961" s="32"/>
    </row>
    <row r="1962" spans="1:28" ht="13" x14ac:dyDescent="0.15">
      <c r="A1962" s="32"/>
      <c r="B1962" s="32"/>
      <c r="C1962" s="32"/>
      <c r="D1962" s="32"/>
      <c r="E1962" s="32"/>
      <c r="F1962" s="32"/>
      <c r="G1962" s="32"/>
      <c r="H1962" s="32"/>
      <c r="I1962" s="32"/>
      <c r="J1962" s="32"/>
      <c r="K1962" s="32"/>
      <c r="L1962" s="32"/>
      <c r="M1962" s="23"/>
      <c r="N1962" s="32"/>
      <c r="O1962" s="32"/>
      <c r="P1962" s="32"/>
      <c r="Q1962" s="32"/>
      <c r="R1962" s="32"/>
      <c r="S1962" s="32"/>
      <c r="T1962" s="32"/>
      <c r="U1962" s="32"/>
      <c r="V1962" s="32"/>
      <c r="W1962" s="32"/>
      <c r="X1962" s="32"/>
      <c r="Y1962" s="32"/>
      <c r="Z1962" s="32"/>
      <c r="AA1962" s="32"/>
      <c r="AB1962" s="32"/>
    </row>
    <row r="1963" spans="1:28" ht="13" x14ac:dyDescent="0.15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23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  <c r="Z1963" s="32"/>
      <c r="AA1963" s="32"/>
      <c r="AB1963" s="32"/>
    </row>
    <row r="1964" spans="1:28" ht="13" x14ac:dyDescent="0.15">
      <c r="A1964" s="32"/>
      <c r="B1964" s="32"/>
      <c r="C1964" s="32"/>
      <c r="D1964" s="32"/>
      <c r="E1964" s="32"/>
      <c r="F1964" s="32"/>
      <c r="G1964" s="32"/>
      <c r="H1964" s="32"/>
      <c r="I1964" s="32"/>
      <c r="J1964" s="32"/>
      <c r="K1964" s="32"/>
      <c r="L1964" s="32"/>
      <c r="M1964" s="23"/>
      <c r="N1964" s="32"/>
      <c r="O1964" s="32"/>
      <c r="P1964" s="32"/>
      <c r="Q1964" s="32"/>
      <c r="R1964" s="32"/>
      <c r="S1964" s="32"/>
      <c r="T1964" s="32"/>
      <c r="U1964" s="32"/>
      <c r="V1964" s="32"/>
      <c r="W1964" s="32"/>
      <c r="X1964" s="32"/>
      <c r="Y1964" s="32"/>
      <c r="Z1964" s="32"/>
      <c r="AA1964" s="32"/>
      <c r="AB1964" s="32"/>
    </row>
    <row r="1965" spans="1:28" ht="13" x14ac:dyDescent="0.15">
      <c r="A1965" s="32"/>
      <c r="B1965" s="32"/>
      <c r="C1965" s="32"/>
      <c r="D1965" s="32"/>
      <c r="E1965" s="32"/>
      <c r="F1965" s="32"/>
      <c r="G1965" s="32"/>
      <c r="H1965" s="32"/>
      <c r="I1965" s="32"/>
      <c r="J1965" s="32"/>
      <c r="K1965" s="32"/>
      <c r="L1965" s="32"/>
      <c r="M1965" s="23"/>
      <c r="N1965" s="32"/>
      <c r="O1965" s="32"/>
      <c r="P1965" s="32"/>
      <c r="Q1965" s="32"/>
      <c r="R1965" s="32"/>
      <c r="S1965" s="32"/>
      <c r="T1965" s="32"/>
      <c r="U1965" s="32"/>
      <c r="V1965" s="32"/>
      <c r="W1965" s="32"/>
      <c r="X1965" s="32"/>
      <c r="Y1965" s="32"/>
      <c r="Z1965" s="32"/>
      <c r="AA1965" s="32"/>
      <c r="AB1965" s="32"/>
    </row>
    <row r="1966" spans="1:28" ht="13" x14ac:dyDescent="0.15">
      <c r="A1966" s="32"/>
      <c r="B1966" s="32"/>
      <c r="C1966" s="32"/>
      <c r="D1966" s="32"/>
      <c r="E1966" s="32"/>
      <c r="F1966" s="32"/>
      <c r="G1966" s="32"/>
      <c r="H1966" s="32"/>
      <c r="I1966" s="32"/>
      <c r="J1966" s="32"/>
      <c r="K1966" s="32"/>
      <c r="L1966" s="32"/>
      <c r="M1966" s="23"/>
      <c r="N1966" s="32"/>
      <c r="O1966" s="32"/>
      <c r="P1966" s="32"/>
      <c r="Q1966" s="32"/>
      <c r="R1966" s="32"/>
      <c r="S1966" s="32"/>
      <c r="T1966" s="32"/>
      <c r="U1966" s="32"/>
      <c r="V1966" s="32"/>
      <c r="W1966" s="32"/>
      <c r="X1966" s="32"/>
      <c r="Y1966" s="32"/>
      <c r="Z1966" s="32"/>
      <c r="AA1966" s="32"/>
      <c r="AB1966" s="32"/>
    </row>
    <row r="1967" spans="1:28" ht="13" x14ac:dyDescent="0.15">
      <c r="A1967" s="32"/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23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</row>
    <row r="1968" spans="1:28" ht="13" x14ac:dyDescent="0.15">
      <c r="A1968" s="32"/>
      <c r="B1968" s="32"/>
      <c r="C1968" s="32"/>
      <c r="D1968" s="32"/>
      <c r="E1968" s="32"/>
      <c r="F1968" s="32"/>
      <c r="G1968" s="32"/>
      <c r="H1968" s="32"/>
      <c r="I1968" s="32"/>
      <c r="J1968" s="32"/>
      <c r="K1968" s="32"/>
      <c r="L1968" s="32"/>
      <c r="M1968" s="23"/>
      <c r="N1968" s="32"/>
      <c r="O1968" s="32"/>
      <c r="P1968" s="32"/>
      <c r="Q1968" s="32"/>
      <c r="R1968" s="32"/>
      <c r="S1968" s="32"/>
      <c r="T1968" s="32"/>
      <c r="U1968" s="32"/>
      <c r="V1968" s="32"/>
      <c r="W1968" s="32"/>
      <c r="X1968" s="32"/>
      <c r="Y1968" s="32"/>
      <c r="Z1968" s="32"/>
      <c r="AA1968" s="32"/>
      <c r="AB1968" s="32"/>
    </row>
    <row r="1969" spans="1:28" ht="13" x14ac:dyDescent="0.15">
      <c r="A1969" s="32"/>
      <c r="B1969" s="32"/>
      <c r="C1969" s="32"/>
      <c r="D1969" s="32"/>
      <c r="E1969" s="32"/>
      <c r="F1969" s="32"/>
      <c r="G1969" s="32"/>
      <c r="H1969" s="32"/>
      <c r="I1969" s="32"/>
      <c r="J1969" s="32"/>
      <c r="K1969" s="32"/>
      <c r="L1969" s="32"/>
      <c r="M1969" s="23"/>
      <c r="N1969" s="32"/>
      <c r="O1969" s="32"/>
      <c r="P1969" s="32"/>
      <c r="Q1969" s="32"/>
      <c r="R1969" s="32"/>
      <c r="S1969" s="32"/>
      <c r="T1969" s="32"/>
      <c r="U1969" s="32"/>
      <c r="V1969" s="32"/>
      <c r="W1969" s="32"/>
      <c r="X1969" s="32"/>
      <c r="Y1969" s="32"/>
      <c r="Z1969" s="32"/>
      <c r="AA1969" s="32"/>
      <c r="AB1969" s="32"/>
    </row>
    <row r="1970" spans="1:28" ht="13" x14ac:dyDescent="0.15">
      <c r="A1970" s="32"/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  <c r="M1970" s="23"/>
      <c r="N1970" s="32"/>
      <c r="O1970" s="32"/>
      <c r="P1970" s="32"/>
      <c r="Q1970" s="32"/>
      <c r="R1970" s="32"/>
      <c r="S1970" s="32"/>
      <c r="T1970" s="32"/>
      <c r="U1970" s="32"/>
      <c r="V1970" s="32"/>
      <c r="W1970" s="32"/>
      <c r="X1970" s="32"/>
      <c r="Y1970" s="32"/>
      <c r="Z1970" s="32"/>
      <c r="AA1970" s="32"/>
      <c r="AB1970" s="32"/>
    </row>
    <row r="1971" spans="1:28" ht="13" x14ac:dyDescent="0.15">
      <c r="A1971" s="32"/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  <c r="M1971" s="23"/>
      <c r="N1971" s="32"/>
      <c r="O1971" s="32"/>
      <c r="P1971" s="32"/>
      <c r="Q1971" s="32"/>
      <c r="R1971" s="32"/>
      <c r="S1971" s="32"/>
      <c r="T1971" s="32"/>
      <c r="U1971" s="32"/>
      <c r="V1971" s="32"/>
      <c r="W1971" s="32"/>
      <c r="X1971" s="32"/>
      <c r="Y1971" s="32"/>
      <c r="Z1971" s="32"/>
      <c r="AA1971" s="32"/>
      <c r="AB1971" s="32"/>
    </row>
    <row r="1972" spans="1:28" ht="13" x14ac:dyDescent="0.15">
      <c r="A1972" s="32"/>
      <c r="B1972" s="32"/>
      <c r="C1972" s="32"/>
      <c r="D1972" s="32"/>
      <c r="E1972" s="32"/>
      <c r="F1972" s="32"/>
      <c r="G1972" s="32"/>
      <c r="H1972" s="32"/>
      <c r="I1972" s="32"/>
      <c r="J1972" s="32"/>
      <c r="K1972" s="32"/>
      <c r="L1972" s="32"/>
      <c r="M1972" s="23"/>
      <c r="N1972" s="32"/>
      <c r="O1972" s="32"/>
      <c r="P1972" s="32"/>
      <c r="Q1972" s="32"/>
      <c r="R1972" s="32"/>
      <c r="S1972" s="32"/>
      <c r="T1972" s="32"/>
      <c r="U1972" s="32"/>
      <c r="V1972" s="32"/>
      <c r="W1972" s="32"/>
      <c r="X1972" s="32"/>
      <c r="Y1972" s="32"/>
      <c r="Z1972" s="32"/>
      <c r="AA1972" s="32"/>
      <c r="AB1972" s="32"/>
    </row>
    <row r="1973" spans="1:28" ht="13" x14ac:dyDescent="0.15">
      <c r="A1973" s="32"/>
      <c r="B1973" s="32"/>
      <c r="C1973" s="32"/>
      <c r="D1973" s="32"/>
      <c r="E1973" s="32"/>
      <c r="F1973" s="32"/>
      <c r="G1973" s="32"/>
      <c r="H1973" s="32"/>
      <c r="I1973" s="32"/>
      <c r="J1973" s="32"/>
      <c r="K1973" s="32"/>
      <c r="L1973" s="32"/>
      <c r="M1973" s="23"/>
      <c r="N1973" s="32"/>
      <c r="O1973" s="32"/>
      <c r="P1973" s="32"/>
      <c r="Q1973" s="32"/>
      <c r="R1973" s="32"/>
      <c r="S1973" s="32"/>
      <c r="T1973" s="32"/>
      <c r="U1973" s="32"/>
      <c r="V1973" s="32"/>
      <c r="W1973" s="32"/>
      <c r="X1973" s="32"/>
      <c r="Y1973" s="32"/>
      <c r="Z1973" s="32"/>
      <c r="AA1973" s="32"/>
      <c r="AB1973" s="32"/>
    </row>
    <row r="1974" spans="1:28" ht="13" x14ac:dyDescent="0.15">
      <c r="A1974" s="32"/>
      <c r="B1974" s="32"/>
      <c r="C1974" s="32"/>
      <c r="D1974" s="32"/>
      <c r="E1974" s="32"/>
      <c r="F1974" s="32"/>
      <c r="G1974" s="32"/>
      <c r="H1974" s="32"/>
      <c r="I1974" s="32"/>
      <c r="J1974" s="32"/>
      <c r="K1974" s="32"/>
      <c r="L1974" s="32"/>
      <c r="M1974" s="23"/>
      <c r="N1974" s="32"/>
      <c r="O1974" s="32"/>
      <c r="P1974" s="32"/>
      <c r="Q1974" s="32"/>
      <c r="R1974" s="32"/>
      <c r="S1974" s="32"/>
      <c r="T1974" s="32"/>
      <c r="U1974" s="32"/>
      <c r="V1974" s="32"/>
      <c r="W1974" s="32"/>
      <c r="X1974" s="32"/>
      <c r="Y1974" s="32"/>
      <c r="Z1974" s="32"/>
      <c r="AA1974" s="32"/>
      <c r="AB1974" s="32"/>
    </row>
    <row r="1975" spans="1:28" ht="13" x14ac:dyDescent="0.15">
      <c r="A1975" s="32"/>
      <c r="B1975" s="32"/>
      <c r="C1975" s="32"/>
      <c r="D1975" s="32"/>
      <c r="E1975" s="32"/>
      <c r="F1975" s="32"/>
      <c r="G1975" s="32"/>
      <c r="H1975" s="32"/>
      <c r="I1975" s="32"/>
      <c r="J1975" s="32"/>
      <c r="K1975" s="32"/>
      <c r="L1975" s="32"/>
      <c r="M1975" s="23"/>
      <c r="N1975" s="32"/>
      <c r="O1975" s="32"/>
      <c r="P1975" s="32"/>
      <c r="Q1975" s="32"/>
      <c r="R1975" s="32"/>
      <c r="S1975" s="32"/>
      <c r="T1975" s="32"/>
      <c r="U1975" s="32"/>
      <c r="V1975" s="32"/>
      <c r="W1975" s="32"/>
      <c r="X1975" s="32"/>
      <c r="Y1975" s="32"/>
      <c r="Z1975" s="32"/>
      <c r="AA1975" s="32"/>
      <c r="AB1975" s="32"/>
    </row>
    <row r="1976" spans="1:28" ht="13" x14ac:dyDescent="0.15">
      <c r="A1976" s="32"/>
      <c r="B1976" s="32"/>
      <c r="C1976" s="32"/>
      <c r="D1976" s="32"/>
      <c r="E1976" s="32"/>
      <c r="F1976" s="32"/>
      <c r="G1976" s="32"/>
      <c r="H1976" s="32"/>
      <c r="I1976" s="32"/>
      <c r="J1976" s="32"/>
      <c r="K1976" s="32"/>
      <c r="L1976" s="32"/>
      <c r="M1976" s="23"/>
      <c r="N1976" s="32"/>
      <c r="O1976" s="32"/>
      <c r="P1976" s="32"/>
      <c r="Q1976" s="32"/>
      <c r="R1976" s="32"/>
      <c r="S1976" s="32"/>
      <c r="T1976" s="32"/>
      <c r="U1976" s="32"/>
      <c r="V1976" s="32"/>
      <c r="W1976" s="32"/>
      <c r="X1976" s="32"/>
      <c r="Y1976" s="32"/>
      <c r="Z1976" s="32"/>
      <c r="AA1976" s="32"/>
      <c r="AB1976" s="32"/>
    </row>
    <row r="1977" spans="1:28" ht="13" x14ac:dyDescent="0.15">
      <c r="A1977" s="32"/>
      <c r="B1977" s="32"/>
      <c r="C1977" s="32"/>
      <c r="D1977" s="32"/>
      <c r="E1977" s="32"/>
      <c r="F1977" s="32"/>
      <c r="G1977" s="32"/>
      <c r="H1977" s="32"/>
      <c r="I1977" s="32"/>
      <c r="J1977" s="32"/>
      <c r="K1977" s="32"/>
      <c r="L1977" s="32"/>
      <c r="M1977" s="23"/>
      <c r="N1977" s="32"/>
      <c r="O1977" s="32"/>
      <c r="P1977" s="32"/>
      <c r="Q1977" s="32"/>
      <c r="R1977" s="32"/>
      <c r="S1977" s="32"/>
      <c r="T1977" s="32"/>
      <c r="U1977" s="32"/>
      <c r="V1977" s="32"/>
      <c r="W1977" s="32"/>
      <c r="X1977" s="32"/>
      <c r="Y1977" s="32"/>
      <c r="Z1977" s="32"/>
      <c r="AA1977" s="32"/>
      <c r="AB1977" s="32"/>
    </row>
    <row r="1978" spans="1:28" ht="13" x14ac:dyDescent="0.15">
      <c r="A1978" s="32"/>
      <c r="B1978" s="32"/>
      <c r="C1978" s="32"/>
      <c r="D1978" s="32"/>
      <c r="E1978" s="32"/>
      <c r="F1978" s="32"/>
      <c r="G1978" s="32"/>
      <c r="H1978" s="32"/>
      <c r="I1978" s="32"/>
      <c r="J1978" s="32"/>
      <c r="K1978" s="32"/>
      <c r="L1978" s="32"/>
      <c r="M1978" s="23"/>
      <c r="N1978" s="32"/>
      <c r="O1978" s="32"/>
      <c r="P1978" s="32"/>
      <c r="Q1978" s="32"/>
      <c r="R1978" s="32"/>
      <c r="S1978" s="32"/>
      <c r="T1978" s="32"/>
      <c r="U1978" s="32"/>
      <c r="V1978" s="32"/>
      <c r="W1978" s="32"/>
      <c r="X1978" s="32"/>
      <c r="Y1978" s="32"/>
      <c r="Z1978" s="32"/>
      <c r="AA1978" s="32"/>
      <c r="AB1978" s="32"/>
    </row>
    <row r="1979" spans="1:28" ht="13" x14ac:dyDescent="0.15">
      <c r="A1979" s="32"/>
      <c r="B1979" s="32"/>
      <c r="C1979" s="32"/>
      <c r="D1979" s="32"/>
      <c r="E1979" s="32"/>
      <c r="F1979" s="32"/>
      <c r="G1979" s="32"/>
      <c r="H1979" s="32"/>
      <c r="I1979" s="32"/>
      <c r="J1979" s="32"/>
      <c r="K1979" s="32"/>
      <c r="L1979" s="32"/>
      <c r="M1979" s="23"/>
      <c r="N1979" s="32"/>
      <c r="O1979" s="32"/>
      <c r="P1979" s="32"/>
      <c r="Q1979" s="32"/>
      <c r="R1979" s="32"/>
      <c r="S1979" s="32"/>
      <c r="T1979" s="32"/>
      <c r="U1979" s="32"/>
      <c r="V1979" s="32"/>
      <c r="W1979" s="32"/>
      <c r="X1979" s="32"/>
      <c r="Y1979" s="32"/>
      <c r="Z1979" s="32"/>
      <c r="AA1979" s="32"/>
      <c r="AB1979" s="32"/>
    </row>
    <row r="1980" spans="1:28" ht="13" x14ac:dyDescent="0.15">
      <c r="A1980" s="32"/>
      <c r="B1980" s="32"/>
      <c r="C1980" s="32"/>
      <c r="D1980" s="32"/>
      <c r="E1980" s="32"/>
      <c r="F1980" s="32"/>
      <c r="G1980" s="32"/>
      <c r="H1980" s="32"/>
      <c r="I1980" s="32"/>
      <c r="J1980" s="32"/>
      <c r="K1980" s="32"/>
      <c r="L1980" s="32"/>
      <c r="M1980" s="23"/>
      <c r="N1980" s="32"/>
      <c r="O1980" s="32"/>
      <c r="P1980" s="32"/>
      <c r="Q1980" s="32"/>
      <c r="R1980" s="32"/>
      <c r="S1980" s="32"/>
      <c r="T1980" s="32"/>
      <c r="U1980" s="32"/>
      <c r="V1980" s="32"/>
      <c r="W1980" s="32"/>
      <c r="X1980" s="32"/>
      <c r="Y1980" s="32"/>
      <c r="Z1980" s="32"/>
      <c r="AA1980" s="32"/>
      <c r="AB1980" s="32"/>
    </row>
    <row r="1981" spans="1:28" ht="13" x14ac:dyDescent="0.15">
      <c r="A1981" s="32"/>
      <c r="B1981" s="32"/>
      <c r="C1981" s="32"/>
      <c r="D1981" s="32"/>
      <c r="E1981" s="32"/>
      <c r="F1981" s="32"/>
      <c r="G1981" s="32"/>
      <c r="H1981" s="32"/>
      <c r="I1981" s="32"/>
      <c r="J1981" s="32"/>
      <c r="K1981" s="32"/>
      <c r="L1981" s="32"/>
      <c r="M1981" s="23"/>
      <c r="N1981" s="32"/>
      <c r="O1981" s="32"/>
      <c r="P1981" s="32"/>
      <c r="Q1981" s="32"/>
      <c r="R1981" s="32"/>
      <c r="S1981" s="32"/>
      <c r="T1981" s="32"/>
      <c r="U1981" s="32"/>
      <c r="V1981" s="32"/>
      <c r="W1981" s="32"/>
      <c r="X1981" s="32"/>
      <c r="Y1981" s="32"/>
      <c r="Z1981" s="32"/>
      <c r="AA1981" s="32"/>
      <c r="AB1981" s="32"/>
    </row>
    <row r="1982" spans="1:28" ht="13" x14ac:dyDescent="0.15">
      <c r="A1982" s="32"/>
      <c r="B1982" s="32"/>
      <c r="C1982" s="32"/>
      <c r="D1982" s="32"/>
      <c r="E1982" s="32"/>
      <c r="F1982" s="32"/>
      <c r="G1982" s="32"/>
      <c r="H1982" s="32"/>
      <c r="I1982" s="32"/>
      <c r="J1982" s="32"/>
      <c r="K1982" s="32"/>
      <c r="L1982" s="32"/>
      <c r="M1982" s="23"/>
      <c r="N1982" s="32"/>
      <c r="O1982" s="32"/>
      <c r="P1982" s="32"/>
      <c r="Q1982" s="32"/>
      <c r="R1982" s="32"/>
      <c r="S1982" s="32"/>
      <c r="T1982" s="32"/>
      <c r="U1982" s="32"/>
      <c r="V1982" s="32"/>
      <c r="W1982" s="32"/>
      <c r="X1982" s="32"/>
      <c r="Y1982" s="32"/>
      <c r="Z1982" s="32"/>
      <c r="AA1982" s="32"/>
      <c r="AB1982" s="32"/>
    </row>
    <row r="1983" spans="1:28" ht="13" x14ac:dyDescent="0.15">
      <c r="A1983" s="32"/>
      <c r="B1983" s="32"/>
      <c r="C1983" s="32"/>
      <c r="D1983" s="32"/>
      <c r="E1983" s="32"/>
      <c r="F1983" s="32"/>
      <c r="G1983" s="32"/>
      <c r="H1983" s="32"/>
      <c r="I1983" s="32"/>
      <c r="J1983" s="32"/>
      <c r="K1983" s="32"/>
      <c r="L1983" s="32"/>
      <c r="M1983" s="23"/>
      <c r="N1983" s="32"/>
      <c r="O1983" s="32"/>
      <c r="P1983" s="32"/>
      <c r="Q1983" s="32"/>
      <c r="R1983" s="32"/>
      <c r="S1983" s="32"/>
      <c r="T1983" s="32"/>
      <c r="U1983" s="32"/>
      <c r="V1983" s="32"/>
      <c r="W1983" s="32"/>
      <c r="X1983" s="32"/>
      <c r="Y1983" s="32"/>
      <c r="Z1983" s="32"/>
      <c r="AA1983" s="32"/>
      <c r="AB1983" s="32"/>
    </row>
    <row r="1984" spans="1:28" ht="13" x14ac:dyDescent="0.15">
      <c r="A1984" s="32"/>
      <c r="B1984" s="32"/>
      <c r="C1984" s="32"/>
      <c r="D1984" s="32"/>
      <c r="E1984" s="32"/>
      <c r="F1984" s="32"/>
      <c r="G1984" s="32"/>
      <c r="H1984" s="32"/>
      <c r="I1984" s="32"/>
      <c r="J1984" s="32"/>
      <c r="K1984" s="32"/>
      <c r="L1984" s="32"/>
      <c r="M1984" s="23"/>
      <c r="N1984" s="32"/>
      <c r="O1984" s="32"/>
      <c r="P1984" s="32"/>
      <c r="Q1984" s="32"/>
      <c r="R1984" s="32"/>
      <c r="S1984" s="32"/>
      <c r="T1984" s="32"/>
      <c r="U1984" s="32"/>
      <c r="V1984" s="32"/>
      <c r="W1984" s="32"/>
      <c r="X1984" s="32"/>
      <c r="Y1984" s="32"/>
      <c r="Z1984" s="32"/>
      <c r="AA1984" s="32"/>
      <c r="AB1984" s="32"/>
    </row>
    <row r="1985" spans="1:28" ht="13" x14ac:dyDescent="0.15">
      <c r="A1985" s="32"/>
      <c r="B1985" s="32"/>
      <c r="C1985" s="32"/>
      <c r="D1985" s="32"/>
      <c r="E1985" s="32"/>
      <c r="F1985" s="32"/>
      <c r="G1985" s="32"/>
      <c r="H1985" s="32"/>
      <c r="I1985" s="32"/>
      <c r="J1985" s="32"/>
      <c r="K1985" s="32"/>
      <c r="L1985" s="32"/>
      <c r="M1985" s="23"/>
      <c r="N1985" s="32"/>
      <c r="O1985" s="32"/>
      <c r="P1985" s="32"/>
      <c r="Q1985" s="32"/>
      <c r="R1985" s="32"/>
      <c r="S1985" s="32"/>
      <c r="T1985" s="32"/>
      <c r="U1985" s="32"/>
      <c r="V1985" s="32"/>
      <c r="W1985" s="32"/>
      <c r="X1985" s="32"/>
      <c r="Y1985" s="32"/>
      <c r="Z1985" s="32"/>
      <c r="AA1985" s="32"/>
      <c r="AB1985" s="32"/>
    </row>
    <row r="1986" spans="1:28" ht="13" x14ac:dyDescent="0.15">
      <c r="A1986" s="32"/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  <c r="M1986" s="23"/>
      <c r="N1986" s="32"/>
      <c r="O1986" s="32"/>
      <c r="P1986" s="32"/>
      <c r="Q1986" s="32"/>
      <c r="R1986" s="32"/>
      <c r="S1986" s="32"/>
      <c r="T1986" s="32"/>
      <c r="U1986" s="32"/>
      <c r="V1986" s="32"/>
      <c r="W1986" s="32"/>
      <c r="X1986" s="32"/>
      <c r="Y1986" s="32"/>
      <c r="Z1986" s="32"/>
      <c r="AA1986" s="32"/>
      <c r="AB1986" s="32"/>
    </row>
    <row r="1987" spans="1:28" ht="13" x14ac:dyDescent="0.15">
      <c r="A1987" s="32"/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  <c r="M1987" s="23"/>
      <c r="N1987" s="32"/>
      <c r="O1987" s="32"/>
      <c r="P1987" s="32"/>
      <c r="Q1987" s="32"/>
      <c r="R1987" s="32"/>
      <c r="S1987" s="32"/>
      <c r="T1987" s="32"/>
      <c r="U1987" s="32"/>
      <c r="V1987" s="32"/>
      <c r="W1987" s="32"/>
      <c r="X1987" s="32"/>
      <c r="Y1987" s="32"/>
      <c r="Z1987" s="32"/>
      <c r="AA1987" s="32"/>
      <c r="AB1987" s="32"/>
    </row>
    <row r="1988" spans="1:28" ht="13" x14ac:dyDescent="0.15">
      <c r="A1988" s="32"/>
      <c r="B1988" s="32"/>
      <c r="C1988" s="32"/>
      <c r="D1988" s="32"/>
      <c r="E1988" s="32"/>
      <c r="F1988" s="32"/>
      <c r="G1988" s="32"/>
      <c r="H1988" s="32"/>
      <c r="I1988" s="32"/>
      <c r="J1988" s="32"/>
      <c r="K1988" s="32"/>
      <c r="L1988" s="32"/>
      <c r="M1988" s="23"/>
      <c r="N1988" s="32"/>
      <c r="O1988" s="32"/>
      <c r="P1988" s="32"/>
      <c r="Q1988" s="32"/>
      <c r="R1988" s="32"/>
      <c r="S1988" s="32"/>
      <c r="T1988" s="32"/>
      <c r="U1988" s="32"/>
      <c r="V1988" s="32"/>
      <c r="W1988" s="32"/>
      <c r="X1988" s="32"/>
      <c r="Y1988" s="32"/>
      <c r="Z1988" s="32"/>
      <c r="AA1988" s="32"/>
      <c r="AB1988" s="32"/>
    </row>
    <row r="1989" spans="1:28" ht="13" x14ac:dyDescent="0.15">
      <c r="A1989" s="32"/>
      <c r="B1989" s="32"/>
      <c r="C1989" s="32"/>
      <c r="D1989" s="32"/>
      <c r="E1989" s="32"/>
      <c r="F1989" s="32"/>
      <c r="G1989" s="32"/>
      <c r="H1989" s="32"/>
      <c r="I1989" s="32"/>
      <c r="J1989" s="32"/>
      <c r="K1989" s="32"/>
      <c r="L1989" s="32"/>
      <c r="M1989" s="23"/>
      <c r="N1989" s="32"/>
      <c r="O1989" s="32"/>
      <c r="P1989" s="32"/>
      <c r="Q1989" s="32"/>
      <c r="R1989" s="32"/>
      <c r="S1989" s="32"/>
      <c r="T1989" s="32"/>
      <c r="U1989" s="32"/>
      <c r="V1989" s="32"/>
      <c r="W1989" s="32"/>
      <c r="X1989" s="32"/>
      <c r="Y1989" s="32"/>
      <c r="Z1989" s="32"/>
      <c r="AA1989" s="32"/>
      <c r="AB1989" s="32"/>
    </row>
    <row r="1990" spans="1:28" ht="13" x14ac:dyDescent="0.15">
      <c r="A1990" s="32"/>
      <c r="B1990" s="32"/>
      <c r="C1990" s="32"/>
      <c r="D1990" s="32"/>
      <c r="E1990" s="32"/>
      <c r="F1990" s="32"/>
      <c r="G1990" s="32"/>
      <c r="H1990" s="32"/>
      <c r="I1990" s="32"/>
      <c r="J1990" s="32"/>
      <c r="K1990" s="32"/>
      <c r="L1990" s="32"/>
      <c r="M1990" s="23"/>
      <c r="N1990" s="32"/>
      <c r="O1990" s="32"/>
      <c r="P1990" s="32"/>
      <c r="Q1990" s="32"/>
      <c r="R1990" s="32"/>
      <c r="S1990" s="32"/>
      <c r="T1990" s="32"/>
      <c r="U1990" s="32"/>
      <c r="V1990" s="32"/>
      <c r="W1990" s="32"/>
      <c r="X1990" s="32"/>
      <c r="Y1990" s="32"/>
      <c r="Z1990" s="32"/>
      <c r="AA1990" s="32"/>
      <c r="AB1990" s="32"/>
    </row>
    <row r="1991" spans="1:28" ht="13" x14ac:dyDescent="0.15">
      <c r="A1991" s="32"/>
      <c r="B1991" s="32"/>
      <c r="C1991" s="32"/>
      <c r="D1991" s="32"/>
      <c r="E1991" s="32"/>
      <c r="F1991" s="32"/>
      <c r="G1991" s="32"/>
      <c r="H1991" s="32"/>
      <c r="I1991" s="32"/>
      <c r="J1991" s="32"/>
      <c r="K1991" s="32"/>
      <c r="L1991" s="32"/>
      <c r="M1991" s="23"/>
      <c r="N1991" s="32"/>
      <c r="O1991" s="32"/>
      <c r="P1991" s="32"/>
      <c r="Q1991" s="32"/>
      <c r="R1991" s="32"/>
      <c r="S1991" s="32"/>
      <c r="T1991" s="32"/>
      <c r="U1991" s="32"/>
      <c r="V1991" s="32"/>
      <c r="W1991" s="32"/>
      <c r="X1991" s="32"/>
      <c r="Y1991" s="32"/>
      <c r="Z1991" s="32"/>
      <c r="AA1991" s="32"/>
      <c r="AB1991" s="32"/>
    </row>
    <row r="1992" spans="1:28" ht="13" x14ac:dyDescent="0.15">
      <c r="A1992" s="32"/>
      <c r="B1992" s="32"/>
      <c r="C1992" s="32"/>
      <c r="D1992" s="32"/>
      <c r="E1992" s="32"/>
      <c r="F1992" s="32"/>
      <c r="G1992" s="32"/>
      <c r="H1992" s="32"/>
      <c r="I1992" s="32"/>
      <c r="J1992" s="32"/>
      <c r="K1992" s="32"/>
      <c r="L1992" s="32"/>
      <c r="M1992" s="23"/>
      <c r="N1992" s="32"/>
      <c r="O1992" s="32"/>
      <c r="P1992" s="32"/>
      <c r="Q1992" s="32"/>
      <c r="R1992" s="32"/>
      <c r="S1992" s="32"/>
      <c r="T1992" s="32"/>
      <c r="U1992" s="32"/>
      <c r="V1992" s="32"/>
      <c r="W1992" s="32"/>
      <c r="X1992" s="32"/>
      <c r="Y1992" s="32"/>
      <c r="Z1992" s="32"/>
      <c r="AA1992" s="32"/>
      <c r="AB1992" s="32"/>
    </row>
    <row r="1993" spans="1:28" ht="13" x14ac:dyDescent="0.15">
      <c r="A1993" s="32"/>
      <c r="B1993" s="32"/>
      <c r="C1993" s="32"/>
      <c r="D1993" s="32"/>
      <c r="E1993" s="32"/>
      <c r="F1993" s="32"/>
      <c r="G1993" s="32"/>
      <c r="H1993" s="32"/>
      <c r="I1993" s="32"/>
      <c r="J1993" s="32"/>
      <c r="K1993" s="32"/>
      <c r="L1993" s="32"/>
      <c r="M1993" s="23"/>
      <c r="N1993" s="32"/>
      <c r="O1993" s="32"/>
      <c r="P1993" s="32"/>
      <c r="Q1993" s="32"/>
      <c r="R1993" s="32"/>
      <c r="S1993" s="32"/>
      <c r="T1993" s="32"/>
      <c r="U1993" s="32"/>
      <c r="V1993" s="32"/>
      <c r="W1993" s="32"/>
      <c r="X1993" s="32"/>
      <c r="Y1993" s="32"/>
      <c r="Z1993" s="32"/>
      <c r="AA1993" s="32"/>
      <c r="AB1993" s="32"/>
    </row>
    <row r="1994" spans="1:28" ht="13" x14ac:dyDescent="0.15">
      <c r="A1994" s="32"/>
      <c r="B1994" s="32"/>
      <c r="C1994" s="32"/>
      <c r="D1994" s="32"/>
      <c r="E1994" s="32"/>
      <c r="F1994" s="32"/>
      <c r="G1994" s="32"/>
      <c r="H1994" s="32"/>
      <c r="I1994" s="32"/>
      <c r="J1994" s="32"/>
      <c r="K1994" s="32"/>
      <c r="L1994" s="32"/>
      <c r="M1994" s="23"/>
      <c r="N1994" s="32"/>
      <c r="O1994" s="32"/>
      <c r="P1994" s="32"/>
      <c r="Q1994" s="32"/>
      <c r="R1994" s="32"/>
      <c r="S1994" s="32"/>
      <c r="T1994" s="32"/>
      <c r="U1994" s="32"/>
      <c r="V1994" s="32"/>
      <c r="W1994" s="32"/>
      <c r="X1994" s="32"/>
      <c r="Y1994" s="32"/>
      <c r="Z1994" s="32"/>
      <c r="AA1994" s="32"/>
      <c r="AB1994" s="32"/>
    </row>
    <row r="1995" spans="1:28" ht="13" x14ac:dyDescent="0.15">
      <c r="A1995" s="32"/>
      <c r="B1995" s="32"/>
      <c r="C1995" s="32"/>
      <c r="D1995" s="32"/>
      <c r="E1995" s="32"/>
      <c r="F1995" s="32"/>
      <c r="G1995" s="32"/>
      <c r="H1995" s="32"/>
      <c r="I1995" s="32"/>
      <c r="J1995" s="32"/>
      <c r="K1995" s="32"/>
      <c r="L1995" s="32"/>
      <c r="M1995" s="23"/>
      <c r="N1995" s="32"/>
      <c r="O1995" s="32"/>
      <c r="P1995" s="32"/>
      <c r="Q1995" s="32"/>
      <c r="R1995" s="32"/>
      <c r="S1995" s="32"/>
      <c r="T1995" s="32"/>
      <c r="U1995" s="32"/>
      <c r="V1995" s="32"/>
      <c r="W1995" s="32"/>
      <c r="X1995" s="32"/>
      <c r="Y1995" s="32"/>
      <c r="Z1995" s="32"/>
      <c r="AA1995" s="32"/>
      <c r="AB1995" s="32"/>
    </row>
    <row r="1996" spans="1:28" ht="13" x14ac:dyDescent="0.15">
      <c r="A1996" s="32"/>
      <c r="B1996" s="32"/>
      <c r="C1996" s="32"/>
      <c r="D1996" s="32"/>
      <c r="E1996" s="32"/>
      <c r="F1996" s="32"/>
      <c r="G1996" s="32"/>
      <c r="H1996" s="32"/>
      <c r="I1996" s="32"/>
      <c r="J1996" s="32"/>
      <c r="K1996" s="32"/>
      <c r="L1996" s="32"/>
      <c r="M1996" s="23"/>
      <c r="N1996" s="32"/>
      <c r="O1996" s="32"/>
      <c r="P1996" s="32"/>
      <c r="Q1996" s="32"/>
      <c r="R1996" s="32"/>
      <c r="S1996" s="32"/>
      <c r="T1996" s="32"/>
      <c r="U1996" s="32"/>
      <c r="V1996" s="32"/>
      <c r="W1996" s="32"/>
      <c r="X1996" s="32"/>
      <c r="Y1996" s="32"/>
      <c r="Z1996" s="32"/>
      <c r="AA1996" s="32"/>
      <c r="AB1996" s="32"/>
    </row>
    <row r="1997" spans="1:28" ht="13" x14ac:dyDescent="0.15">
      <c r="A1997" s="32"/>
      <c r="B1997" s="32"/>
      <c r="C1997" s="32"/>
      <c r="D1997" s="32"/>
      <c r="E1997" s="32"/>
      <c r="F1997" s="32"/>
      <c r="G1997" s="32"/>
      <c r="H1997" s="32"/>
      <c r="I1997" s="32"/>
      <c r="J1997" s="32"/>
      <c r="K1997" s="32"/>
      <c r="L1997" s="32"/>
      <c r="M1997" s="23"/>
      <c r="N1997" s="32"/>
      <c r="O1997" s="32"/>
      <c r="P1997" s="32"/>
      <c r="Q1997" s="32"/>
      <c r="R1997" s="32"/>
      <c r="S1997" s="32"/>
      <c r="T1997" s="32"/>
      <c r="U1997" s="32"/>
      <c r="V1997" s="32"/>
      <c r="W1997" s="32"/>
      <c r="X1997" s="32"/>
      <c r="Y1997" s="32"/>
      <c r="Z1997" s="32"/>
      <c r="AA1997" s="32"/>
      <c r="AB1997" s="32"/>
    </row>
    <row r="1998" spans="1:28" ht="13" x14ac:dyDescent="0.15">
      <c r="A1998" s="32"/>
      <c r="B1998" s="32"/>
      <c r="C1998" s="32"/>
      <c r="D1998" s="32"/>
      <c r="E1998" s="32"/>
      <c r="F1998" s="32"/>
      <c r="G1998" s="32"/>
      <c r="H1998" s="32"/>
      <c r="I1998" s="32"/>
      <c r="J1998" s="32"/>
      <c r="K1998" s="32"/>
      <c r="L1998" s="32"/>
      <c r="M1998" s="23"/>
      <c r="N1998" s="32"/>
      <c r="O1998" s="32"/>
      <c r="P1998" s="32"/>
      <c r="Q1998" s="32"/>
      <c r="R1998" s="32"/>
      <c r="S1998" s="32"/>
      <c r="T1998" s="32"/>
      <c r="U1998" s="32"/>
      <c r="V1998" s="32"/>
      <c r="W1998" s="32"/>
      <c r="X1998" s="32"/>
      <c r="Y1998" s="32"/>
      <c r="Z1998" s="32"/>
      <c r="AA1998" s="32"/>
      <c r="AB1998" s="32"/>
    </row>
    <row r="1999" spans="1:28" ht="13" x14ac:dyDescent="0.15">
      <c r="A1999" s="32"/>
      <c r="B1999" s="32"/>
      <c r="C1999" s="32"/>
      <c r="D1999" s="32"/>
      <c r="E1999" s="32"/>
      <c r="F1999" s="32"/>
      <c r="G1999" s="32"/>
      <c r="H1999" s="32"/>
      <c r="I1999" s="32"/>
      <c r="J1999" s="32"/>
      <c r="K1999" s="32"/>
      <c r="L1999" s="32"/>
      <c r="M1999" s="23"/>
      <c r="N1999" s="32"/>
      <c r="O1999" s="32"/>
      <c r="P1999" s="32"/>
      <c r="Q1999" s="32"/>
      <c r="R1999" s="32"/>
      <c r="S1999" s="32"/>
      <c r="T1999" s="32"/>
      <c r="U1999" s="32"/>
      <c r="V1999" s="32"/>
      <c r="W1999" s="32"/>
      <c r="X1999" s="32"/>
      <c r="Y1999" s="32"/>
      <c r="Z1999" s="32"/>
      <c r="AA1999" s="32"/>
      <c r="AB1999" s="32"/>
    </row>
    <row r="2000" spans="1:28" ht="13" x14ac:dyDescent="0.15">
      <c r="A2000" s="32"/>
      <c r="B2000" s="32"/>
      <c r="C2000" s="32"/>
      <c r="D2000" s="32"/>
      <c r="E2000" s="32"/>
      <c r="F2000" s="32"/>
      <c r="G2000" s="32"/>
      <c r="H2000" s="32"/>
      <c r="I2000" s="32"/>
      <c r="J2000" s="32"/>
      <c r="K2000" s="32"/>
      <c r="L2000" s="32"/>
      <c r="M2000" s="23"/>
      <c r="N2000" s="32"/>
      <c r="O2000" s="32"/>
      <c r="P2000" s="32"/>
      <c r="Q2000" s="32"/>
      <c r="R2000" s="32"/>
      <c r="S2000" s="32"/>
      <c r="T2000" s="32"/>
      <c r="U2000" s="32"/>
      <c r="V2000" s="32"/>
      <c r="W2000" s="32"/>
      <c r="X2000" s="32"/>
      <c r="Y2000" s="32"/>
      <c r="Z2000" s="32"/>
      <c r="AA2000" s="32"/>
      <c r="AB2000" s="32"/>
    </row>
  </sheetData>
  <dataValidations count="2">
    <dataValidation type="list" allowBlank="1" sqref="L2:L903" xr:uid="{00000000-0002-0000-0400-000000000000}">
      <formula1>"Si,No"</formula1>
    </dataValidation>
    <dataValidation type="list" allowBlank="1" sqref="I2:I903" xr:uid="{00000000-0002-0000-0400-000001000000}">
      <formula1>"Saliendo Bodega,En Evento"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773"/>
  <sheetViews>
    <sheetView showGridLines="0" workbookViewId="0">
      <pane ySplit="2" topLeftCell="A38" activePane="bottomLeft" state="frozen"/>
      <selection pane="bottomLeft" activeCell="A75" sqref="A75"/>
    </sheetView>
  </sheetViews>
  <sheetFormatPr baseColWidth="10" defaultColWidth="12.6640625" defaultRowHeight="15.75" customHeight="1" x14ac:dyDescent="0.15"/>
  <cols>
    <col min="1" max="1" width="38.1640625" customWidth="1"/>
    <col min="2" max="2" width="16.5" customWidth="1"/>
    <col min="3" max="3" width="18.6640625" customWidth="1"/>
    <col min="4" max="4" width="17.1640625" customWidth="1"/>
    <col min="8" max="8" width="12.6640625" hidden="1"/>
  </cols>
  <sheetData>
    <row r="1" spans="1:7" ht="15.75" customHeight="1" x14ac:dyDescent="0.15">
      <c r="A1" s="50" t="s">
        <v>434</v>
      </c>
      <c r="B1" s="51"/>
      <c r="C1" s="51"/>
      <c r="D1" s="51"/>
      <c r="E1" s="51"/>
      <c r="F1" s="51"/>
      <c r="G1" s="51"/>
    </row>
    <row r="2" spans="1:7" ht="15.75" customHeight="1" x14ac:dyDescent="0.15">
      <c r="A2" s="69" t="s">
        <v>5</v>
      </c>
      <c r="B2" s="69" t="s">
        <v>6</v>
      </c>
      <c r="C2" s="69" t="s">
        <v>137</v>
      </c>
      <c r="D2" s="69" t="s">
        <v>7</v>
      </c>
      <c r="E2" s="69" t="s">
        <v>8</v>
      </c>
      <c r="F2" s="69" t="s">
        <v>421</v>
      </c>
      <c r="G2" s="70" t="s">
        <v>422</v>
      </c>
    </row>
    <row r="3" spans="1:7" ht="15.75" customHeight="1" x14ac:dyDescent="0.15">
      <c r="A3" s="71" t="s">
        <v>10</v>
      </c>
      <c r="B3" s="72"/>
      <c r="C3" s="72"/>
      <c r="D3" s="72"/>
      <c r="E3" s="72"/>
      <c r="F3" s="72"/>
      <c r="G3" s="73"/>
    </row>
    <row r="4" spans="1:7" ht="15.75" customHeight="1" x14ac:dyDescent="0.15">
      <c r="A4" s="71" t="s">
        <v>13</v>
      </c>
      <c r="B4" s="72"/>
      <c r="C4" s="72"/>
      <c r="D4" s="72"/>
      <c r="E4" s="72"/>
      <c r="F4" s="72"/>
      <c r="G4" s="73"/>
    </row>
    <row r="5" spans="1:7" ht="15.75" customHeight="1" x14ac:dyDescent="0.15">
      <c r="A5" s="71" t="s">
        <v>22</v>
      </c>
      <c r="B5" s="72"/>
      <c r="C5" s="72"/>
      <c r="D5" s="72"/>
      <c r="E5" s="72"/>
      <c r="F5" s="72"/>
      <c r="G5" s="73"/>
    </row>
    <row r="6" spans="1:7" ht="15.75" customHeight="1" x14ac:dyDescent="0.15">
      <c r="A6" s="71" t="s">
        <v>19</v>
      </c>
      <c r="B6" s="72"/>
      <c r="C6" s="72"/>
      <c r="D6" s="72"/>
      <c r="E6" s="72"/>
      <c r="F6" s="72"/>
      <c r="G6" s="73"/>
    </row>
    <row r="7" spans="1:7" ht="15.75" customHeight="1" x14ac:dyDescent="0.15">
      <c r="A7" s="71" t="s">
        <v>24</v>
      </c>
      <c r="B7" s="72"/>
      <c r="C7" s="72"/>
      <c r="D7" s="72"/>
      <c r="E7" s="72"/>
      <c r="F7" s="72"/>
      <c r="G7" s="73"/>
    </row>
    <row r="8" spans="1:7" ht="15.75" customHeight="1" x14ac:dyDescent="0.15">
      <c r="A8" s="71" t="s">
        <v>16</v>
      </c>
      <c r="B8" s="72"/>
      <c r="C8" s="72"/>
      <c r="D8" s="72"/>
      <c r="E8" s="72"/>
      <c r="F8" s="72"/>
      <c r="G8" s="73"/>
    </row>
    <row r="9" spans="1:7" ht="15.75" customHeight="1" x14ac:dyDescent="0.15">
      <c r="A9" s="71" t="s">
        <v>26</v>
      </c>
      <c r="B9" s="72"/>
      <c r="C9" s="72"/>
      <c r="D9" s="72"/>
      <c r="E9" s="72"/>
      <c r="F9" s="72"/>
      <c r="G9" s="73"/>
    </row>
    <row r="10" spans="1:7" ht="15.75" customHeight="1" x14ac:dyDescent="0.15">
      <c r="A10" s="71" t="s">
        <v>468</v>
      </c>
      <c r="B10" s="71" t="s">
        <v>467</v>
      </c>
      <c r="C10" s="71" t="s">
        <v>493</v>
      </c>
      <c r="D10" s="71" t="s">
        <v>467</v>
      </c>
      <c r="E10" s="71">
        <v>0</v>
      </c>
      <c r="F10" s="71" t="s">
        <v>494</v>
      </c>
      <c r="G10" s="143" t="s">
        <v>494</v>
      </c>
    </row>
    <row r="11" spans="1:7" ht="15.75" customHeight="1" x14ac:dyDescent="0.15">
      <c r="A11" s="144"/>
      <c r="B11" s="144"/>
      <c r="C11" s="71" t="s">
        <v>495</v>
      </c>
      <c r="D11" s="71" t="s">
        <v>467</v>
      </c>
      <c r="E11" s="71">
        <v>0</v>
      </c>
      <c r="F11" s="71" t="s">
        <v>494</v>
      </c>
      <c r="G11" s="143" t="s">
        <v>494</v>
      </c>
    </row>
    <row r="12" spans="1:7" ht="15.75" customHeight="1" x14ac:dyDescent="0.15">
      <c r="A12" s="144"/>
      <c r="B12" s="144"/>
      <c r="C12" s="71" t="s">
        <v>496</v>
      </c>
      <c r="D12" s="71" t="s">
        <v>467</v>
      </c>
      <c r="E12" s="71">
        <v>0</v>
      </c>
      <c r="F12" s="71" t="s">
        <v>494</v>
      </c>
      <c r="G12" s="143" t="s">
        <v>494</v>
      </c>
    </row>
    <row r="13" spans="1:7" ht="15.75" customHeight="1" x14ac:dyDescent="0.15">
      <c r="A13" s="144"/>
      <c r="B13" s="144"/>
      <c r="C13" s="71" t="s">
        <v>497</v>
      </c>
      <c r="D13" s="71" t="s">
        <v>467</v>
      </c>
      <c r="E13" s="71">
        <v>0</v>
      </c>
      <c r="F13" s="71" t="s">
        <v>494</v>
      </c>
      <c r="G13" s="143" t="s">
        <v>494</v>
      </c>
    </row>
    <row r="14" spans="1:7" ht="15.75" customHeight="1" x14ac:dyDescent="0.15">
      <c r="A14" s="144"/>
      <c r="B14" s="144"/>
      <c r="C14" s="71" t="s">
        <v>498</v>
      </c>
      <c r="D14" s="71" t="s">
        <v>467</v>
      </c>
      <c r="E14" s="71">
        <v>0</v>
      </c>
      <c r="F14" s="71" t="s">
        <v>494</v>
      </c>
      <c r="G14" s="143" t="s">
        <v>494</v>
      </c>
    </row>
    <row r="15" spans="1:7" ht="15.75" customHeight="1" x14ac:dyDescent="0.15">
      <c r="A15" s="144"/>
      <c r="B15" s="144"/>
      <c r="C15" s="71" t="s">
        <v>499</v>
      </c>
      <c r="D15" s="71" t="s">
        <v>467</v>
      </c>
      <c r="E15" s="71">
        <v>0</v>
      </c>
      <c r="F15" s="71" t="s">
        <v>494</v>
      </c>
      <c r="G15" s="143" t="s">
        <v>494</v>
      </c>
    </row>
    <row r="16" spans="1:7" ht="15.75" customHeight="1" x14ac:dyDescent="0.15">
      <c r="A16" s="144"/>
      <c r="B16" s="144"/>
      <c r="C16" s="71" t="s">
        <v>500</v>
      </c>
      <c r="D16" s="71" t="s">
        <v>467</v>
      </c>
      <c r="E16" s="71">
        <v>0</v>
      </c>
      <c r="F16" s="71" t="s">
        <v>494</v>
      </c>
      <c r="G16" s="143" t="s">
        <v>494</v>
      </c>
    </row>
    <row r="17" spans="1:7" ht="15.75" customHeight="1" x14ac:dyDescent="0.15">
      <c r="A17" s="144"/>
      <c r="B17" s="144"/>
      <c r="C17" s="71" t="s">
        <v>501</v>
      </c>
      <c r="D17" s="71" t="s">
        <v>467</v>
      </c>
      <c r="E17" s="71">
        <v>0</v>
      </c>
      <c r="F17" s="71" t="s">
        <v>494</v>
      </c>
      <c r="G17" s="143" t="s">
        <v>494</v>
      </c>
    </row>
    <row r="18" spans="1:7" ht="15.75" customHeight="1" x14ac:dyDescent="0.15">
      <c r="A18" s="144"/>
      <c r="B18" s="144"/>
      <c r="C18" s="71" t="s">
        <v>502</v>
      </c>
      <c r="D18" s="71" t="s">
        <v>467</v>
      </c>
      <c r="E18" s="71">
        <v>0</v>
      </c>
      <c r="F18" s="71" t="s">
        <v>494</v>
      </c>
      <c r="G18" s="143" t="s">
        <v>494</v>
      </c>
    </row>
    <row r="19" spans="1:7" ht="15.75" customHeight="1" x14ac:dyDescent="0.15">
      <c r="A19" s="144"/>
      <c r="B19" s="144"/>
      <c r="C19" s="71" t="s">
        <v>503</v>
      </c>
      <c r="D19" s="71" t="s">
        <v>467</v>
      </c>
      <c r="E19" s="71">
        <v>0</v>
      </c>
      <c r="F19" s="71" t="s">
        <v>494</v>
      </c>
      <c r="G19" s="143" t="s">
        <v>494</v>
      </c>
    </row>
    <row r="20" spans="1:7" ht="15.75" customHeight="1" x14ac:dyDescent="0.15">
      <c r="A20" s="144"/>
      <c r="B20" s="144"/>
      <c r="C20" s="71" t="s">
        <v>504</v>
      </c>
      <c r="D20" s="71" t="s">
        <v>467</v>
      </c>
      <c r="E20" s="71">
        <v>0</v>
      </c>
      <c r="F20" s="71" t="s">
        <v>494</v>
      </c>
      <c r="G20" s="143" t="s">
        <v>494</v>
      </c>
    </row>
    <row r="21" spans="1:7" ht="15.75" customHeight="1" x14ac:dyDescent="0.15">
      <c r="A21" s="144"/>
      <c r="B21" s="144"/>
      <c r="C21" s="71" t="s">
        <v>505</v>
      </c>
      <c r="D21" s="71" t="s">
        <v>467</v>
      </c>
      <c r="E21" s="71">
        <v>0</v>
      </c>
      <c r="F21" s="71" t="s">
        <v>494</v>
      </c>
      <c r="G21" s="143" t="s">
        <v>494</v>
      </c>
    </row>
    <row r="22" spans="1:7" ht="15.75" customHeight="1" x14ac:dyDescent="0.15">
      <c r="A22" s="144"/>
      <c r="B22" s="144"/>
      <c r="C22" s="71" t="s">
        <v>506</v>
      </c>
      <c r="D22" s="71" t="s">
        <v>467</v>
      </c>
      <c r="E22" s="71">
        <v>0</v>
      </c>
      <c r="F22" s="71" t="s">
        <v>494</v>
      </c>
      <c r="G22" s="143" t="s">
        <v>494</v>
      </c>
    </row>
    <row r="23" spans="1:7" ht="15.75" customHeight="1" x14ac:dyDescent="0.15">
      <c r="A23" s="144"/>
      <c r="B23" s="144"/>
      <c r="C23" s="71" t="s">
        <v>507</v>
      </c>
      <c r="D23" s="71" t="s">
        <v>467</v>
      </c>
      <c r="E23" s="71">
        <v>0</v>
      </c>
      <c r="F23" s="71" t="s">
        <v>494</v>
      </c>
      <c r="G23" s="143" t="s">
        <v>494</v>
      </c>
    </row>
    <row r="24" spans="1:7" ht="15.75" customHeight="1" x14ac:dyDescent="0.15">
      <c r="A24" s="144"/>
      <c r="B24" s="144"/>
      <c r="C24" s="71" t="s">
        <v>508</v>
      </c>
      <c r="D24" s="71" t="s">
        <v>467</v>
      </c>
      <c r="E24" s="71">
        <v>0</v>
      </c>
      <c r="F24" s="71" t="s">
        <v>494</v>
      </c>
      <c r="G24" s="143" t="s">
        <v>494</v>
      </c>
    </row>
    <row r="25" spans="1:7" ht="15.75" customHeight="1" x14ac:dyDescent="0.15">
      <c r="A25" s="144"/>
      <c r="B25" s="144"/>
      <c r="C25" s="71" t="s">
        <v>509</v>
      </c>
      <c r="D25" s="71" t="s">
        <v>467</v>
      </c>
      <c r="E25" s="71">
        <v>0</v>
      </c>
      <c r="F25" s="71" t="s">
        <v>494</v>
      </c>
      <c r="G25" s="143" t="s">
        <v>494</v>
      </c>
    </row>
    <row r="26" spans="1:7" ht="15.75" customHeight="1" x14ac:dyDescent="0.15">
      <c r="A26" s="144"/>
      <c r="B26" s="144"/>
      <c r="C26" s="71" t="s">
        <v>510</v>
      </c>
      <c r="D26" s="71" t="s">
        <v>467</v>
      </c>
      <c r="E26" s="71">
        <v>0</v>
      </c>
      <c r="F26" s="71" t="s">
        <v>494</v>
      </c>
      <c r="G26" s="143" t="s">
        <v>494</v>
      </c>
    </row>
    <row r="27" spans="1:7" ht="15.75" customHeight="1" x14ac:dyDescent="0.15">
      <c r="A27" s="144"/>
      <c r="B27" s="144"/>
      <c r="C27" s="71" t="s">
        <v>511</v>
      </c>
      <c r="D27" s="71" t="s">
        <v>467</v>
      </c>
      <c r="E27" s="71">
        <v>0</v>
      </c>
      <c r="F27" s="71" t="s">
        <v>494</v>
      </c>
      <c r="G27" s="143" t="s">
        <v>494</v>
      </c>
    </row>
    <row r="28" spans="1:7" ht="15.75" customHeight="1" x14ac:dyDescent="0.15">
      <c r="A28" s="144"/>
      <c r="B28" s="144"/>
      <c r="C28" s="71" t="s">
        <v>512</v>
      </c>
      <c r="D28" s="71" t="s">
        <v>467</v>
      </c>
      <c r="E28" s="71">
        <v>0</v>
      </c>
      <c r="F28" s="71" t="s">
        <v>494</v>
      </c>
      <c r="G28" s="143" t="s">
        <v>494</v>
      </c>
    </row>
    <row r="29" spans="1:7" ht="15.75" customHeight="1" x14ac:dyDescent="0.15">
      <c r="A29" s="144"/>
      <c r="B29" s="144"/>
      <c r="C29" s="71" t="s">
        <v>513</v>
      </c>
      <c r="D29" s="71" t="s">
        <v>467</v>
      </c>
      <c r="E29" s="71">
        <v>0</v>
      </c>
      <c r="F29" s="71" t="s">
        <v>494</v>
      </c>
      <c r="G29" s="143" t="s">
        <v>494</v>
      </c>
    </row>
    <row r="30" spans="1:7" ht="15.75" customHeight="1" x14ac:dyDescent="0.15">
      <c r="A30" s="71" t="s">
        <v>469</v>
      </c>
      <c r="B30" s="71" t="s">
        <v>467</v>
      </c>
      <c r="C30" s="71" t="s">
        <v>493</v>
      </c>
      <c r="D30" s="71" t="s">
        <v>467</v>
      </c>
      <c r="E30" s="71">
        <v>0</v>
      </c>
      <c r="F30" s="71" t="s">
        <v>494</v>
      </c>
      <c r="G30" s="143" t="s">
        <v>494</v>
      </c>
    </row>
    <row r="31" spans="1:7" ht="15.75" customHeight="1" x14ac:dyDescent="0.15">
      <c r="A31" s="71" t="s">
        <v>27</v>
      </c>
      <c r="B31" s="72"/>
      <c r="C31" s="72"/>
      <c r="D31" s="72"/>
      <c r="E31" s="72"/>
      <c r="F31" s="72"/>
      <c r="G31" s="73"/>
    </row>
    <row r="32" spans="1:7" ht="15.75" customHeight="1" x14ac:dyDescent="0.15">
      <c r="A32" s="71" t="s">
        <v>58</v>
      </c>
      <c r="B32" s="72"/>
      <c r="C32" s="72"/>
      <c r="D32" s="72"/>
      <c r="E32" s="72"/>
      <c r="F32" s="72"/>
      <c r="G32" s="73"/>
    </row>
    <row r="33" spans="1:7" ht="15.75" customHeight="1" x14ac:dyDescent="0.15">
      <c r="A33" s="71" t="s">
        <v>52</v>
      </c>
      <c r="B33" s="72"/>
      <c r="C33" s="72"/>
      <c r="D33" s="72"/>
      <c r="E33" s="72"/>
      <c r="F33" s="72"/>
      <c r="G33" s="73"/>
    </row>
    <row r="34" spans="1:7" ht="15.75" customHeight="1" x14ac:dyDescent="0.15">
      <c r="A34" s="71" t="s">
        <v>54</v>
      </c>
      <c r="B34" s="72"/>
      <c r="C34" s="72"/>
      <c r="D34" s="72"/>
      <c r="E34" s="72"/>
      <c r="F34" s="72"/>
      <c r="G34" s="73"/>
    </row>
    <row r="35" spans="1:7" ht="15.75" customHeight="1" x14ac:dyDescent="0.15">
      <c r="A35" s="71" t="s">
        <v>30</v>
      </c>
      <c r="B35" s="72"/>
      <c r="C35" s="72"/>
      <c r="D35" s="72"/>
      <c r="E35" s="72"/>
      <c r="F35" s="72"/>
      <c r="G35" s="73"/>
    </row>
    <row r="36" spans="1:7" ht="15.75" customHeight="1" x14ac:dyDescent="0.15">
      <c r="A36" s="71" t="s">
        <v>32</v>
      </c>
      <c r="B36" s="72"/>
      <c r="C36" s="72"/>
      <c r="D36" s="72"/>
      <c r="E36" s="72"/>
      <c r="F36" s="72"/>
      <c r="G36" s="73"/>
    </row>
    <row r="37" spans="1:7" ht="15.75" customHeight="1" x14ac:dyDescent="0.15">
      <c r="A37" s="71" t="s">
        <v>33</v>
      </c>
      <c r="B37" s="72"/>
      <c r="C37" s="72"/>
      <c r="D37" s="72"/>
      <c r="E37" s="72"/>
      <c r="F37" s="72"/>
      <c r="G37" s="73"/>
    </row>
    <row r="38" spans="1:7" ht="15.75" customHeight="1" x14ac:dyDescent="0.15">
      <c r="A38" s="71" t="s">
        <v>34</v>
      </c>
      <c r="B38" s="72"/>
      <c r="C38" s="72"/>
      <c r="D38" s="72"/>
      <c r="E38" s="72"/>
      <c r="F38" s="72"/>
      <c r="G38" s="73"/>
    </row>
    <row r="39" spans="1:7" ht="15.75" customHeight="1" x14ac:dyDescent="0.15">
      <c r="A39" s="71" t="s">
        <v>35</v>
      </c>
      <c r="B39" s="72"/>
      <c r="C39" s="72"/>
      <c r="D39" s="72"/>
      <c r="E39" s="72"/>
      <c r="F39" s="72"/>
      <c r="G39" s="73"/>
    </row>
    <row r="40" spans="1:7" ht="15.75" customHeight="1" x14ac:dyDescent="0.15">
      <c r="A40" s="71" t="s">
        <v>60</v>
      </c>
      <c r="B40" s="72"/>
      <c r="C40" s="72"/>
      <c r="D40" s="72"/>
      <c r="E40" s="72"/>
      <c r="F40" s="72"/>
      <c r="G40" s="73"/>
    </row>
    <row r="41" spans="1:7" ht="15.75" customHeight="1" x14ac:dyDescent="0.15">
      <c r="A41" s="71" t="s">
        <v>37</v>
      </c>
      <c r="B41" s="72"/>
      <c r="C41" s="72"/>
      <c r="D41" s="72"/>
      <c r="E41" s="72"/>
      <c r="F41" s="72"/>
      <c r="G41" s="73"/>
    </row>
    <row r="42" spans="1:7" ht="15.75" customHeight="1" x14ac:dyDescent="0.15">
      <c r="A42" s="71" t="s">
        <v>39</v>
      </c>
      <c r="B42" s="72"/>
      <c r="C42" s="72"/>
      <c r="D42" s="72"/>
      <c r="E42" s="72"/>
      <c r="F42" s="72"/>
      <c r="G42" s="73"/>
    </row>
    <row r="43" spans="1:7" ht="15.75" customHeight="1" x14ac:dyDescent="0.15">
      <c r="A43" s="71" t="s">
        <v>40</v>
      </c>
      <c r="B43" s="72"/>
      <c r="C43" s="72"/>
      <c r="D43" s="72"/>
      <c r="E43" s="72"/>
      <c r="F43" s="72"/>
      <c r="G43" s="73"/>
    </row>
    <row r="44" spans="1:7" ht="15.75" customHeight="1" x14ac:dyDescent="0.15">
      <c r="A44" s="71" t="s">
        <v>42</v>
      </c>
      <c r="B44" s="72"/>
      <c r="C44" s="72"/>
      <c r="D44" s="72"/>
      <c r="E44" s="72"/>
      <c r="F44" s="72"/>
      <c r="G44" s="73"/>
    </row>
    <row r="45" spans="1:7" ht="15.75" customHeight="1" x14ac:dyDescent="0.15">
      <c r="A45" s="71" t="s">
        <v>43</v>
      </c>
      <c r="B45" s="72"/>
      <c r="C45" s="72"/>
      <c r="D45" s="72"/>
      <c r="E45" s="72"/>
      <c r="F45" s="72"/>
      <c r="G45" s="73"/>
    </row>
    <row r="46" spans="1:7" ht="15.75" customHeight="1" x14ac:dyDescent="0.15">
      <c r="A46" s="71" t="s">
        <v>44</v>
      </c>
      <c r="B46" s="72"/>
      <c r="C46" s="72"/>
      <c r="D46" s="72"/>
      <c r="E46" s="72"/>
      <c r="F46" s="72"/>
      <c r="G46" s="73"/>
    </row>
    <row r="47" spans="1:7" ht="15.75" customHeight="1" x14ac:dyDescent="0.15">
      <c r="A47" s="71" t="s">
        <v>470</v>
      </c>
      <c r="B47" s="71" t="s">
        <v>464</v>
      </c>
      <c r="C47" s="71" t="s">
        <v>514</v>
      </c>
      <c r="D47" s="71" t="s">
        <v>464</v>
      </c>
      <c r="E47" s="71">
        <v>0</v>
      </c>
      <c r="F47" s="71" t="s">
        <v>494</v>
      </c>
      <c r="G47" s="143" t="s">
        <v>494</v>
      </c>
    </row>
    <row r="48" spans="1:7" ht="15.75" customHeight="1" x14ac:dyDescent="0.15">
      <c r="A48" s="71" t="s">
        <v>45</v>
      </c>
      <c r="B48" s="72"/>
      <c r="C48" s="72"/>
      <c r="D48" s="72"/>
      <c r="E48" s="72"/>
      <c r="F48" s="72"/>
      <c r="G48" s="73"/>
    </row>
    <row r="49" spans="1:7" ht="15.75" customHeight="1" x14ac:dyDescent="0.15">
      <c r="A49" s="71" t="s">
        <v>47</v>
      </c>
      <c r="B49" s="72"/>
      <c r="C49" s="72"/>
      <c r="D49" s="72"/>
      <c r="E49" s="72"/>
      <c r="F49" s="72"/>
      <c r="G49" s="73"/>
    </row>
    <row r="50" spans="1:7" ht="15.75" customHeight="1" x14ac:dyDescent="0.15">
      <c r="A50" s="71" t="s">
        <v>48</v>
      </c>
      <c r="B50" s="72"/>
      <c r="C50" s="72"/>
      <c r="D50" s="72"/>
      <c r="E50" s="72"/>
      <c r="F50" s="72"/>
      <c r="G50" s="73"/>
    </row>
    <row r="51" spans="1:7" ht="15.75" customHeight="1" x14ac:dyDescent="0.15">
      <c r="A51" s="71" t="s">
        <v>56</v>
      </c>
      <c r="B51" s="72"/>
      <c r="C51" s="72"/>
      <c r="D51" s="72"/>
      <c r="E51" s="72"/>
      <c r="F51" s="72"/>
      <c r="G51" s="73"/>
    </row>
    <row r="52" spans="1:7" ht="15.75" customHeight="1" x14ac:dyDescent="0.15">
      <c r="A52" s="71" t="s">
        <v>49</v>
      </c>
      <c r="B52" s="72"/>
      <c r="C52" s="72"/>
      <c r="D52" s="72"/>
      <c r="E52" s="72"/>
      <c r="F52" s="72"/>
      <c r="G52" s="73"/>
    </row>
    <row r="53" spans="1:7" ht="15.75" customHeight="1" x14ac:dyDescent="0.15">
      <c r="A53" s="71" t="s">
        <v>62</v>
      </c>
      <c r="B53" s="72"/>
      <c r="C53" s="72"/>
      <c r="D53" s="72"/>
      <c r="E53" s="72"/>
      <c r="F53" s="72"/>
      <c r="G53" s="73"/>
    </row>
    <row r="54" spans="1:7" ht="15.75" customHeight="1" x14ac:dyDescent="0.15">
      <c r="A54" s="71" t="s">
        <v>64</v>
      </c>
      <c r="B54" s="72"/>
      <c r="C54" s="72"/>
      <c r="D54" s="72"/>
      <c r="E54" s="72"/>
      <c r="F54" s="72"/>
      <c r="G54" s="73"/>
    </row>
    <row r="55" spans="1:7" ht="13" x14ac:dyDescent="0.15">
      <c r="A55" s="71" t="s">
        <v>458</v>
      </c>
      <c r="B55" s="71" t="s">
        <v>451</v>
      </c>
      <c r="C55" s="71" t="s">
        <v>515</v>
      </c>
      <c r="D55" s="71" t="s">
        <v>491</v>
      </c>
      <c r="E55" s="71">
        <v>0</v>
      </c>
      <c r="F55" s="71" t="s">
        <v>494</v>
      </c>
      <c r="G55" s="143" t="s">
        <v>494</v>
      </c>
    </row>
    <row r="56" spans="1:7" ht="13" x14ac:dyDescent="0.15">
      <c r="A56" s="144"/>
      <c r="B56" s="144"/>
      <c r="C56" s="71" t="s">
        <v>516</v>
      </c>
      <c r="D56" s="71" t="s">
        <v>491</v>
      </c>
      <c r="E56" s="71">
        <v>0</v>
      </c>
      <c r="F56" s="71" t="s">
        <v>494</v>
      </c>
      <c r="G56" s="143" t="s">
        <v>494</v>
      </c>
    </row>
    <row r="57" spans="1:7" ht="13" x14ac:dyDescent="0.15">
      <c r="A57" s="71" t="s">
        <v>71</v>
      </c>
      <c r="B57" s="72"/>
      <c r="C57" s="72"/>
      <c r="D57" s="72"/>
      <c r="E57" s="72"/>
      <c r="F57" s="72"/>
      <c r="G57" s="73"/>
    </row>
    <row r="58" spans="1:7" ht="13" x14ac:dyDescent="0.15">
      <c r="A58" s="71" t="s">
        <v>69</v>
      </c>
      <c r="B58" s="71" t="s">
        <v>70</v>
      </c>
      <c r="C58" s="71" t="s">
        <v>517</v>
      </c>
      <c r="D58" s="71" t="s">
        <v>21</v>
      </c>
      <c r="E58" s="71">
        <v>0</v>
      </c>
      <c r="F58" s="71" t="s">
        <v>494</v>
      </c>
      <c r="G58" s="143" t="s">
        <v>494</v>
      </c>
    </row>
    <row r="59" spans="1:7" ht="13" x14ac:dyDescent="0.15">
      <c r="A59" s="144"/>
      <c r="B59" s="71" t="s">
        <v>73</v>
      </c>
      <c r="C59" s="71" t="s">
        <v>518</v>
      </c>
      <c r="D59" s="71" t="s">
        <v>471</v>
      </c>
      <c r="E59" s="71">
        <v>0</v>
      </c>
      <c r="F59" s="71" t="s">
        <v>494</v>
      </c>
      <c r="G59" s="143" t="s">
        <v>494</v>
      </c>
    </row>
    <row r="60" spans="1:7" ht="13" x14ac:dyDescent="0.15">
      <c r="A60" s="71" t="s">
        <v>74</v>
      </c>
      <c r="B60" s="72"/>
      <c r="C60" s="72"/>
      <c r="D60" s="72"/>
      <c r="E60" s="72"/>
      <c r="F60" s="72"/>
      <c r="G60" s="73"/>
    </row>
    <row r="61" spans="1:7" ht="13" x14ac:dyDescent="0.15">
      <c r="A61" s="71" t="s">
        <v>472</v>
      </c>
      <c r="B61" s="71" t="s">
        <v>473</v>
      </c>
      <c r="C61" s="71" t="s">
        <v>519</v>
      </c>
      <c r="D61" s="71" t="s">
        <v>474</v>
      </c>
      <c r="E61" s="71">
        <v>0</v>
      </c>
      <c r="F61" s="71" t="s">
        <v>494</v>
      </c>
      <c r="G61" s="143" t="s">
        <v>494</v>
      </c>
    </row>
    <row r="62" spans="1:7" ht="13" x14ac:dyDescent="0.15">
      <c r="A62" s="71" t="s">
        <v>67</v>
      </c>
      <c r="B62" s="72"/>
      <c r="C62" s="72"/>
      <c r="D62" s="72"/>
      <c r="E62" s="72"/>
      <c r="F62" s="72"/>
      <c r="G62" s="73"/>
    </row>
    <row r="63" spans="1:7" ht="13" x14ac:dyDescent="0.15">
      <c r="A63" s="71" t="s">
        <v>287</v>
      </c>
      <c r="B63" s="72"/>
      <c r="C63" s="72"/>
      <c r="D63" s="72"/>
      <c r="E63" s="72"/>
      <c r="F63" s="72"/>
      <c r="G63" s="73"/>
    </row>
    <row r="64" spans="1:7" ht="13" x14ac:dyDescent="0.15">
      <c r="A64" s="71" t="s">
        <v>76</v>
      </c>
      <c r="B64" s="72"/>
      <c r="C64" s="72"/>
      <c r="D64" s="72"/>
      <c r="E64" s="72"/>
      <c r="F64" s="72"/>
      <c r="G64" s="73"/>
    </row>
    <row r="65" spans="1:7" ht="13" x14ac:dyDescent="0.15">
      <c r="A65" s="71" t="s">
        <v>78</v>
      </c>
      <c r="B65" s="72"/>
      <c r="C65" s="72"/>
      <c r="D65" s="72"/>
      <c r="E65" s="72"/>
      <c r="F65" s="72"/>
      <c r="G65" s="73"/>
    </row>
    <row r="66" spans="1:7" ht="13" x14ac:dyDescent="0.15">
      <c r="A66" s="71" t="s">
        <v>80</v>
      </c>
      <c r="B66" s="72"/>
      <c r="C66" s="72"/>
      <c r="D66" s="72"/>
      <c r="E66" s="72"/>
      <c r="F66" s="72"/>
      <c r="G66" s="73"/>
    </row>
    <row r="67" spans="1:7" ht="13" x14ac:dyDescent="0.15">
      <c r="A67" s="71" t="s">
        <v>82</v>
      </c>
      <c r="B67" s="72"/>
      <c r="C67" s="72"/>
      <c r="D67" s="72"/>
      <c r="E67" s="72"/>
      <c r="F67" s="72"/>
      <c r="G67" s="73"/>
    </row>
    <row r="68" spans="1:7" ht="13" x14ac:dyDescent="0.15">
      <c r="A68" s="71" t="s">
        <v>83</v>
      </c>
      <c r="B68" s="72"/>
      <c r="C68" s="72"/>
      <c r="D68" s="72"/>
      <c r="E68" s="72"/>
      <c r="F68" s="72"/>
      <c r="G68" s="73"/>
    </row>
    <row r="69" spans="1:7" ht="13" x14ac:dyDescent="0.15">
      <c r="A69" s="71" t="s">
        <v>102</v>
      </c>
      <c r="B69" s="72"/>
      <c r="C69" s="72"/>
      <c r="D69" s="72"/>
      <c r="E69" s="72"/>
      <c r="F69" s="72"/>
      <c r="G69" s="73"/>
    </row>
    <row r="70" spans="1:7" ht="13" x14ac:dyDescent="0.15">
      <c r="A70" s="71" t="s">
        <v>86</v>
      </c>
      <c r="B70" s="72"/>
      <c r="C70" s="72"/>
      <c r="D70" s="72"/>
      <c r="E70" s="72"/>
      <c r="F70" s="72"/>
      <c r="G70" s="73"/>
    </row>
    <row r="71" spans="1:7" ht="13" x14ac:dyDescent="0.15">
      <c r="A71" s="71" t="s">
        <v>87</v>
      </c>
      <c r="B71" s="72"/>
      <c r="C71" s="72"/>
      <c r="D71" s="72"/>
      <c r="E71" s="72"/>
      <c r="F71" s="72"/>
      <c r="G71" s="73"/>
    </row>
    <row r="72" spans="1:7" ht="13" x14ac:dyDescent="0.15">
      <c r="A72" s="71" t="s">
        <v>89</v>
      </c>
      <c r="B72" s="72"/>
      <c r="C72" s="72"/>
      <c r="D72" s="72"/>
      <c r="E72" s="72"/>
      <c r="F72" s="72"/>
      <c r="G72" s="73"/>
    </row>
    <row r="73" spans="1:7" ht="13" x14ac:dyDescent="0.15">
      <c r="A73" s="71" t="s">
        <v>96</v>
      </c>
      <c r="B73" s="72"/>
      <c r="C73" s="72"/>
      <c r="D73" s="72"/>
      <c r="E73" s="72"/>
      <c r="F73" s="72"/>
      <c r="G73" s="73"/>
    </row>
    <row r="74" spans="1:7" ht="13" x14ac:dyDescent="0.15">
      <c r="A74" s="71" t="s">
        <v>98</v>
      </c>
      <c r="B74" s="72"/>
      <c r="C74" s="72"/>
      <c r="D74" s="72"/>
      <c r="E74" s="72"/>
      <c r="F74" s="72"/>
      <c r="G74" s="73"/>
    </row>
    <row r="75" spans="1:7" ht="13" x14ac:dyDescent="0.15">
      <c r="A75" s="71" t="s">
        <v>51</v>
      </c>
      <c r="B75" s="71" t="s">
        <v>50</v>
      </c>
      <c r="C75" s="71" t="s">
        <v>520</v>
      </c>
      <c r="D75" s="71" t="s">
        <v>51</v>
      </c>
      <c r="E75" s="71">
        <v>0</v>
      </c>
      <c r="F75" s="71" t="s">
        <v>494</v>
      </c>
      <c r="G75" s="143" t="s">
        <v>494</v>
      </c>
    </row>
    <row r="76" spans="1:7" ht="13" x14ac:dyDescent="0.15">
      <c r="A76" s="71" t="s">
        <v>114</v>
      </c>
      <c r="B76" s="71" t="s">
        <v>23</v>
      </c>
      <c r="C76" s="71" t="s">
        <v>521</v>
      </c>
      <c r="D76" s="71" t="s">
        <v>115</v>
      </c>
      <c r="E76" s="71">
        <v>0</v>
      </c>
      <c r="F76" s="71" t="s">
        <v>494</v>
      </c>
      <c r="G76" s="143" t="s">
        <v>494</v>
      </c>
    </row>
    <row r="77" spans="1:7" ht="13" x14ac:dyDescent="0.15">
      <c r="A77" s="144"/>
      <c r="B77" s="144"/>
      <c r="C77" s="71" t="s">
        <v>522</v>
      </c>
      <c r="D77" s="71" t="s">
        <v>115</v>
      </c>
      <c r="E77" s="71">
        <v>0</v>
      </c>
      <c r="F77" s="71" t="s">
        <v>494</v>
      </c>
      <c r="G77" s="143" t="s">
        <v>494</v>
      </c>
    </row>
    <row r="78" spans="1:7" ht="13" x14ac:dyDescent="0.15">
      <c r="A78" s="144"/>
      <c r="B78" s="144"/>
      <c r="C78" s="71" t="s">
        <v>523</v>
      </c>
      <c r="D78" s="71" t="s">
        <v>115</v>
      </c>
      <c r="E78" s="71">
        <v>0</v>
      </c>
      <c r="F78" s="71" t="s">
        <v>494</v>
      </c>
      <c r="G78" s="143" t="s">
        <v>494</v>
      </c>
    </row>
    <row r="79" spans="1:7" ht="13" x14ac:dyDescent="0.15">
      <c r="A79" s="144"/>
      <c r="B79" s="144"/>
      <c r="C79" s="71" t="s">
        <v>524</v>
      </c>
      <c r="D79" s="71" t="s">
        <v>115</v>
      </c>
      <c r="E79" s="71">
        <v>0</v>
      </c>
      <c r="F79" s="71" t="s">
        <v>494</v>
      </c>
      <c r="G79" s="143" t="s">
        <v>494</v>
      </c>
    </row>
    <row r="80" spans="1:7" ht="13" x14ac:dyDescent="0.15">
      <c r="A80" s="144"/>
      <c r="B80" s="144"/>
      <c r="C80" s="71" t="s">
        <v>525</v>
      </c>
      <c r="D80" s="71" t="s">
        <v>115</v>
      </c>
      <c r="E80" s="71">
        <v>0</v>
      </c>
      <c r="F80" s="71" t="s">
        <v>494</v>
      </c>
      <c r="G80" s="143" t="s">
        <v>494</v>
      </c>
    </row>
    <row r="81" spans="1:7" ht="13" x14ac:dyDescent="0.15">
      <c r="A81" s="144"/>
      <c r="B81" s="144"/>
      <c r="C81" s="71" t="s">
        <v>526</v>
      </c>
      <c r="D81" s="71" t="s">
        <v>115</v>
      </c>
      <c r="E81" s="71">
        <v>0</v>
      </c>
      <c r="F81" s="71" t="s">
        <v>494</v>
      </c>
      <c r="G81" s="143" t="s">
        <v>494</v>
      </c>
    </row>
    <row r="82" spans="1:7" ht="13" x14ac:dyDescent="0.15">
      <c r="A82" s="144"/>
      <c r="B82" s="144"/>
      <c r="C82" s="71" t="s">
        <v>527</v>
      </c>
      <c r="D82" s="71" t="s">
        <v>115</v>
      </c>
      <c r="E82" s="71">
        <v>0</v>
      </c>
      <c r="F82" s="71" t="s">
        <v>494</v>
      </c>
      <c r="G82" s="143" t="s">
        <v>494</v>
      </c>
    </row>
    <row r="83" spans="1:7" ht="13" x14ac:dyDescent="0.15">
      <c r="A83" s="144"/>
      <c r="B83" s="144"/>
      <c r="C83" s="71" t="s">
        <v>528</v>
      </c>
      <c r="D83" s="71" t="s">
        <v>115</v>
      </c>
      <c r="E83" s="71">
        <v>0</v>
      </c>
      <c r="F83" s="71" t="s">
        <v>494</v>
      </c>
      <c r="G83" s="143" t="s">
        <v>494</v>
      </c>
    </row>
    <row r="84" spans="1:7" ht="13" x14ac:dyDescent="0.15">
      <c r="A84" s="71" t="s">
        <v>107</v>
      </c>
      <c r="B84" s="72"/>
      <c r="C84" s="72"/>
      <c r="D84" s="72"/>
      <c r="E84" s="72"/>
      <c r="F84" s="72"/>
      <c r="G84" s="73"/>
    </row>
    <row r="85" spans="1:7" ht="13" x14ac:dyDescent="0.15">
      <c r="A85" s="71" t="s">
        <v>111</v>
      </c>
      <c r="B85" s="72"/>
      <c r="C85" s="72"/>
      <c r="D85" s="72"/>
      <c r="E85" s="72"/>
      <c r="F85" s="72"/>
      <c r="G85" s="73"/>
    </row>
    <row r="86" spans="1:7" ht="13" x14ac:dyDescent="0.15">
      <c r="A86" s="71" t="s">
        <v>110</v>
      </c>
      <c r="B86" s="72"/>
      <c r="C86" s="72"/>
      <c r="D86" s="72"/>
      <c r="E86" s="72"/>
      <c r="F86" s="72"/>
      <c r="G86" s="73"/>
    </row>
    <row r="87" spans="1:7" ht="13" x14ac:dyDescent="0.15">
      <c r="A87" s="71" t="s">
        <v>105</v>
      </c>
      <c r="B87" s="72"/>
      <c r="C87" s="72"/>
      <c r="D87" s="72"/>
      <c r="E87" s="72"/>
      <c r="F87" s="72"/>
      <c r="G87" s="73"/>
    </row>
    <row r="88" spans="1:7" ht="13" x14ac:dyDescent="0.15">
      <c r="A88" s="71" t="s">
        <v>116</v>
      </c>
      <c r="B88" s="72"/>
      <c r="C88" s="72"/>
      <c r="D88" s="72"/>
      <c r="E88" s="72"/>
      <c r="F88" s="72"/>
      <c r="G88" s="73"/>
    </row>
    <row r="89" spans="1:7" ht="13" x14ac:dyDescent="0.15">
      <c r="A89" s="71" t="s">
        <v>117</v>
      </c>
      <c r="B89" s="72"/>
      <c r="C89" s="72"/>
      <c r="D89" s="72"/>
      <c r="E89" s="72"/>
      <c r="F89" s="72"/>
      <c r="G89" s="73"/>
    </row>
    <row r="90" spans="1:7" ht="13" x14ac:dyDescent="0.15">
      <c r="A90" s="71" t="s">
        <v>119</v>
      </c>
      <c r="B90" s="72"/>
      <c r="C90" s="72"/>
      <c r="D90" s="72"/>
      <c r="E90" s="72"/>
      <c r="F90" s="72"/>
      <c r="G90" s="73"/>
    </row>
    <row r="91" spans="1:7" ht="13" x14ac:dyDescent="0.15">
      <c r="A91" s="71" t="s">
        <v>459</v>
      </c>
      <c r="B91" s="71" t="s">
        <v>451</v>
      </c>
      <c r="C91" s="71" t="s">
        <v>529</v>
      </c>
      <c r="D91" s="71" t="s">
        <v>488</v>
      </c>
      <c r="E91" s="71">
        <v>0</v>
      </c>
      <c r="F91" s="71" t="s">
        <v>494</v>
      </c>
      <c r="G91" s="143" t="s">
        <v>494</v>
      </c>
    </row>
    <row r="92" spans="1:7" ht="13" x14ac:dyDescent="0.15">
      <c r="A92" s="144"/>
      <c r="B92" s="144"/>
      <c r="C92" s="71" t="s">
        <v>530</v>
      </c>
      <c r="D92" s="71" t="s">
        <v>488</v>
      </c>
      <c r="E92" s="71">
        <v>0</v>
      </c>
      <c r="F92" s="71" t="s">
        <v>494</v>
      </c>
      <c r="G92" s="143" t="s">
        <v>494</v>
      </c>
    </row>
    <row r="93" spans="1:7" ht="13" x14ac:dyDescent="0.15">
      <c r="A93" s="71" t="s">
        <v>460</v>
      </c>
      <c r="B93" s="71" t="s">
        <v>451</v>
      </c>
      <c r="C93" s="71" t="s">
        <v>531</v>
      </c>
      <c r="D93" s="71" t="s">
        <v>489</v>
      </c>
      <c r="E93" s="71">
        <v>0</v>
      </c>
      <c r="F93" s="71" t="s">
        <v>494</v>
      </c>
      <c r="G93" s="143" t="s">
        <v>494</v>
      </c>
    </row>
    <row r="94" spans="1:7" ht="13" x14ac:dyDescent="0.15">
      <c r="A94" s="144"/>
      <c r="B94" s="144"/>
      <c r="C94" s="71" t="s">
        <v>532</v>
      </c>
      <c r="D94" s="71" t="s">
        <v>489</v>
      </c>
      <c r="E94" s="71">
        <v>0</v>
      </c>
      <c r="F94" s="71" t="s">
        <v>494</v>
      </c>
      <c r="G94" s="143" t="s">
        <v>494</v>
      </c>
    </row>
    <row r="95" spans="1:7" ht="13" x14ac:dyDescent="0.15">
      <c r="A95" s="71" t="s">
        <v>120</v>
      </c>
      <c r="B95" s="72"/>
      <c r="C95" s="72"/>
      <c r="D95" s="72"/>
      <c r="E95" s="72"/>
      <c r="F95" s="72"/>
      <c r="G95" s="73"/>
    </row>
    <row r="96" spans="1:7" ht="13" x14ac:dyDescent="0.15">
      <c r="A96" s="71" t="s">
        <v>124</v>
      </c>
      <c r="B96" s="72"/>
      <c r="C96" s="72"/>
      <c r="D96" s="72"/>
      <c r="E96" s="72"/>
      <c r="F96" s="72"/>
      <c r="G96" s="73"/>
    </row>
    <row r="97" spans="1:7" ht="13" x14ac:dyDescent="0.15">
      <c r="A97" s="71" t="s">
        <v>123</v>
      </c>
      <c r="B97" s="72"/>
      <c r="C97" s="72"/>
      <c r="D97" s="72"/>
      <c r="E97" s="72"/>
      <c r="F97" s="72"/>
      <c r="G97" s="73"/>
    </row>
    <row r="98" spans="1:7" ht="13" x14ac:dyDescent="0.15">
      <c r="A98" s="71" t="s">
        <v>126</v>
      </c>
      <c r="B98" s="72"/>
      <c r="C98" s="72"/>
      <c r="D98" s="72"/>
      <c r="E98" s="72"/>
      <c r="F98" s="72"/>
      <c r="G98" s="73"/>
    </row>
    <row r="99" spans="1:7" ht="13" x14ac:dyDescent="0.15">
      <c r="A99" s="71" t="s">
        <v>128</v>
      </c>
      <c r="B99" s="72"/>
      <c r="C99" s="72"/>
      <c r="D99" s="72"/>
      <c r="E99" s="72"/>
      <c r="F99" s="72"/>
      <c r="G99" s="73"/>
    </row>
    <row r="100" spans="1:7" ht="13" x14ac:dyDescent="0.15">
      <c r="A100" s="71" t="s">
        <v>129</v>
      </c>
      <c r="B100" s="72"/>
      <c r="C100" s="72"/>
      <c r="D100" s="72"/>
      <c r="E100" s="72"/>
      <c r="F100" s="72"/>
      <c r="G100" s="73"/>
    </row>
    <row r="101" spans="1:7" ht="13" x14ac:dyDescent="0.15">
      <c r="A101" s="74" t="s">
        <v>131</v>
      </c>
      <c r="B101" s="75"/>
      <c r="C101" s="75"/>
      <c r="D101" s="75"/>
      <c r="E101" s="75"/>
      <c r="F101" s="75"/>
      <c r="G101" s="76"/>
    </row>
    <row r="102" spans="1:7" ht="13" x14ac:dyDescent="0.15">
      <c r="D102" s="52"/>
    </row>
    <row r="103" spans="1:7" ht="13" x14ac:dyDescent="0.15">
      <c r="D103" s="52"/>
    </row>
    <row r="104" spans="1:7" ht="13" x14ac:dyDescent="0.15">
      <c r="D104" s="52"/>
    </row>
    <row r="105" spans="1:7" ht="13" x14ac:dyDescent="0.15">
      <c r="D105" s="52"/>
    </row>
    <row r="106" spans="1:7" ht="13" x14ac:dyDescent="0.15">
      <c r="D106" s="52"/>
    </row>
    <row r="107" spans="1:7" ht="13" x14ac:dyDescent="0.15">
      <c r="D107" s="52"/>
    </row>
    <row r="108" spans="1:7" ht="13" x14ac:dyDescent="0.15">
      <c r="D108" s="52"/>
    </row>
    <row r="109" spans="1:7" ht="13" x14ac:dyDescent="0.15">
      <c r="D109" s="52"/>
    </row>
    <row r="110" spans="1:7" ht="13" x14ac:dyDescent="0.15">
      <c r="D110" s="52"/>
    </row>
    <row r="111" spans="1:7" ht="13" x14ac:dyDescent="0.15">
      <c r="D111" s="52"/>
    </row>
    <row r="112" spans="1:7" ht="13" x14ac:dyDescent="0.15">
      <c r="D112" s="52"/>
    </row>
    <row r="113" spans="4:4" ht="13" x14ac:dyDescent="0.15">
      <c r="D113" s="52"/>
    </row>
    <row r="114" spans="4:4" ht="13" x14ac:dyDescent="0.15">
      <c r="D114" s="52"/>
    </row>
    <row r="115" spans="4:4" ht="13" x14ac:dyDescent="0.15">
      <c r="D115" s="52"/>
    </row>
    <row r="116" spans="4:4" ht="13" x14ac:dyDescent="0.15">
      <c r="D116" s="52"/>
    </row>
    <row r="117" spans="4:4" ht="13" x14ac:dyDescent="0.15">
      <c r="D117" s="52"/>
    </row>
    <row r="118" spans="4:4" ht="13" x14ac:dyDescent="0.15">
      <c r="D118" s="52"/>
    </row>
    <row r="119" spans="4:4" ht="13" x14ac:dyDescent="0.15">
      <c r="D119" s="52"/>
    </row>
    <row r="120" spans="4:4" ht="13" x14ac:dyDescent="0.15">
      <c r="D120" s="52"/>
    </row>
    <row r="121" spans="4:4" ht="13" x14ac:dyDescent="0.15">
      <c r="D121" s="52"/>
    </row>
    <row r="122" spans="4:4" ht="13" x14ac:dyDescent="0.15">
      <c r="D122" s="52"/>
    </row>
    <row r="123" spans="4:4" ht="13" x14ac:dyDescent="0.15">
      <c r="D123" s="52"/>
    </row>
    <row r="124" spans="4:4" ht="13" x14ac:dyDescent="0.15">
      <c r="D124" s="52"/>
    </row>
    <row r="125" spans="4:4" ht="13" x14ac:dyDescent="0.15">
      <c r="D125" s="52"/>
    </row>
    <row r="126" spans="4:4" ht="13" x14ac:dyDescent="0.15">
      <c r="D126" s="52"/>
    </row>
    <row r="127" spans="4:4" ht="13" x14ac:dyDescent="0.15">
      <c r="D127" s="52"/>
    </row>
    <row r="128" spans="4:4" ht="13" x14ac:dyDescent="0.15">
      <c r="D128" s="52"/>
    </row>
    <row r="129" spans="4:4" ht="13" x14ac:dyDescent="0.15">
      <c r="D129" s="52"/>
    </row>
    <row r="130" spans="4:4" ht="13" x14ac:dyDescent="0.15">
      <c r="D130" s="52"/>
    </row>
    <row r="131" spans="4:4" ht="13" x14ac:dyDescent="0.15">
      <c r="D131" s="52"/>
    </row>
    <row r="132" spans="4:4" ht="13" x14ac:dyDescent="0.15">
      <c r="D132" s="52"/>
    </row>
    <row r="133" spans="4:4" ht="13" x14ac:dyDescent="0.15">
      <c r="D133" s="52"/>
    </row>
    <row r="134" spans="4:4" ht="13" x14ac:dyDescent="0.15">
      <c r="D134" s="52"/>
    </row>
    <row r="135" spans="4:4" ht="13" x14ac:dyDescent="0.15">
      <c r="D135" s="52"/>
    </row>
    <row r="136" spans="4:4" ht="13" x14ac:dyDescent="0.15">
      <c r="D136" s="52"/>
    </row>
    <row r="137" spans="4:4" ht="13" x14ac:dyDescent="0.15">
      <c r="D137" s="52"/>
    </row>
    <row r="138" spans="4:4" ht="13" x14ac:dyDescent="0.15">
      <c r="D138" s="52"/>
    </row>
    <row r="139" spans="4:4" ht="13" x14ac:dyDescent="0.15">
      <c r="D139" s="52"/>
    </row>
    <row r="140" spans="4:4" ht="13" x14ac:dyDescent="0.15">
      <c r="D140" s="52"/>
    </row>
    <row r="141" spans="4:4" ht="13" x14ac:dyDescent="0.15">
      <c r="D141" s="52"/>
    </row>
    <row r="142" spans="4:4" ht="13" x14ac:dyDescent="0.15">
      <c r="D142" s="52"/>
    </row>
    <row r="143" spans="4:4" ht="13" x14ac:dyDescent="0.15">
      <c r="D143" s="52"/>
    </row>
    <row r="144" spans="4:4" ht="13" x14ac:dyDescent="0.15">
      <c r="D144" s="52"/>
    </row>
    <row r="145" spans="4:4" ht="13" x14ac:dyDescent="0.15">
      <c r="D145" s="52"/>
    </row>
    <row r="146" spans="4:4" ht="13" x14ac:dyDescent="0.15">
      <c r="D146" s="52"/>
    </row>
    <row r="147" spans="4:4" ht="13" x14ac:dyDescent="0.15">
      <c r="D147" s="52"/>
    </row>
    <row r="148" spans="4:4" ht="13" x14ac:dyDescent="0.15">
      <c r="D148" s="52"/>
    </row>
    <row r="149" spans="4:4" ht="13" x14ac:dyDescent="0.15">
      <c r="D149" s="52"/>
    </row>
    <row r="150" spans="4:4" ht="13" x14ac:dyDescent="0.15">
      <c r="D150" s="52"/>
    </row>
    <row r="151" spans="4:4" ht="13" x14ac:dyDescent="0.15">
      <c r="D151" s="52"/>
    </row>
    <row r="152" spans="4:4" ht="13" x14ac:dyDescent="0.15">
      <c r="D152" s="52"/>
    </row>
    <row r="153" spans="4:4" ht="13" x14ac:dyDescent="0.15">
      <c r="D153" s="52"/>
    </row>
    <row r="154" spans="4:4" ht="13" x14ac:dyDescent="0.15">
      <c r="D154" s="52"/>
    </row>
    <row r="155" spans="4:4" ht="13" x14ac:dyDescent="0.15">
      <c r="D155" s="52"/>
    </row>
    <row r="156" spans="4:4" ht="13" x14ac:dyDescent="0.15">
      <c r="D156" s="52"/>
    </row>
    <row r="157" spans="4:4" ht="13" x14ac:dyDescent="0.15">
      <c r="D157" s="52"/>
    </row>
    <row r="158" spans="4:4" ht="13" x14ac:dyDescent="0.15">
      <c r="D158" s="52"/>
    </row>
    <row r="159" spans="4:4" ht="13" x14ac:dyDescent="0.15">
      <c r="D159" s="52"/>
    </row>
    <row r="160" spans="4:4" ht="13" x14ac:dyDescent="0.15">
      <c r="D160" s="52"/>
    </row>
    <row r="161" spans="4:4" ht="13" x14ac:dyDescent="0.15">
      <c r="D161" s="52"/>
    </row>
    <row r="162" spans="4:4" ht="13" x14ac:dyDescent="0.15">
      <c r="D162" s="52"/>
    </row>
    <row r="163" spans="4:4" ht="13" x14ac:dyDescent="0.15">
      <c r="D163" s="52"/>
    </row>
    <row r="164" spans="4:4" ht="13" x14ac:dyDescent="0.15">
      <c r="D164" s="52"/>
    </row>
    <row r="165" spans="4:4" ht="13" x14ac:dyDescent="0.15">
      <c r="D165" s="52"/>
    </row>
    <row r="166" spans="4:4" ht="13" x14ac:dyDescent="0.15">
      <c r="D166" s="52"/>
    </row>
    <row r="167" spans="4:4" ht="13" x14ac:dyDescent="0.15">
      <c r="D167" s="52"/>
    </row>
    <row r="168" spans="4:4" ht="13" x14ac:dyDescent="0.15">
      <c r="D168" s="52"/>
    </row>
    <row r="169" spans="4:4" ht="13" x14ac:dyDescent="0.15">
      <c r="D169" s="52"/>
    </row>
    <row r="170" spans="4:4" ht="13" x14ac:dyDescent="0.15">
      <c r="D170" s="52"/>
    </row>
    <row r="171" spans="4:4" ht="13" x14ac:dyDescent="0.15">
      <c r="D171" s="52"/>
    </row>
    <row r="172" spans="4:4" ht="13" x14ac:dyDescent="0.15">
      <c r="D172" s="52"/>
    </row>
    <row r="173" spans="4:4" ht="13" x14ac:dyDescent="0.15">
      <c r="D173" s="52"/>
    </row>
    <row r="174" spans="4:4" ht="13" x14ac:dyDescent="0.15">
      <c r="D174" s="52"/>
    </row>
    <row r="175" spans="4:4" ht="13" x14ac:dyDescent="0.15">
      <c r="D175" s="52"/>
    </row>
    <row r="176" spans="4:4" ht="13" x14ac:dyDescent="0.15">
      <c r="D176" s="52"/>
    </row>
    <row r="177" spans="4:4" ht="13" x14ac:dyDescent="0.15">
      <c r="D177" s="52"/>
    </row>
    <row r="178" spans="4:4" ht="13" x14ac:dyDescent="0.15">
      <c r="D178" s="52"/>
    </row>
    <row r="179" spans="4:4" ht="13" x14ac:dyDescent="0.15">
      <c r="D179" s="52"/>
    </row>
    <row r="180" spans="4:4" ht="13" x14ac:dyDescent="0.15">
      <c r="D180" s="52"/>
    </row>
    <row r="181" spans="4:4" ht="13" x14ac:dyDescent="0.15">
      <c r="D181" s="52"/>
    </row>
    <row r="182" spans="4:4" ht="13" x14ac:dyDescent="0.15">
      <c r="D182" s="52"/>
    </row>
    <row r="183" spans="4:4" ht="13" x14ac:dyDescent="0.15">
      <c r="D183" s="52"/>
    </row>
    <row r="184" spans="4:4" ht="13" x14ac:dyDescent="0.15">
      <c r="D184" s="52"/>
    </row>
    <row r="185" spans="4:4" ht="13" x14ac:dyDescent="0.15">
      <c r="D185" s="52"/>
    </row>
    <row r="186" spans="4:4" ht="13" x14ac:dyDescent="0.15">
      <c r="D186" s="52"/>
    </row>
    <row r="187" spans="4:4" ht="13" x14ac:dyDescent="0.15">
      <c r="D187" s="52"/>
    </row>
    <row r="188" spans="4:4" ht="13" x14ac:dyDescent="0.15">
      <c r="D188" s="52"/>
    </row>
    <row r="189" spans="4:4" ht="13" x14ac:dyDescent="0.15">
      <c r="D189" s="52"/>
    </row>
    <row r="190" spans="4:4" ht="13" x14ac:dyDescent="0.15">
      <c r="D190" s="52"/>
    </row>
    <row r="191" spans="4:4" ht="13" x14ac:dyDescent="0.15">
      <c r="D191" s="52"/>
    </row>
    <row r="192" spans="4:4" ht="13" x14ac:dyDescent="0.15">
      <c r="D192" s="52"/>
    </row>
    <row r="193" spans="4:4" ht="13" x14ac:dyDescent="0.15">
      <c r="D193" s="52"/>
    </row>
    <row r="194" spans="4:4" ht="13" x14ac:dyDescent="0.15">
      <c r="D194" s="52"/>
    </row>
    <row r="195" spans="4:4" ht="13" x14ac:dyDescent="0.15">
      <c r="D195" s="52"/>
    </row>
    <row r="196" spans="4:4" ht="13" x14ac:dyDescent="0.15">
      <c r="D196" s="52"/>
    </row>
    <row r="197" spans="4:4" ht="13" x14ac:dyDescent="0.15">
      <c r="D197" s="52"/>
    </row>
    <row r="198" spans="4:4" ht="13" x14ac:dyDescent="0.15">
      <c r="D198" s="52"/>
    </row>
    <row r="199" spans="4:4" ht="13" x14ac:dyDescent="0.15">
      <c r="D199" s="52"/>
    </row>
    <row r="200" spans="4:4" ht="13" x14ac:dyDescent="0.15">
      <c r="D200" s="52"/>
    </row>
    <row r="201" spans="4:4" ht="13" x14ac:dyDescent="0.15">
      <c r="D201" s="52"/>
    </row>
    <row r="202" spans="4:4" ht="13" x14ac:dyDescent="0.15">
      <c r="D202" s="52"/>
    </row>
    <row r="203" spans="4:4" ht="13" x14ac:dyDescent="0.15">
      <c r="D203" s="52"/>
    </row>
    <row r="204" spans="4:4" ht="13" x14ac:dyDescent="0.15">
      <c r="D204" s="52"/>
    </row>
    <row r="205" spans="4:4" ht="13" x14ac:dyDescent="0.15">
      <c r="D205" s="52"/>
    </row>
    <row r="206" spans="4:4" ht="13" x14ac:dyDescent="0.15">
      <c r="D206" s="52"/>
    </row>
    <row r="207" spans="4:4" ht="13" x14ac:dyDescent="0.15">
      <c r="D207" s="52"/>
    </row>
    <row r="208" spans="4:4" ht="13" x14ac:dyDescent="0.15">
      <c r="D208" s="52"/>
    </row>
    <row r="209" spans="4:4" ht="13" x14ac:dyDescent="0.15">
      <c r="D209" s="52"/>
    </row>
    <row r="210" spans="4:4" ht="13" x14ac:dyDescent="0.15">
      <c r="D210" s="52"/>
    </row>
    <row r="211" spans="4:4" ht="13" x14ac:dyDescent="0.15">
      <c r="D211" s="52"/>
    </row>
    <row r="212" spans="4:4" ht="13" x14ac:dyDescent="0.15">
      <c r="D212" s="52"/>
    </row>
    <row r="213" spans="4:4" ht="13" x14ac:dyDescent="0.15">
      <c r="D213" s="52"/>
    </row>
    <row r="214" spans="4:4" ht="13" x14ac:dyDescent="0.15">
      <c r="D214" s="52"/>
    </row>
    <row r="215" spans="4:4" ht="13" x14ac:dyDescent="0.15">
      <c r="D215" s="52"/>
    </row>
    <row r="216" spans="4:4" ht="13" x14ac:dyDescent="0.15">
      <c r="D216" s="52"/>
    </row>
    <row r="217" spans="4:4" ht="13" x14ac:dyDescent="0.15">
      <c r="D217" s="52"/>
    </row>
    <row r="218" spans="4:4" ht="13" x14ac:dyDescent="0.15">
      <c r="D218" s="52"/>
    </row>
    <row r="219" spans="4:4" ht="13" x14ac:dyDescent="0.15">
      <c r="D219" s="52"/>
    </row>
    <row r="220" spans="4:4" ht="13" x14ac:dyDescent="0.15">
      <c r="D220" s="52"/>
    </row>
    <row r="221" spans="4:4" ht="13" x14ac:dyDescent="0.15">
      <c r="D221" s="52"/>
    </row>
    <row r="222" spans="4:4" ht="13" x14ac:dyDescent="0.15">
      <c r="D222" s="52"/>
    </row>
    <row r="223" spans="4:4" ht="13" x14ac:dyDescent="0.15">
      <c r="D223" s="52"/>
    </row>
    <row r="224" spans="4:4" ht="13" x14ac:dyDescent="0.15">
      <c r="D224" s="52"/>
    </row>
    <row r="225" spans="4:4" ht="13" x14ac:dyDescent="0.15">
      <c r="D225" s="52"/>
    </row>
    <row r="226" spans="4:4" ht="13" x14ac:dyDescent="0.15">
      <c r="D226" s="52"/>
    </row>
    <row r="227" spans="4:4" ht="13" x14ac:dyDescent="0.15">
      <c r="D227" s="52"/>
    </row>
    <row r="228" spans="4:4" ht="13" x14ac:dyDescent="0.15">
      <c r="D228" s="52"/>
    </row>
    <row r="229" spans="4:4" ht="13" x14ac:dyDescent="0.15">
      <c r="D229" s="52"/>
    </row>
    <row r="230" spans="4:4" ht="13" x14ac:dyDescent="0.15">
      <c r="D230" s="52"/>
    </row>
    <row r="231" spans="4:4" ht="13" x14ac:dyDescent="0.15">
      <c r="D231" s="52"/>
    </row>
    <row r="232" spans="4:4" ht="13" x14ac:dyDescent="0.15">
      <c r="D232" s="52"/>
    </row>
    <row r="233" spans="4:4" ht="13" x14ac:dyDescent="0.15">
      <c r="D233" s="52"/>
    </row>
    <row r="234" spans="4:4" ht="13" x14ac:dyDescent="0.15">
      <c r="D234" s="52"/>
    </row>
    <row r="235" spans="4:4" ht="13" x14ac:dyDescent="0.15">
      <c r="D235" s="52"/>
    </row>
    <row r="236" spans="4:4" ht="13" x14ac:dyDescent="0.15">
      <c r="D236" s="52"/>
    </row>
    <row r="237" spans="4:4" ht="13" x14ac:dyDescent="0.15">
      <c r="D237" s="52"/>
    </row>
    <row r="238" spans="4:4" ht="13" x14ac:dyDescent="0.15">
      <c r="D238" s="52"/>
    </row>
    <row r="239" spans="4:4" ht="13" x14ac:dyDescent="0.15">
      <c r="D239" s="52"/>
    </row>
    <row r="240" spans="4:4" ht="13" x14ac:dyDescent="0.15">
      <c r="D240" s="52"/>
    </row>
    <row r="241" spans="4:4" ht="13" x14ac:dyDescent="0.15">
      <c r="D241" s="52"/>
    </row>
    <row r="242" spans="4:4" ht="13" x14ac:dyDescent="0.15">
      <c r="D242" s="52"/>
    </row>
    <row r="243" spans="4:4" ht="13" x14ac:dyDescent="0.15">
      <c r="D243" s="52"/>
    </row>
    <row r="244" spans="4:4" ht="13" x14ac:dyDescent="0.15">
      <c r="D244" s="52"/>
    </row>
    <row r="245" spans="4:4" ht="13" x14ac:dyDescent="0.15">
      <c r="D245" s="52"/>
    </row>
    <row r="246" spans="4:4" ht="13" x14ac:dyDescent="0.15">
      <c r="D246" s="52"/>
    </row>
    <row r="247" spans="4:4" ht="13" x14ac:dyDescent="0.15">
      <c r="D247" s="52"/>
    </row>
    <row r="248" spans="4:4" ht="13" x14ac:dyDescent="0.15">
      <c r="D248" s="52"/>
    </row>
    <row r="249" spans="4:4" ht="13" x14ac:dyDescent="0.15">
      <c r="D249" s="52"/>
    </row>
    <row r="250" spans="4:4" ht="13" x14ac:dyDescent="0.15">
      <c r="D250" s="52"/>
    </row>
    <row r="251" spans="4:4" ht="13" x14ac:dyDescent="0.15">
      <c r="D251" s="52"/>
    </row>
    <row r="252" spans="4:4" ht="13" x14ac:dyDescent="0.15">
      <c r="D252" s="52"/>
    </row>
    <row r="253" spans="4:4" ht="13" x14ac:dyDescent="0.15">
      <c r="D253" s="52"/>
    </row>
    <row r="254" spans="4:4" ht="13" x14ac:dyDescent="0.15">
      <c r="D254" s="52"/>
    </row>
    <row r="255" spans="4:4" ht="13" x14ac:dyDescent="0.15">
      <c r="D255" s="52"/>
    </row>
    <row r="256" spans="4:4" ht="13" x14ac:dyDescent="0.15">
      <c r="D256" s="52"/>
    </row>
    <row r="257" spans="4:4" ht="13" x14ac:dyDescent="0.15">
      <c r="D257" s="52"/>
    </row>
    <row r="258" spans="4:4" ht="13" x14ac:dyDescent="0.15">
      <c r="D258" s="52"/>
    </row>
    <row r="259" spans="4:4" ht="13" x14ac:dyDescent="0.15">
      <c r="D259" s="52"/>
    </row>
    <row r="260" spans="4:4" ht="13" x14ac:dyDescent="0.15">
      <c r="D260" s="52"/>
    </row>
    <row r="261" spans="4:4" ht="13" x14ac:dyDescent="0.15">
      <c r="D261" s="52"/>
    </row>
    <row r="262" spans="4:4" ht="13" x14ac:dyDescent="0.15">
      <c r="D262" s="52"/>
    </row>
    <row r="263" spans="4:4" ht="13" x14ac:dyDescent="0.15">
      <c r="D263" s="52"/>
    </row>
    <row r="264" spans="4:4" ht="13" x14ac:dyDescent="0.15">
      <c r="D264" s="52"/>
    </row>
    <row r="265" spans="4:4" ht="13" x14ac:dyDescent="0.15">
      <c r="D265" s="52"/>
    </row>
    <row r="266" spans="4:4" ht="13" x14ac:dyDescent="0.15">
      <c r="D266" s="52"/>
    </row>
    <row r="267" spans="4:4" ht="13" x14ac:dyDescent="0.15">
      <c r="D267" s="52"/>
    </row>
    <row r="268" spans="4:4" ht="13" x14ac:dyDescent="0.15">
      <c r="D268" s="52"/>
    </row>
    <row r="269" spans="4:4" ht="13" x14ac:dyDescent="0.15">
      <c r="D269" s="52"/>
    </row>
    <row r="270" spans="4:4" ht="13" x14ac:dyDescent="0.15">
      <c r="D270" s="52"/>
    </row>
    <row r="271" spans="4:4" ht="13" x14ac:dyDescent="0.15">
      <c r="D271" s="52"/>
    </row>
    <row r="272" spans="4:4" ht="13" x14ac:dyDescent="0.15">
      <c r="D272" s="52"/>
    </row>
    <row r="273" spans="4:4" ht="13" x14ac:dyDescent="0.15">
      <c r="D273" s="52"/>
    </row>
    <row r="274" spans="4:4" ht="13" x14ac:dyDescent="0.15">
      <c r="D274" s="52"/>
    </row>
    <row r="275" spans="4:4" ht="13" x14ac:dyDescent="0.15">
      <c r="D275" s="52"/>
    </row>
    <row r="276" spans="4:4" ht="13" x14ac:dyDescent="0.15">
      <c r="D276" s="52"/>
    </row>
    <row r="277" spans="4:4" ht="13" x14ac:dyDescent="0.15">
      <c r="D277" s="52"/>
    </row>
    <row r="278" spans="4:4" ht="13" x14ac:dyDescent="0.15">
      <c r="D278" s="52"/>
    </row>
    <row r="279" spans="4:4" ht="13" x14ac:dyDescent="0.15">
      <c r="D279" s="52"/>
    </row>
    <row r="280" spans="4:4" ht="13" x14ac:dyDescent="0.15">
      <c r="D280" s="52"/>
    </row>
    <row r="281" spans="4:4" ht="13" x14ac:dyDescent="0.15">
      <c r="D281" s="52"/>
    </row>
    <row r="282" spans="4:4" ht="13" x14ac:dyDescent="0.15">
      <c r="D282" s="52"/>
    </row>
    <row r="283" spans="4:4" ht="13" x14ac:dyDescent="0.15">
      <c r="D283" s="52"/>
    </row>
    <row r="284" spans="4:4" ht="13" x14ac:dyDescent="0.15">
      <c r="D284" s="52"/>
    </row>
    <row r="285" spans="4:4" ht="13" x14ac:dyDescent="0.15">
      <c r="D285" s="52"/>
    </row>
    <row r="286" spans="4:4" ht="13" x14ac:dyDescent="0.15">
      <c r="D286" s="52"/>
    </row>
    <row r="287" spans="4:4" ht="13" x14ac:dyDescent="0.15">
      <c r="D287" s="52"/>
    </row>
    <row r="288" spans="4:4" ht="13" x14ac:dyDescent="0.15">
      <c r="D288" s="52"/>
    </row>
    <row r="289" spans="4:4" ht="13" x14ac:dyDescent="0.15">
      <c r="D289" s="52"/>
    </row>
    <row r="290" spans="4:4" ht="13" x14ac:dyDescent="0.15">
      <c r="D290" s="52"/>
    </row>
    <row r="291" spans="4:4" ht="13" x14ac:dyDescent="0.15">
      <c r="D291" s="52"/>
    </row>
    <row r="292" spans="4:4" ht="13" x14ac:dyDescent="0.15">
      <c r="D292" s="52"/>
    </row>
    <row r="293" spans="4:4" ht="13" x14ac:dyDescent="0.15">
      <c r="D293" s="52"/>
    </row>
    <row r="294" spans="4:4" ht="13" x14ac:dyDescent="0.15">
      <c r="D294" s="52"/>
    </row>
    <row r="295" spans="4:4" ht="13" x14ac:dyDescent="0.15">
      <c r="D295" s="52"/>
    </row>
    <row r="296" spans="4:4" ht="13" x14ac:dyDescent="0.15">
      <c r="D296" s="52"/>
    </row>
    <row r="297" spans="4:4" ht="13" x14ac:dyDescent="0.15">
      <c r="D297" s="52"/>
    </row>
    <row r="298" spans="4:4" ht="13" x14ac:dyDescent="0.15">
      <c r="D298" s="52"/>
    </row>
    <row r="299" spans="4:4" ht="13" x14ac:dyDescent="0.15">
      <c r="D299" s="52"/>
    </row>
    <row r="300" spans="4:4" ht="13" x14ac:dyDescent="0.15">
      <c r="D300" s="52"/>
    </row>
    <row r="301" spans="4:4" ht="13" x14ac:dyDescent="0.15">
      <c r="D301" s="52"/>
    </row>
    <row r="302" spans="4:4" ht="13" x14ac:dyDescent="0.15">
      <c r="D302" s="52"/>
    </row>
    <row r="303" spans="4:4" ht="13" x14ac:dyDescent="0.15">
      <c r="D303" s="52"/>
    </row>
    <row r="304" spans="4:4" ht="13" x14ac:dyDescent="0.15">
      <c r="D304" s="52"/>
    </row>
    <row r="305" spans="4:4" ht="13" x14ac:dyDescent="0.15">
      <c r="D305" s="52"/>
    </row>
    <row r="306" spans="4:4" ht="13" x14ac:dyDescent="0.15">
      <c r="D306" s="52"/>
    </row>
    <row r="307" spans="4:4" ht="13" x14ac:dyDescent="0.15">
      <c r="D307" s="52"/>
    </row>
    <row r="308" spans="4:4" ht="13" x14ac:dyDescent="0.15">
      <c r="D308" s="52"/>
    </row>
    <row r="309" spans="4:4" ht="13" x14ac:dyDescent="0.15">
      <c r="D309" s="52"/>
    </row>
    <row r="310" spans="4:4" ht="13" x14ac:dyDescent="0.15">
      <c r="D310" s="52"/>
    </row>
    <row r="311" spans="4:4" ht="13" x14ac:dyDescent="0.15">
      <c r="D311" s="52"/>
    </row>
    <row r="312" spans="4:4" ht="13" x14ac:dyDescent="0.15">
      <c r="D312" s="52"/>
    </row>
    <row r="313" spans="4:4" ht="13" x14ac:dyDescent="0.15">
      <c r="D313" s="52"/>
    </row>
    <row r="314" spans="4:4" ht="13" x14ac:dyDescent="0.15">
      <c r="D314" s="52"/>
    </row>
    <row r="315" spans="4:4" ht="13" x14ac:dyDescent="0.15">
      <c r="D315" s="52"/>
    </row>
    <row r="316" spans="4:4" ht="13" x14ac:dyDescent="0.15">
      <c r="D316" s="52"/>
    </row>
    <row r="317" spans="4:4" ht="13" x14ac:dyDescent="0.15">
      <c r="D317" s="52"/>
    </row>
    <row r="318" spans="4:4" ht="13" x14ac:dyDescent="0.15">
      <c r="D318" s="52"/>
    </row>
    <row r="319" spans="4:4" ht="13" x14ac:dyDescent="0.15">
      <c r="D319" s="52"/>
    </row>
    <row r="320" spans="4:4" ht="13" x14ac:dyDescent="0.15">
      <c r="D320" s="52"/>
    </row>
    <row r="321" spans="4:4" ht="13" x14ac:dyDescent="0.15">
      <c r="D321" s="52"/>
    </row>
    <row r="322" spans="4:4" ht="13" x14ac:dyDescent="0.15">
      <c r="D322" s="52"/>
    </row>
    <row r="323" spans="4:4" ht="13" x14ac:dyDescent="0.15">
      <c r="D323" s="52"/>
    </row>
    <row r="324" spans="4:4" ht="13" x14ac:dyDescent="0.15">
      <c r="D324" s="52"/>
    </row>
    <row r="325" spans="4:4" ht="13" x14ac:dyDescent="0.15">
      <c r="D325" s="52"/>
    </row>
    <row r="326" spans="4:4" ht="13" x14ac:dyDescent="0.15">
      <c r="D326" s="52"/>
    </row>
    <row r="327" spans="4:4" ht="13" x14ac:dyDescent="0.15">
      <c r="D327" s="52"/>
    </row>
    <row r="328" spans="4:4" ht="13" x14ac:dyDescent="0.15">
      <c r="D328" s="52"/>
    </row>
    <row r="329" spans="4:4" ht="13" x14ac:dyDescent="0.15">
      <c r="D329" s="52"/>
    </row>
    <row r="330" spans="4:4" ht="13" x14ac:dyDescent="0.15">
      <c r="D330" s="52"/>
    </row>
    <row r="331" spans="4:4" ht="13" x14ac:dyDescent="0.15">
      <c r="D331" s="52"/>
    </row>
    <row r="332" spans="4:4" ht="13" x14ac:dyDescent="0.15">
      <c r="D332" s="52"/>
    </row>
    <row r="333" spans="4:4" ht="13" x14ac:dyDescent="0.15">
      <c r="D333" s="52"/>
    </row>
    <row r="334" spans="4:4" ht="13" x14ac:dyDescent="0.15">
      <c r="D334" s="52"/>
    </row>
    <row r="335" spans="4:4" ht="13" x14ac:dyDescent="0.15">
      <c r="D335" s="52"/>
    </row>
    <row r="336" spans="4:4" ht="13" x14ac:dyDescent="0.15">
      <c r="D336" s="52"/>
    </row>
    <row r="337" spans="4:4" ht="13" x14ac:dyDescent="0.15">
      <c r="D337" s="52"/>
    </row>
    <row r="338" spans="4:4" ht="13" x14ac:dyDescent="0.15">
      <c r="D338" s="52"/>
    </row>
    <row r="339" spans="4:4" ht="13" x14ac:dyDescent="0.15">
      <c r="D339" s="52"/>
    </row>
    <row r="340" spans="4:4" ht="13" x14ac:dyDescent="0.15">
      <c r="D340" s="52"/>
    </row>
    <row r="341" spans="4:4" ht="13" x14ac:dyDescent="0.15">
      <c r="D341" s="52"/>
    </row>
    <row r="342" spans="4:4" ht="13" x14ac:dyDescent="0.15">
      <c r="D342" s="52"/>
    </row>
    <row r="343" spans="4:4" ht="13" x14ac:dyDescent="0.15">
      <c r="D343" s="52"/>
    </row>
    <row r="344" spans="4:4" ht="13" x14ac:dyDescent="0.15">
      <c r="D344" s="52"/>
    </row>
    <row r="345" spans="4:4" ht="13" x14ac:dyDescent="0.15">
      <c r="D345" s="52"/>
    </row>
    <row r="346" spans="4:4" ht="13" x14ac:dyDescent="0.15">
      <c r="D346" s="52"/>
    </row>
    <row r="347" spans="4:4" ht="13" x14ac:dyDescent="0.15">
      <c r="D347" s="52"/>
    </row>
    <row r="348" spans="4:4" ht="13" x14ac:dyDescent="0.15">
      <c r="D348" s="52"/>
    </row>
    <row r="349" spans="4:4" ht="13" x14ac:dyDescent="0.15">
      <c r="D349" s="52"/>
    </row>
    <row r="350" spans="4:4" ht="13" x14ac:dyDescent="0.15">
      <c r="D350" s="52"/>
    </row>
    <row r="351" spans="4:4" ht="13" x14ac:dyDescent="0.15">
      <c r="D351" s="52"/>
    </row>
    <row r="352" spans="4:4" ht="13" x14ac:dyDescent="0.15">
      <c r="D352" s="52"/>
    </row>
    <row r="353" spans="4:4" ht="13" x14ac:dyDescent="0.15">
      <c r="D353" s="52"/>
    </row>
    <row r="354" spans="4:4" ht="13" x14ac:dyDescent="0.15">
      <c r="D354" s="52"/>
    </row>
    <row r="355" spans="4:4" ht="13" x14ac:dyDescent="0.15">
      <c r="D355" s="52"/>
    </row>
    <row r="356" spans="4:4" ht="13" x14ac:dyDescent="0.15">
      <c r="D356" s="52"/>
    </row>
    <row r="357" spans="4:4" ht="13" x14ac:dyDescent="0.15">
      <c r="D357" s="52"/>
    </row>
    <row r="358" spans="4:4" ht="13" x14ac:dyDescent="0.15">
      <c r="D358" s="52"/>
    </row>
    <row r="359" spans="4:4" ht="13" x14ac:dyDescent="0.15">
      <c r="D359" s="52"/>
    </row>
    <row r="360" spans="4:4" ht="13" x14ac:dyDescent="0.15">
      <c r="D360" s="52"/>
    </row>
    <row r="361" spans="4:4" ht="13" x14ac:dyDescent="0.15">
      <c r="D361" s="52"/>
    </row>
    <row r="362" spans="4:4" ht="13" x14ac:dyDescent="0.15">
      <c r="D362" s="52"/>
    </row>
    <row r="363" spans="4:4" ht="13" x14ac:dyDescent="0.15">
      <c r="D363" s="52"/>
    </row>
    <row r="364" spans="4:4" ht="13" x14ac:dyDescent="0.15">
      <c r="D364" s="52"/>
    </row>
    <row r="365" spans="4:4" ht="13" x14ac:dyDescent="0.15">
      <c r="D365" s="52"/>
    </row>
    <row r="366" spans="4:4" ht="13" x14ac:dyDescent="0.15">
      <c r="D366" s="52"/>
    </row>
    <row r="367" spans="4:4" ht="13" x14ac:dyDescent="0.15">
      <c r="D367" s="52"/>
    </row>
    <row r="368" spans="4:4" ht="13" x14ac:dyDescent="0.15">
      <c r="D368" s="52"/>
    </row>
    <row r="369" spans="4:4" ht="13" x14ac:dyDescent="0.15">
      <c r="D369" s="52"/>
    </row>
    <row r="370" spans="4:4" ht="13" x14ac:dyDescent="0.15">
      <c r="D370" s="52"/>
    </row>
    <row r="371" spans="4:4" ht="13" x14ac:dyDescent="0.15">
      <c r="D371" s="52"/>
    </row>
    <row r="372" spans="4:4" ht="13" x14ac:dyDescent="0.15">
      <c r="D372" s="52"/>
    </row>
    <row r="373" spans="4:4" ht="13" x14ac:dyDescent="0.15">
      <c r="D373" s="52"/>
    </row>
    <row r="374" spans="4:4" ht="13" x14ac:dyDescent="0.15">
      <c r="D374" s="52"/>
    </row>
    <row r="375" spans="4:4" ht="13" x14ac:dyDescent="0.15">
      <c r="D375" s="52"/>
    </row>
    <row r="376" spans="4:4" ht="13" x14ac:dyDescent="0.15">
      <c r="D376" s="52"/>
    </row>
    <row r="377" spans="4:4" ht="13" x14ac:dyDescent="0.15">
      <c r="D377" s="52"/>
    </row>
    <row r="378" spans="4:4" ht="13" x14ac:dyDescent="0.15">
      <c r="D378" s="52"/>
    </row>
    <row r="379" spans="4:4" ht="13" x14ac:dyDescent="0.15">
      <c r="D379" s="52"/>
    </row>
    <row r="380" spans="4:4" ht="13" x14ac:dyDescent="0.15">
      <c r="D380" s="52"/>
    </row>
    <row r="381" spans="4:4" ht="13" x14ac:dyDescent="0.15">
      <c r="D381" s="52"/>
    </row>
    <row r="382" spans="4:4" ht="13" x14ac:dyDescent="0.15">
      <c r="D382" s="52"/>
    </row>
    <row r="383" spans="4:4" ht="13" x14ac:dyDescent="0.15">
      <c r="D383" s="52"/>
    </row>
    <row r="384" spans="4:4" ht="13" x14ac:dyDescent="0.15">
      <c r="D384" s="52"/>
    </row>
    <row r="385" spans="4:4" ht="13" x14ac:dyDescent="0.15">
      <c r="D385" s="52"/>
    </row>
    <row r="386" spans="4:4" ht="13" x14ac:dyDescent="0.15">
      <c r="D386" s="52"/>
    </row>
    <row r="387" spans="4:4" ht="13" x14ac:dyDescent="0.15">
      <c r="D387" s="52"/>
    </row>
    <row r="388" spans="4:4" ht="13" x14ac:dyDescent="0.15">
      <c r="D388" s="52"/>
    </row>
    <row r="389" spans="4:4" ht="13" x14ac:dyDescent="0.15">
      <c r="D389" s="52"/>
    </row>
    <row r="390" spans="4:4" ht="13" x14ac:dyDescent="0.15">
      <c r="D390" s="52"/>
    </row>
    <row r="391" spans="4:4" ht="13" x14ac:dyDescent="0.15">
      <c r="D391" s="52"/>
    </row>
    <row r="392" spans="4:4" ht="13" x14ac:dyDescent="0.15">
      <c r="D392" s="52"/>
    </row>
    <row r="393" spans="4:4" ht="13" x14ac:dyDescent="0.15">
      <c r="D393" s="52"/>
    </row>
    <row r="394" spans="4:4" ht="13" x14ac:dyDescent="0.15">
      <c r="D394" s="52"/>
    </row>
    <row r="395" spans="4:4" ht="13" x14ac:dyDescent="0.15">
      <c r="D395" s="52"/>
    </row>
    <row r="396" spans="4:4" ht="13" x14ac:dyDescent="0.15">
      <c r="D396" s="52"/>
    </row>
    <row r="397" spans="4:4" ht="13" x14ac:dyDescent="0.15">
      <c r="D397" s="52"/>
    </row>
    <row r="398" spans="4:4" ht="13" x14ac:dyDescent="0.15">
      <c r="D398" s="52"/>
    </row>
    <row r="399" spans="4:4" ht="13" x14ac:dyDescent="0.15">
      <c r="D399" s="52"/>
    </row>
    <row r="400" spans="4:4" ht="13" x14ac:dyDescent="0.15">
      <c r="D400" s="52"/>
    </row>
    <row r="401" spans="4:4" ht="13" x14ac:dyDescent="0.15">
      <c r="D401" s="52"/>
    </row>
    <row r="402" spans="4:4" ht="13" x14ac:dyDescent="0.15">
      <c r="D402" s="52"/>
    </row>
    <row r="403" spans="4:4" ht="13" x14ac:dyDescent="0.15">
      <c r="D403" s="52"/>
    </row>
    <row r="404" spans="4:4" ht="13" x14ac:dyDescent="0.15">
      <c r="D404" s="52"/>
    </row>
    <row r="405" spans="4:4" ht="13" x14ac:dyDescent="0.15">
      <c r="D405" s="52"/>
    </row>
    <row r="406" spans="4:4" ht="13" x14ac:dyDescent="0.15">
      <c r="D406" s="52"/>
    </row>
    <row r="407" spans="4:4" ht="13" x14ac:dyDescent="0.15">
      <c r="D407" s="52"/>
    </row>
    <row r="408" spans="4:4" ht="13" x14ac:dyDescent="0.15">
      <c r="D408" s="52"/>
    </row>
    <row r="409" spans="4:4" ht="13" x14ac:dyDescent="0.15">
      <c r="D409" s="52"/>
    </row>
    <row r="410" spans="4:4" ht="13" x14ac:dyDescent="0.15">
      <c r="D410" s="52"/>
    </row>
    <row r="411" spans="4:4" ht="13" x14ac:dyDescent="0.15">
      <c r="D411" s="52"/>
    </row>
    <row r="412" spans="4:4" ht="13" x14ac:dyDescent="0.15">
      <c r="D412" s="52"/>
    </row>
    <row r="413" spans="4:4" ht="13" x14ac:dyDescent="0.15">
      <c r="D413" s="52"/>
    </row>
    <row r="414" spans="4:4" ht="13" x14ac:dyDescent="0.15">
      <c r="D414" s="52"/>
    </row>
    <row r="415" spans="4:4" ht="13" x14ac:dyDescent="0.15">
      <c r="D415" s="52"/>
    </row>
    <row r="416" spans="4:4" ht="13" x14ac:dyDescent="0.15">
      <c r="D416" s="52"/>
    </row>
    <row r="417" spans="4:4" ht="13" x14ac:dyDescent="0.15">
      <c r="D417" s="52"/>
    </row>
    <row r="418" spans="4:4" ht="13" x14ac:dyDescent="0.15">
      <c r="D418" s="52"/>
    </row>
    <row r="419" spans="4:4" ht="13" x14ac:dyDescent="0.15">
      <c r="D419" s="52"/>
    </row>
    <row r="420" spans="4:4" ht="13" x14ac:dyDescent="0.15">
      <c r="D420" s="52"/>
    </row>
    <row r="421" spans="4:4" ht="13" x14ac:dyDescent="0.15">
      <c r="D421" s="52"/>
    </row>
    <row r="422" spans="4:4" ht="13" x14ac:dyDescent="0.15">
      <c r="D422" s="52"/>
    </row>
    <row r="423" spans="4:4" ht="13" x14ac:dyDescent="0.15">
      <c r="D423" s="52"/>
    </row>
    <row r="424" spans="4:4" ht="13" x14ac:dyDescent="0.15">
      <c r="D424" s="52"/>
    </row>
    <row r="425" spans="4:4" ht="13" x14ac:dyDescent="0.15">
      <c r="D425" s="52"/>
    </row>
    <row r="426" spans="4:4" ht="13" x14ac:dyDescent="0.15">
      <c r="D426" s="52"/>
    </row>
    <row r="427" spans="4:4" ht="13" x14ac:dyDescent="0.15">
      <c r="D427" s="52"/>
    </row>
    <row r="428" spans="4:4" ht="13" x14ac:dyDescent="0.15">
      <c r="D428" s="52"/>
    </row>
    <row r="429" spans="4:4" ht="13" x14ac:dyDescent="0.15">
      <c r="D429" s="52"/>
    </row>
    <row r="430" spans="4:4" ht="13" x14ac:dyDescent="0.15">
      <c r="D430" s="52"/>
    </row>
    <row r="431" spans="4:4" ht="13" x14ac:dyDescent="0.15">
      <c r="D431" s="52"/>
    </row>
    <row r="432" spans="4:4" ht="13" x14ac:dyDescent="0.15">
      <c r="D432" s="52"/>
    </row>
    <row r="433" spans="4:4" ht="13" x14ac:dyDescent="0.15">
      <c r="D433" s="52"/>
    </row>
    <row r="434" spans="4:4" ht="13" x14ac:dyDescent="0.15">
      <c r="D434" s="52"/>
    </row>
    <row r="435" spans="4:4" ht="13" x14ac:dyDescent="0.15">
      <c r="D435" s="52"/>
    </row>
    <row r="436" spans="4:4" ht="13" x14ac:dyDescent="0.15">
      <c r="D436" s="52"/>
    </row>
    <row r="437" spans="4:4" ht="13" x14ac:dyDescent="0.15">
      <c r="D437" s="52"/>
    </row>
    <row r="438" spans="4:4" ht="13" x14ac:dyDescent="0.15">
      <c r="D438" s="52"/>
    </row>
    <row r="439" spans="4:4" ht="13" x14ac:dyDescent="0.15">
      <c r="D439" s="52"/>
    </row>
    <row r="440" spans="4:4" ht="13" x14ac:dyDescent="0.15">
      <c r="D440" s="52"/>
    </row>
    <row r="441" spans="4:4" ht="13" x14ac:dyDescent="0.15">
      <c r="D441" s="52"/>
    </row>
    <row r="442" spans="4:4" ht="13" x14ac:dyDescent="0.15">
      <c r="D442" s="52"/>
    </row>
    <row r="443" spans="4:4" ht="13" x14ac:dyDescent="0.15">
      <c r="D443" s="52"/>
    </row>
    <row r="444" spans="4:4" ht="13" x14ac:dyDescent="0.15">
      <c r="D444" s="52"/>
    </row>
    <row r="445" spans="4:4" ht="13" x14ac:dyDescent="0.15">
      <c r="D445" s="52"/>
    </row>
    <row r="446" spans="4:4" ht="13" x14ac:dyDescent="0.15">
      <c r="D446" s="52"/>
    </row>
    <row r="447" spans="4:4" ht="13" x14ac:dyDescent="0.15">
      <c r="D447" s="52"/>
    </row>
    <row r="448" spans="4:4" ht="13" x14ac:dyDescent="0.15">
      <c r="D448" s="52"/>
    </row>
    <row r="449" spans="4:4" ht="13" x14ac:dyDescent="0.15">
      <c r="D449" s="52"/>
    </row>
    <row r="450" spans="4:4" ht="13" x14ac:dyDescent="0.15">
      <c r="D450" s="52"/>
    </row>
    <row r="451" spans="4:4" ht="13" x14ac:dyDescent="0.15">
      <c r="D451" s="52"/>
    </row>
    <row r="452" spans="4:4" ht="13" x14ac:dyDescent="0.15">
      <c r="D452" s="52"/>
    </row>
    <row r="453" spans="4:4" ht="13" x14ac:dyDescent="0.15">
      <c r="D453" s="52"/>
    </row>
    <row r="454" spans="4:4" ht="13" x14ac:dyDescent="0.15">
      <c r="D454" s="52"/>
    </row>
    <row r="455" spans="4:4" ht="13" x14ac:dyDescent="0.15">
      <c r="D455" s="52"/>
    </row>
    <row r="456" spans="4:4" ht="13" x14ac:dyDescent="0.15">
      <c r="D456" s="52"/>
    </row>
    <row r="457" spans="4:4" ht="13" x14ac:dyDescent="0.15">
      <c r="D457" s="52"/>
    </row>
    <row r="458" spans="4:4" ht="13" x14ac:dyDescent="0.15">
      <c r="D458" s="52"/>
    </row>
    <row r="459" spans="4:4" ht="13" x14ac:dyDescent="0.15">
      <c r="D459" s="52"/>
    </row>
    <row r="460" spans="4:4" ht="13" x14ac:dyDescent="0.15">
      <c r="D460" s="52"/>
    </row>
    <row r="461" spans="4:4" ht="13" x14ac:dyDescent="0.15">
      <c r="D461" s="52"/>
    </row>
    <row r="462" spans="4:4" ht="13" x14ac:dyDescent="0.15">
      <c r="D462" s="52"/>
    </row>
    <row r="463" spans="4:4" ht="13" x14ac:dyDescent="0.15">
      <c r="D463" s="52"/>
    </row>
    <row r="464" spans="4:4" ht="13" x14ac:dyDescent="0.15">
      <c r="D464" s="52"/>
    </row>
    <row r="465" spans="4:4" ht="13" x14ac:dyDescent="0.15">
      <c r="D465" s="52"/>
    </row>
    <row r="466" spans="4:4" ht="13" x14ac:dyDescent="0.15">
      <c r="D466" s="52"/>
    </row>
    <row r="467" spans="4:4" ht="13" x14ac:dyDescent="0.15">
      <c r="D467" s="52"/>
    </row>
    <row r="468" spans="4:4" ht="13" x14ac:dyDescent="0.15">
      <c r="D468" s="52"/>
    </row>
    <row r="469" spans="4:4" ht="13" x14ac:dyDescent="0.15">
      <c r="D469" s="52"/>
    </row>
    <row r="470" spans="4:4" ht="13" x14ac:dyDescent="0.15">
      <c r="D470" s="52"/>
    </row>
    <row r="471" spans="4:4" ht="13" x14ac:dyDescent="0.15">
      <c r="D471" s="52"/>
    </row>
    <row r="472" spans="4:4" ht="13" x14ac:dyDescent="0.15">
      <c r="D472" s="52"/>
    </row>
    <row r="473" spans="4:4" ht="13" x14ac:dyDescent="0.15">
      <c r="D473" s="52"/>
    </row>
    <row r="474" spans="4:4" ht="13" x14ac:dyDescent="0.15">
      <c r="D474" s="52"/>
    </row>
    <row r="475" spans="4:4" ht="13" x14ac:dyDescent="0.15">
      <c r="D475" s="52"/>
    </row>
    <row r="476" spans="4:4" ht="13" x14ac:dyDescent="0.15">
      <c r="D476" s="52"/>
    </row>
    <row r="477" spans="4:4" ht="13" x14ac:dyDescent="0.15">
      <c r="D477" s="52"/>
    </row>
    <row r="478" spans="4:4" ht="13" x14ac:dyDescent="0.15">
      <c r="D478" s="52"/>
    </row>
    <row r="479" spans="4:4" ht="13" x14ac:dyDescent="0.15">
      <c r="D479" s="52"/>
    </row>
    <row r="480" spans="4:4" ht="13" x14ac:dyDescent="0.15">
      <c r="D480" s="52"/>
    </row>
    <row r="481" spans="4:4" ht="13" x14ac:dyDescent="0.15">
      <c r="D481" s="52"/>
    </row>
    <row r="482" spans="4:4" ht="13" x14ac:dyDescent="0.15">
      <c r="D482" s="52"/>
    </row>
    <row r="483" spans="4:4" ht="13" x14ac:dyDescent="0.15">
      <c r="D483" s="52"/>
    </row>
    <row r="484" spans="4:4" ht="13" x14ac:dyDescent="0.15">
      <c r="D484" s="52"/>
    </row>
    <row r="485" spans="4:4" ht="13" x14ac:dyDescent="0.15">
      <c r="D485" s="52"/>
    </row>
    <row r="486" spans="4:4" ht="13" x14ac:dyDescent="0.15">
      <c r="D486" s="52"/>
    </row>
    <row r="487" spans="4:4" ht="13" x14ac:dyDescent="0.15">
      <c r="D487" s="52"/>
    </row>
    <row r="488" spans="4:4" ht="13" x14ac:dyDescent="0.15">
      <c r="D488" s="52"/>
    </row>
    <row r="489" spans="4:4" ht="13" x14ac:dyDescent="0.15">
      <c r="D489" s="52"/>
    </row>
    <row r="490" spans="4:4" ht="13" x14ac:dyDescent="0.15">
      <c r="D490" s="52"/>
    </row>
    <row r="491" spans="4:4" ht="13" x14ac:dyDescent="0.15">
      <c r="D491" s="52"/>
    </row>
    <row r="492" spans="4:4" ht="13" x14ac:dyDescent="0.15">
      <c r="D492" s="52"/>
    </row>
    <row r="493" spans="4:4" ht="13" x14ac:dyDescent="0.15">
      <c r="D493" s="52"/>
    </row>
    <row r="494" spans="4:4" ht="13" x14ac:dyDescent="0.15">
      <c r="D494" s="52"/>
    </row>
    <row r="495" spans="4:4" ht="13" x14ac:dyDescent="0.15">
      <c r="D495" s="52"/>
    </row>
    <row r="496" spans="4:4" ht="13" x14ac:dyDescent="0.15">
      <c r="D496" s="52"/>
    </row>
    <row r="497" spans="4:4" ht="13" x14ac:dyDescent="0.15">
      <c r="D497" s="52"/>
    </row>
    <row r="498" spans="4:4" ht="13" x14ac:dyDescent="0.15">
      <c r="D498" s="52"/>
    </row>
    <row r="499" spans="4:4" ht="13" x14ac:dyDescent="0.15">
      <c r="D499" s="52"/>
    </row>
    <row r="500" spans="4:4" ht="13" x14ac:dyDescent="0.15">
      <c r="D500" s="52"/>
    </row>
    <row r="501" spans="4:4" ht="13" x14ac:dyDescent="0.15">
      <c r="D501" s="52"/>
    </row>
    <row r="502" spans="4:4" ht="13" x14ac:dyDescent="0.15">
      <c r="D502" s="52"/>
    </row>
    <row r="503" spans="4:4" ht="13" x14ac:dyDescent="0.15">
      <c r="D503" s="52"/>
    </row>
    <row r="504" spans="4:4" ht="13" x14ac:dyDescent="0.15">
      <c r="D504" s="52"/>
    </row>
    <row r="505" spans="4:4" ht="13" x14ac:dyDescent="0.15">
      <c r="D505" s="52"/>
    </row>
    <row r="506" spans="4:4" ht="13" x14ac:dyDescent="0.15">
      <c r="D506" s="52"/>
    </row>
    <row r="507" spans="4:4" ht="13" x14ac:dyDescent="0.15">
      <c r="D507" s="52"/>
    </row>
    <row r="508" spans="4:4" ht="13" x14ac:dyDescent="0.15">
      <c r="D508" s="52"/>
    </row>
    <row r="509" spans="4:4" ht="13" x14ac:dyDescent="0.15">
      <c r="D509" s="52"/>
    </row>
    <row r="510" spans="4:4" ht="13" x14ac:dyDescent="0.15">
      <c r="D510" s="52"/>
    </row>
    <row r="511" spans="4:4" ht="13" x14ac:dyDescent="0.15">
      <c r="D511" s="52"/>
    </row>
    <row r="512" spans="4:4" ht="13" x14ac:dyDescent="0.15">
      <c r="D512" s="52"/>
    </row>
    <row r="513" spans="4:4" ht="13" x14ac:dyDescent="0.15">
      <c r="D513" s="52"/>
    </row>
    <row r="514" spans="4:4" ht="13" x14ac:dyDescent="0.15">
      <c r="D514" s="52"/>
    </row>
    <row r="515" spans="4:4" ht="13" x14ac:dyDescent="0.15">
      <c r="D515" s="52"/>
    </row>
    <row r="516" spans="4:4" ht="13" x14ac:dyDescent="0.15">
      <c r="D516" s="52"/>
    </row>
    <row r="517" spans="4:4" ht="13" x14ac:dyDescent="0.15">
      <c r="D517" s="52"/>
    </row>
    <row r="518" spans="4:4" ht="13" x14ac:dyDescent="0.15">
      <c r="D518" s="52"/>
    </row>
    <row r="519" spans="4:4" ht="13" x14ac:dyDescent="0.15">
      <c r="D519" s="52"/>
    </row>
    <row r="520" spans="4:4" ht="13" x14ac:dyDescent="0.15">
      <c r="D520" s="52"/>
    </row>
    <row r="521" spans="4:4" ht="13" x14ac:dyDescent="0.15">
      <c r="D521" s="52"/>
    </row>
    <row r="522" spans="4:4" ht="13" x14ac:dyDescent="0.15">
      <c r="D522" s="52"/>
    </row>
    <row r="523" spans="4:4" ht="13" x14ac:dyDescent="0.15">
      <c r="D523" s="52"/>
    </row>
    <row r="524" spans="4:4" ht="13" x14ac:dyDescent="0.15">
      <c r="D524" s="52"/>
    </row>
    <row r="525" spans="4:4" ht="13" x14ac:dyDescent="0.15">
      <c r="D525" s="52"/>
    </row>
    <row r="526" spans="4:4" ht="13" x14ac:dyDescent="0.15">
      <c r="D526" s="52"/>
    </row>
    <row r="527" spans="4:4" ht="13" x14ac:dyDescent="0.15">
      <c r="D527" s="52"/>
    </row>
    <row r="528" spans="4:4" ht="13" x14ac:dyDescent="0.15">
      <c r="D528" s="52"/>
    </row>
    <row r="529" spans="4:4" ht="13" x14ac:dyDescent="0.15">
      <c r="D529" s="52"/>
    </row>
    <row r="530" spans="4:4" ht="13" x14ac:dyDescent="0.15">
      <c r="D530" s="52"/>
    </row>
    <row r="531" spans="4:4" ht="13" x14ac:dyDescent="0.15">
      <c r="D531" s="52"/>
    </row>
    <row r="532" spans="4:4" ht="13" x14ac:dyDescent="0.15">
      <c r="D532" s="52"/>
    </row>
    <row r="533" spans="4:4" ht="13" x14ac:dyDescent="0.15">
      <c r="D533" s="52"/>
    </row>
    <row r="534" spans="4:4" ht="13" x14ac:dyDescent="0.15">
      <c r="D534" s="52"/>
    </row>
    <row r="535" spans="4:4" ht="13" x14ac:dyDescent="0.15">
      <c r="D535" s="52"/>
    </row>
    <row r="536" spans="4:4" ht="13" x14ac:dyDescent="0.15">
      <c r="D536" s="52"/>
    </row>
    <row r="537" spans="4:4" ht="13" x14ac:dyDescent="0.15">
      <c r="D537" s="52"/>
    </row>
    <row r="538" spans="4:4" ht="13" x14ac:dyDescent="0.15">
      <c r="D538" s="52"/>
    </row>
    <row r="539" spans="4:4" ht="13" x14ac:dyDescent="0.15">
      <c r="D539" s="52"/>
    </row>
    <row r="540" spans="4:4" ht="13" x14ac:dyDescent="0.15">
      <c r="D540" s="52"/>
    </row>
    <row r="541" spans="4:4" ht="13" x14ac:dyDescent="0.15">
      <c r="D541" s="52"/>
    </row>
    <row r="542" spans="4:4" ht="13" x14ac:dyDescent="0.15">
      <c r="D542" s="52"/>
    </row>
    <row r="543" spans="4:4" ht="13" x14ac:dyDescent="0.15">
      <c r="D543" s="52"/>
    </row>
    <row r="544" spans="4:4" ht="13" x14ac:dyDescent="0.15">
      <c r="D544" s="52"/>
    </row>
    <row r="545" spans="4:4" ht="13" x14ac:dyDescent="0.15">
      <c r="D545" s="52"/>
    </row>
    <row r="546" spans="4:4" ht="13" x14ac:dyDescent="0.15">
      <c r="D546" s="52"/>
    </row>
    <row r="547" spans="4:4" ht="13" x14ac:dyDescent="0.15">
      <c r="D547" s="52"/>
    </row>
    <row r="548" spans="4:4" ht="13" x14ac:dyDescent="0.15">
      <c r="D548" s="52"/>
    </row>
    <row r="549" spans="4:4" ht="13" x14ac:dyDescent="0.15">
      <c r="D549" s="52"/>
    </row>
    <row r="550" spans="4:4" ht="13" x14ac:dyDescent="0.15">
      <c r="D550" s="52"/>
    </row>
    <row r="551" spans="4:4" ht="13" x14ac:dyDescent="0.15">
      <c r="D551" s="52"/>
    </row>
    <row r="552" spans="4:4" ht="13" x14ac:dyDescent="0.15">
      <c r="D552" s="52"/>
    </row>
    <row r="553" spans="4:4" ht="13" x14ac:dyDescent="0.15">
      <c r="D553" s="52"/>
    </row>
    <row r="554" spans="4:4" ht="13" x14ac:dyDescent="0.15">
      <c r="D554" s="52"/>
    </row>
    <row r="555" spans="4:4" ht="13" x14ac:dyDescent="0.15">
      <c r="D555" s="52"/>
    </row>
    <row r="556" spans="4:4" ht="13" x14ac:dyDescent="0.15">
      <c r="D556" s="52"/>
    </row>
    <row r="557" spans="4:4" ht="13" x14ac:dyDescent="0.15">
      <c r="D557" s="52"/>
    </row>
    <row r="558" spans="4:4" ht="13" x14ac:dyDescent="0.15">
      <c r="D558" s="52"/>
    </row>
    <row r="559" spans="4:4" ht="13" x14ac:dyDescent="0.15">
      <c r="D559" s="52"/>
    </row>
    <row r="560" spans="4:4" ht="13" x14ac:dyDescent="0.15">
      <c r="D560" s="52"/>
    </row>
    <row r="561" spans="4:4" ht="13" x14ac:dyDescent="0.15">
      <c r="D561" s="52"/>
    </row>
    <row r="562" spans="4:4" ht="13" x14ac:dyDescent="0.15">
      <c r="D562" s="52"/>
    </row>
    <row r="563" spans="4:4" ht="13" x14ac:dyDescent="0.15">
      <c r="D563" s="52"/>
    </row>
    <row r="564" spans="4:4" ht="13" x14ac:dyDescent="0.15">
      <c r="D564" s="52"/>
    </row>
    <row r="565" spans="4:4" ht="13" x14ac:dyDescent="0.15">
      <c r="D565" s="52"/>
    </row>
    <row r="566" spans="4:4" ht="13" x14ac:dyDescent="0.15">
      <c r="D566" s="52"/>
    </row>
    <row r="567" spans="4:4" ht="13" x14ac:dyDescent="0.15">
      <c r="D567" s="52"/>
    </row>
    <row r="568" spans="4:4" ht="13" x14ac:dyDescent="0.15">
      <c r="D568" s="52"/>
    </row>
    <row r="569" spans="4:4" ht="13" x14ac:dyDescent="0.15">
      <c r="D569" s="52"/>
    </row>
    <row r="570" spans="4:4" ht="13" x14ac:dyDescent="0.15">
      <c r="D570" s="52"/>
    </row>
    <row r="571" spans="4:4" ht="13" x14ac:dyDescent="0.15">
      <c r="D571" s="52"/>
    </row>
    <row r="572" spans="4:4" ht="13" x14ac:dyDescent="0.15">
      <c r="D572" s="52"/>
    </row>
    <row r="573" spans="4:4" ht="13" x14ac:dyDescent="0.15">
      <c r="D573" s="52"/>
    </row>
    <row r="574" spans="4:4" ht="13" x14ac:dyDescent="0.15">
      <c r="D574" s="52"/>
    </row>
    <row r="575" spans="4:4" ht="13" x14ac:dyDescent="0.15">
      <c r="D575" s="52"/>
    </row>
    <row r="576" spans="4:4" ht="13" x14ac:dyDescent="0.15">
      <c r="D576" s="52"/>
    </row>
    <row r="577" spans="4:4" ht="13" x14ac:dyDescent="0.15">
      <c r="D577" s="52"/>
    </row>
    <row r="578" spans="4:4" ht="13" x14ac:dyDescent="0.15">
      <c r="D578" s="52"/>
    </row>
    <row r="579" spans="4:4" ht="13" x14ac:dyDescent="0.15">
      <c r="D579" s="52"/>
    </row>
    <row r="580" spans="4:4" ht="13" x14ac:dyDescent="0.15">
      <c r="D580" s="52"/>
    </row>
    <row r="581" spans="4:4" ht="13" x14ac:dyDescent="0.15">
      <c r="D581" s="52"/>
    </row>
    <row r="582" spans="4:4" ht="13" x14ac:dyDescent="0.15">
      <c r="D582" s="52"/>
    </row>
    <row r="583" spans="4:4" ht="13" x14ac:dyDescent="0.15">
      <c r="D583" s="52"/>
    </row>
    <row r="584" spans="4:4" ht="13" x14ac:dyDescent="0.15">
      <c r="D584" s="52"/>
    </row>
    <row r="585" spans="4:4" ht="13" x14ac:dyDescent="0.15">
      <c r="D585" s="52"/>
    </row>
    <row r="586" spans="4:4" ht="13" x14ac:dyDescent="0.15">
      <c r="D586" s="52"/>
    </row>
    <row r="587" spans="4:4" ht="13" x14ac:dyDescent="0.15">
      <c r="D587" s="52"/>
    </row>
    <row r="588" spans="4:4" ht="13" x14ac:dyDescent="0.15">
      <c r="D588" s="52"/>
    </row>
    <row r="589" spans="4:4" ht="13" x14ac:dyDescent="0.15">
      <c r="D589" s="52"/>
    </row>
    <row r="590" spans="4:4" ht="13" x14ac:dyDescent="0.15">
      <c r="D590" s="52"/>
    </row>
    <row r="591" spans="4:4" ht="13" x14ac:dyDescent="0.15">
      <c r="D591" s="52"/>
    </row>
    <row r="592" spans="4:4" ht="13" x14ac:dyDescent="0.15">
      <c r="D592" s="52"/>
    </row>
    <row r="593" spans="4:4" ht="13" x14ac:dyDescent="0.15">
      <c r="D593" s="52"/>
    </row>
    <row r="594" spans="4:4" ht="13" x14ac:dyDescent="0.15">
      <c r="D594" s="52"/>
    </row>
    <row r="595" spans="4:4" ht="13" x14ac:dyDescent="0.15">
      <c r="D595" s="52"/>
    </row>
    <row r="596" spans="4:4" ht="13" x14ac:dyDescent="0.15">
      <c r="D596" s="52"/>
    </row>
    <row r="597" spans="4:4" ht="13" x14ac:dyDescent="0.15">
      <c r="D597" s="52"/>
    </row>
    <row r="598" spans="4:4" ht="13" x14ac:dyDescent="0.15">
      <c r="D598" s="52"/>
    </row>
    <row r="599" spans="4:4" ht="13" x14ac:dyDescent="0.15">
      <c r="D599" s="52"/>
    </row>
    <row r="600" spans="4:4" ht="13" x14ac:dyDescent="0.15">
      <c r="D600" s="52"/>
    </row>
    <row r="601" spans="4:4" ht="13" x14ac:dyDescent="0.15">
      <c r="D601" s="52"/>
    </row>
    <row r="602" spans="4:4" ht="13" x14ac:dyDescent="0.15">
      <c r="D602" s="52"/>
    </row>
    <row r="603" spans="4:4" ht="13" x14ac:dyDescent="0.15">
      <c r="D603" s="52"/>
    </row>
    <row r="604" spans="4:4" ht="13" x14ac:dyDescent="0.15">
      <c r="D604" s="52"/>
    </row>
    <row r="605" spans="4:4" ht="13" x14ac:dyDescent="0.15">
      <c r="D605" s="52"/>
    </row>
    <row r="606" spans="4:4" ht="13" x14ac:dyDescent="0.15">
      <c r="D606" s="52"/>
    </row>
    <row r="607" spans="4:4" ht="13" x14ac:dyDescent="0.15">
      <c r="D607" s="52"/>
    </row>
    <row r="608" spans="4:4" ht="13" x14ac:dyDescent="0.15">
      <c r="D608" s="52"/>
    </row>
    <row r="609" spans="4:4" ht="13" x14ac:dyDescent="0.15">
      <c r="D609" s="52"/>
    </row>
    <row r="610" spans="4:4" ht="13" x14ac:dyDescent="0.15">
      <c r="D610" s="52"/>
    </row>
    <row r="611" spans="4:4" ht="13" x14ac:dyDescent="0.15">
      <c r="D611" s="52"/>
    </row>
    <row r="612" spans="4:4" ht="13" x14ac:dyDescent="0.15">
      <c r="D612" s="52"/>
    </row>
    <row r="613" spans="4:4" ht="13" x14ac:dyDescent="0.15">
      <c r="D613" s="52"/>
    </row>
    <row r="614" spans="4:4" ht="13" x14ac:dyDescent="0.15">
      <c r="D614" s="52"/>
    </row>
    <row r="615" spans="4:4" ht="13" x14ac:dyDescent="0.15">
      <c r="D615" s="52"/>
    </row>
    <row r="616" spans="4:4" ht="13" x14ac:dyDescent="0.15">
      <c r="D616" s="52"/>
    </row>
    <row r="617" spans="4:4" ht="13" x14ac:dyDescent="0.15">
      <c r="D617" s="52"/>
    </row>
    <row r="618" spans="4:4" ht="13" x14ac:dyDescent="0.15">
      <c r="D618" s="52"/>
    </row>
    <row r="619" spans="4:4" ht="13" x14ac:dyDescent="0.15">
      <c r="D619" s="52"/>
    </row>
    <row r="620" spans="4:4" ht="13" x14ac:dyDescent="0.15">
      <c r="D620" s="52"/>
    </row>
    <row r="621" spans="4:4" ht="13" x14ac:dyDescent="0.15">
      <c r="D621" s="52"/>
    </row>
    <row r="622" spans="4:4" ht="13" x14ac:dyDescent="0.15">
      <c r="D622" s="52"/>
    </row>
    <row r="623" spans="4:4" ht="13" x14ac:dyDescent="0.15">
      <c r="D623" s="52"/>
    </row>
    <row r="624" spans="4:4" ht="13" x14ac:dyDescent="0.15">
      <c r="D624" s="52"/>
    </row>
    <row r="625" spans="4:4" ht="13" x14ac:dyDescent="0.15">
      <c r="D625" s="52"/>
    </row>
    <row r="626" spans="4:4" ht="13" x14ac:dyDescent="0.15">
      <c r="D626" s="52"/>
    </row>
    <row r="627" spans="4:4" ht="13" x14ac:dyDescent="0.15">
      <c r="D627" s="52"/>
    </row>
    <row r="628" spans="4:4" ht="13" x14ac:dyDescent="0.15">
      <c r="D628" s="52"/>
    </row>
    <row r="629" spans="4:4" ht="13" x14ac:dyDescent="0.15">
      <c r="D629" s="52"/>
    </row>
    <row r="630" spans="4:4" ht="13" x14ac:dyDescent="0.15">
      <c r="D630" s="52"/>
    </row>
    <row r="631" spans="4:4" ht="13" x14ac:dyDescent="0.15">
      <c r="D631" s="52"/>
    </row>
    <row r="632" spans="4:4" ht="13" x14ac:dyDescent="0.15">
      <c r="D632" s="52"/>
    </row>
    <row r="633" spans="4:4" ht="13" x14ac:dyDescent="0.15">
      <c r="D633" s="52"/>
    </row>
    <row r="634" spans="4:4" ht="13" x14ac:dyDescent="0.15">
      <c r="D634" s="52"/>
    </row>
    <row r="635" spans="4:4" ht="13" x14ac:dyDescent="0.15">
      <c r="D635" s="52"/>
    </row>
    <row r="636" spans="4:4" ht="13" x14ac:dyDescent="0.15">
      <c r="D636" s="52"/>
    </row>
    <row r="637" spans="4:4" ht="13" x14ac:dyDescent="0.15">
      <c r="D637" s="52"/>
    </row>
    <row r="638" spans="4:4" ht="13" x14ac:dyDescent="0.15">
      <c r="D638" s="52"/>
    </row>
    <row r="639" spans="4:4" ht="13" x14ac:dyDescent="0.15">
      <c r="D639" s="52"/>
    </row>
    <row r="640" spans="4:4" ht="13" x14ac:dyDescent="0.15">
      <c r="D640" s="52"/>
    </row>
    <row r="641" spans="4:4" ht="13" x14ac:dyDescent="0.15">
      <c r="D641" s="52"/>
    </row>
    <row r="642" spans="4:4" ht="13" x14ac:dyDescent="0.15">
      <c r="D642" s="52"/>
    </row>
    <row r="643" spans="4:4" ht="13" x14ac:dyDescent="0.15">
      <c r="D643" s="52"/>
    </row>
    <row r="644" spans="4:4" ht="13" x14ac:dyDescent="0.15">
      <c r="D644" s="52"/>
    </row>
    <row r="645" spans="4:4" ht="13" x14ac:dyDescent="0.15">
      <c r="D645" s="52"/>
    </row>
    <row r="646" spans="4:4" ht="13" x14ac:dyDescent="0.15">
      <c r="D646" s="52"/>
    </row>
    <row r="647" spans="4:4" ht="13" x14ac:dyDescent="0.15">
      <c r="D647" s="52"/>
    </row>
    <row r="648" spans="4:4" ht="13" x14ac:dyDescent="0.15">
      <c r="D648" s="52"/>
    </row>
    <row r="649" spans="4:4" ht="13" x14ac:dyDescent="0.15">
      <c r="D649" s="52"/>
    </row>
    <row r="650" spans="4:4" ht="13" x14ac:dyDescent="0.15">
      <c r="D650" s="52"/>
    </row>
    <row r="651" spans="4:4" ht="13" x14ac:dyDescent="0.15">
      <c r="D651" s="52"/>
    </row>
    <row r="652" spans="4:4" ht="13" x14ac:dyDescent="0.15">
      <c r="D652" s="52"/>
    </row>
    <row r="653" spans="4:4" ht="13" x14ac:dyDescent="0.15">
      <c r="D653" s="52"/>
    </row>
    <row r="654" spans="4:4" ht="13" x14ac:dyDescent="0.15">
      <c r="D654" s="52"/>
    </row>
    <row r="655" spans="4:4" ht="13" x14ac:dyDescent="0.15">
      <c r="D655" s="52"/>
    </row>
    <row r="656" spans="4:4" ht="13" x14ac:dyDescent="0.15">
      <c r="D656" s="52"/>
    </row>
    <row r="657" spans="4:4" ht="13" x14ac:dyDescent="0.15">
      <c r="D657" s="52"/>
    </row>
    <row r="658" spans="4:4" ht="13" x14ac:dyDescent="0.15">
      <c r="D658" s="52"/>
    </row>
    <row r="659" spans="4:4" ht="13" x14ac:dyDescent="0.15">
      <c r="D659" s="52"/>
    </row>
    <row r="660" spans="4:4" ht="13" x14ac:dyDescent="0.15">
      <c r="D660" s="52"/>
    </row>
    <row r="661" spans="4:4" ht="13" x14ac:dyDescent="0.15">
      <c r="D661" s="52"/>
    </row>
    <row r="662" spans="4:4" ht="13" x14ac:dyDescent="0.15">
      <c r="D662" s="52"/>
    </row>
    <row r="663" spans="4:4" ht="13" x14ac:dyDescent="0.15">
      <c r="D663" s="52"/>
    </row>
    <row r="664" spans="4:4" ht="13" x14ac:dyDescent="0.15">
      <c r="D664" s="52"/>
    </row>
    <row r="665" spans="4:4" ht="13" x14ac:dyDescent="0.15">
      <c r="D665" s="52"/>
    </row>
    <row r="666" spans="4:4" ht="13" x14ac:dyDescent="0.15">
      <c r="D666" s="52"/>
    </row>
    <row r="667" spans="4:4" ht="13" x14ac:dyDescent="0.15">
      <c r="D667" s="52"/>
    </row>
    <row r="668" spans="4:4" ht="13" x14ac:dyDescent="0.15">
      <c r="D668" s="52"/>
    </row>
    <row r="669" spans="4:4" ht="13" x14ac:dyDescent="0.15">
      <c r="D669" s="52"/>
    </row>
    <row r="670" spans="4:4" ht="13" x14ac:dyDescent="0.15">
      <c r="D670" s="52"/>
    </row>
    <row r="671" spans="4:4" ht="13" x14ac:dyDescent="0.15">
      <c r="D671" s="52"/>
    </row>
    <row r="672" spans="4:4" ht="13" x14ac:dyDescent="0.15">
      <c r="D672" s="52"/>
    </row>
    <row r="673" spans="4:4" ht="13" x14ac:dyDescent="0.15">
      <c r="D673" s="52"/>
    </row>
    <row r="674" spans="4:4" ht="13" x14ac:dyDescent="0.15">
      <c r="D674" s="52"/>
    </row>
    <row r="675" spans="4:4" ht="13" x14ac:dyDescent="0.15">
      <c r="D675" s="52"/>
    </row>
    <row r="676" spans="4:4" ht="13" x14ac:dyDescent="0.15">
      <c r="D676" s="52"/>
    </row>
    <row r="677" spans="4:4" ht="13" x14ac:dyDescent="0.15">
      <c r="D677" s="52"/>
    </row>
    <row r="678" spans="4:4" ht="13" x14ac:dyDescent="0.15">
      <c r="D678" s="52"/>
    </row>
    <row r="679" spans="4:4" ht="13" x14ac:dyDescent="0.15">
      <c r="D679" s="52"/>
    </row>
    <row r="680" spans="4:4" ht="13" x14ac:dyDescent="0.15">
      <c r="D680" s="52"/>
    </row>
    <row r="681" spans="4:4" ht="13" x14ac:dyDescent="0.15">
      <c r="D681" s="52"/>
    </row>
    <row r="682" spans="4:4" ht="13" x14ac:dyDescent="0.15">
      <c r="D682" s="52"/>
    </row>
    <row r="683" spans="4:4" ht="13" x14ac:dyDescent="0.15">
      <c r="D683" s="52"/>
    </row>
    <row r="684" spans="4:4" ht="13" x14ac:dyDescent="0.15">
      <c r="D684" s="52"/>
    </row>
    <row r="685" spans="4:4" ht="13" x14ac:dyDescent="0.15">
      <c r="D685" s="52"/>
    </row>
    <row r="686" spans="4:4" ht="13" x14ac:dyDescent="0.15">
      <c r="D686" s="52"/>
    </row>
    <row r="687" spans="4:4" ht="13" x14ac:dyDescent="0.15">
      <c r="D687" s="52"/>
    </row>
    <row r="688" spans="4:4" ht="13" x14ac:dyDescent="0.15">
      <c r="D688" s="52"/>
    </row>
    <row r="689" spans="4:4" ht="13" x14ac:dyDescent="0.15">
      <c r="D689" s="52"/>
    </row>
    <row r="690" spans="4:4" ht="13" x14ac:dyDescent="0.15">
      <c r="D690" s="52"/>
    </row>
    <row r="691" spans="4:4" ht="13" x14ac:dyDescent="0.15">
      <c r="D691" s="52"/>
    </row>
    <row r="692" spans="4:4" ht="13" x14ac:dyDescent="0.15">
      <c r="D692" s="52"/>
    </row>
    <row r="693" spans="4:4" ht="13" x14ac:dyDescent="0.15">
      <c r="D693" s="52"/>
    </row>
    <row r="694" spans="4:4" ht="13" x14ac:dyDescent="0.15">
      <c r="D694" s="52"/>
    </row>
    <row r="695" spans="4:4" ht="13" x14ac:dyDescent="0.15">
      <c r="D695" s="52"/>
    </row>
    <row r="696" spans="4:4" ht="13" x14ac:dyDescent="0.15">
      <c r="D696" s="52"/>
    </row>
    <row r="697" spans="4:4" ht="13" x14ac:dyDescent="0.15">
      <c r="D697" s="52"/>
    </row>
    <row r="698" spans="4:4" ht="13" x14ac:dyDescent="0.15">
      <c r="D698" s="52"/>
    </row>
    <row r="699" spans="4:4" ht="13" x14ac:dyDescent="0.15">
      <c r="D699" s="52"/>
    </row>
    <row r="700" spans="4:4" ht="13" x14ac:dyDescent="0.15">
      <c r="D700" s="52"/>
    </row>
    <row r="701" spans="4:4" ht="13" x14ac:dyDescent="0.15">
      <c r="D701" s="52"/>
    </row>
    <row r="702" spans="4:4" ht="13" x14ac:dyDescent="0.15">
      <c r="D702" s="52"/>
    </row>
    <row r="703" spans="4:4" ht="13" x14ac:dyDescent="0.15">
      <c r="D703" s="52"/>
    </row>
    <row r="704" spans="4:4" ht="13" x14ac:dyDescent="0.15">
      <c r="D704" s="52"/>
    </row>
    <row r="705" spans="4:4" ht="13" x14ac:dyDescent="0.15">
      <c r="D705" s="52"/>
    </row>
    <row r="706" spans="4:4" ht="13" x14ac:dyDescent="0.15">
      <c r="D706" s="52"/>
    </row>
    <row r="707" spans="4:4" ht="13" x14ac:dyDescent="0.15">
      <c r="D707" s="52"/>
    </row>
    <row r="708" spans="4:4" ht="13" x14ac:dyDescent="0.15">
      <c r="D708" s="52"/>
    </row>
    <row r="709" spans="4:4" ht="13" x14ac:dyDescent="0.15">
      <c r="D709" s="52"/>
    </row>
    <row r="710" spans="4:4" ht="13" x14ac:dyDescent="0.15">
      <c r="D710" s="52"/>
    </row>
    <row r="711" spans="4:4" ht="13" x14ac:dyDescent="0.15">
      <c r="D711" s="52"/>
    </row>
    <row r="712" spans="4:4" ht="13" x14ac:dyDescent="0.15">
      <c r="D712" s="52"/>
    </row>
    <row r="713" spans="4:4" ht="13" x14ac:dyDescent="0.15">
      <c r="D713" s="52"/>
    </row>
    <row r="714" spans="4:4" ht="13" x14ac:dyDescent="0.15">
      <c r="D714" s="52"/>
    </row>
    <row r="715" spans="4:4" ht="13" x14ac:dyDescent="0.15">
      <c r="D715" s="52"/>
    </row>
    <row r="716" spans="4:4" ht="13" x14ac:dyDescent="0.15">
      <c r="D716" s="52"/>
    </row>
    <row r="717" spans="4:4" ht="13" x14ac:dyDescent="0.15">
      <c r="D717" s="52"/>
    </row>
    <row r="718" spans="4:4" ht="13" x14ac:dyDescent="0.15">
      <c r="D718" s="52"/>
    </row>
    <row r="719" spans="4:4" ht="13" x14ac:dyDescent="0.15">
      <c r="D719" s="52"/>
    </row>
    <row r="720" spans="4:4" ht="13" x14ac:dyDescent="0.15">
      <c r="D720" s="52"/>
    </row>
    <row r="721" spans="4:4" ht="13" x14ac:dyDescent="0.15">
      <c r="D721" s="52"/>
    </row>
    <row r="722" spans="4:4" ht="13" x14ac:dyDescent="0.15">
      <c r="D722" s="52"/>
    </row>
    <row r="723" spans="4:4" ht="13" x14ac:dyDescent="0.15">
      <c r="D723" s="52"/>
    </row>
    <row r="724" spans="4:4" ht="13" x14ac:dyDescent="0.15">
      <c r="D724" s="52"/>
    </row>
    <row r="725" spans="4:4" ht="13" x14ac:dyDescent="0.15">
      <c r="D725" s="52"/>
    </row>
    <row r="726" spans="4:4" ht="13" x14ac:dyDescent="0.15">
      <c r="D726" s="52"/>
    </row>
    <row r="727" spans="4:4" ht="13" x14ac:dyDescent="0.15">
      <c r="D727" s="52"/>
    </row>
    <row r="728" spans="4:4" ht="13" x14ac:dyDescent="0.15">
      <c r="D728" s="52"/>
    </row>
    <row r="729" spans="4:4" ht="13" x14ac:dyDescent="0.15">
      <c r="D729" s="52"/>
    </row>
    <row r="730" spans="4:4" ht="13" x14ac:dyDescent="0.15">
      <c r="D730" s="52"/>
    </row>
    <row r="731" spans="4:4" ht="13" x14ac:dyDescent="0.15">
      <c r="D731" s="52"/>
    </row>
    <row r="732" spans="4:4" ht="13" x14ac:dyDescent="0.15">
      <c r="D732" s="52"/>
    </row>
    <row r="733" spans="4:4" ht="13" x14ac:dyDescent="0.15">
      <c r="D733" s="52"/>
    </row>
    <row r="734" spans="4:4" ht="13" x14ac:dyDescent="0.15">
      <c r="D734" s="52"/>
    </row>
    <row r="735" spans="4:4" ht="13" x14ac:dyDescent="0.15">
      <c r="D735" s="52"/>
    </row>
    <row r="736" spans="4:4" ht="13" x14ac:dyDescent="0.15">
      <c r="D736" s="52"/>
    </row>
    <row r="737" spans="4:4" ht="13" x14ac:dyDescent="0.15">
      <c r="D737" s="52"/>
    </row>
    <row r="738" spans="4:4" ht="13" x14ac:dyDescent="0.15">
      <c r="D738" s="52"/>
    </row>
    <row r="739" spans="4:4" ht="13" x14ac:dyDescent="0.15">
      <c r="D739" s="52"/>
    </row>
    <row r="740" spans="4:4" ht="13" x14ac:dyDescent="0.15">
      <c r="D740" s="52"/>
    </row>
    <row r="741" spans="4:4" ht="13" x14ac:dyDescent="0.15">
      <c r="D741" s="52"/>
    </row>
    <row r="742" spans="4:4" ht="13" x14ac:dyDescent="0.15">
      <c r="D742" s="52"/>
    </row>
    <row r="743" spans="4:4" ht="13" x14ac:dyDescent="0.15">
      <c r="D743" s="52"/>
    </row>
    <row r="744" spans="4:4" ht="13" x14ac:dyDescent="0.15">
      <c r="D744" s="52"/>
    </row>
    <row r="745" spans="4:4" ht="13" x14ac:dyDescent="0.15">
      <c r="D745" s="52"/>
    </row>
    <row r="746" spans="4:4" ht="13" x14ac:dyDescent="0.15">
      <c r="D746" s="52"/>
    </row>
    <row r="747" spans="4:4" ht="13" x14ac:dyDescent="0.15">
      <c r="D747" s="52"/>
    </row>
    <row r="748" spans="4:4" ht="13" x14ac:dyDescent="0.15">
      <c r="D748" s="52"/>
    </row>
    <row r="749" spans="4:4" ht="13" x14ac:dyDescent="0.15">
      <c r="D749" s="52"/>
    </row>
    <row r="750" spans="4:4" ht="13" x14ac:dyDescent="0.15">
      <c r="D750" s="52"/>
    </row>
    <row r="751" spans="4:4" ht="13" x14ac:dyDescent="0.15">
      <c r="D751" s="52"/>
    </row>
    <row r="752" spans="4:4" ht="13" x14ac:dyDescent="0.15">
      <c r="D752" s="52"/>
    </row>
    <row r="753" spans="4:4" ht="13" x14ac:dyDescent="0.15">
      <c r="D753" s="52"/>
    </row>
    <row r="754" spans="4:4" ht="13" x14ac:dyDescent="0.15">
      <c r="D754" s="52"/>
    </row>
    <row r="755" spans="4:4" ht="13" x14ac:dyDescent="0.15">
      <c r="D755" s="52"/>
    </row>
    <row r="756" spans="4:4" ht="13" x14ac:dyDescent="0.15">
      <c r="D756" s="52"/>
    </row>
    <row r="757" spans="4:4" ht="13" x14ac:dyDescent="0.15">
      <c r="D757" s="52"/>
    </row>
    <row r="758" spans="4:4" ht="13" x14ac:dyDescent="0.15">
      <c r="D758" s="52"/>
    </row>
    <row r="759" spans="4:4" ht="13" x14ac:dyDescent="0.15">
      <c r="D759" s="52"/>
    </row>
    <row r="760" spans="4:4" ht="13" x14ac:dyDescent="0.15">
      <c r="D760" s="52"/>
    </row>
    <row r="761" spans="4:4" ht="13" x14ac:dyDescent="0.15">
      <c r="D761" s="52"/>
    </row>
    <row r="762" spans="4:4" ht="13" x14ac:dyDescent="0.15">
      <c r="D762" s="52"/>
    </row>
    <row r="763" spans="4:4" ht="13" x14ac:dyDescent="0.15">
      <c r="D763" s="52"/>
    </row>
    <row r="764" spans="4:4" ht="13" x14ac:dyDescent="0.15">
      <c r="D764" s="52"/>
    </row>
    <row r="765" spans="4:4" ht="13" x14ac:dyDescent="0.15">
      <c r="D765" s="52"/>
    </row>
    <row r="766" spans="4:4" ht="13" x14ac:dyDescent="0.15">
      <c r="D766" s="52"/>
    </row>
    <row r="767" spans="4:4" ht="13" x14ac:dyDescent="0.15">
      <c r="D767" s="52"/>
    </row>
    <row r="768" spans="4:4" ht="13" x14ac:dyDescent="0.15">
      <c r="D768" s="52"/>
    </row>
    <row r="769" spans="4:4" ht="13" x14ac:dyDescent="0.15">
      <c r="D769" s="52"/>
    </row>
    <row r="770" spans="4:4" ht="13" x14ac:dyDescent="0.15">
      <c r="D770" s="52"/>
    </row>
    <row r="771" spans="4:4" ht="13" x14ac:dyDescent="0.15">
      <c r="D771" s="52"/>
    </row>
    <row r="772" spans="4:4" ht="13" x14ac:dyDescent="0.15">
      <c r="D772" s="52"/>
    </row>
    <row r="773" spans="4:4" ht="13" x14ac:dyDescent="0.15">
      <c r="D773" s="52"/>
    </row>
    <row r="774" spans="4:4" ht="13" x14ac:dyDescent="0.15">
      <c r="D774" s="52"/>
    </row>
    <row r="775" spans="4:4" ht="13" x14ac:dyDescent="0.15">
      <c r="D775" s="52"/>
    </row>
    <row r="776" spans="4:4" ht="13" x14ac:dyDescent="0.15">
      <c r="D776" s="52"/>
    </row>
    <row r="777" spans="4:4" ht="13" x14ac:dyDescent="0.15">
      <c r="D777" s="52"/>
    </row>
    <row r="778" spans="4:4" ht="13" x14ac:dyDescent="0.15">
      <c r="D778" s="52"/>
    </row>
    <row r="779" spans="4:4" ht="13" x14ac:dyDescent="0.15">
      <c r="D779" s="52"/>
    </row>
    <row r="780" spans="4:4" ht="13" x14ac:dyDescent="0.15">
      <c r="D780" s="52"/>
    </row>
    <row r="781" spans="4:4" ht="13" x14ac:dyDescent="0.15">
      <c r="D781" s="52"/>
    </row>
    <row r="782" spans="4:4" ht="13" x14ac:dyDescent="0.15">
      <c r="D782" s="52"/>
    </row>
    <row r="783" spans="4:4" ht="13" x14ac:dyDescent="0.15">
      <c r="D783" s="52"/>
    </row>
    <row r="784" spans="4:4" ht="13" x14ac:dyDescent="0.15">
      <c r="D784" s="52"/>
    </row>
    <row r="785" spans="4:4" ht="13" x14ac:dyDescent="0.15">
      <c r="D785" s="52"/>
    </row>
    <row r="786" spans="4:4" ht="13" x14ac:dyDescent="0.15">
      <c r="D786" s="52"/>
    </row>
    <row r="787" spans="4:4" ht="13" x14ac:dyDescent="0.15">
      <c r="D787" s="52"/>
    </row>
    <row r="788" spans="4:4" ht="13" x14ac:dyDescent="0.15">
      <c r="D788" s="52"/>
    </row>
    <row r="789" spans="4:4" ht="13" x14ac:dyDescent="0.15">
      <c r="D789" s="52"/>
    </row>
    <row r="790" spans="4:4" ht="13" x14ac:dyDescent="0.15">
      <c r="D790" s="52"/>
    </row>
    <row r="791" spans="4:4" ht="13" x14ac:dyDescent="0.15">
      <c r="D791" s="52"/>
    </row>
    <row r="792" spans="4:4" ht="13" x14ac:dyDescent="0.15">
      <c r="D792" s="52"/>
    </row>
    <row r="793" spans="4:4" ht="13" x14ac:dyDescent="0.15">
      <c r="D793" s="52"/>
    </row>
    <row r="794" spans="4:4" ht="13" x14ac:dyDescent="0.15">
      <c r="D794" s="52"/>
    </row>
    <row r="795" spans="4:4" ht="13" x14ac:dyDescent="0.15">
      <c r="D795" s="52"/>
    </row>
    <row r="796" spans="4:4" ht="13" x14ac:dyDescent="0.15">
      <c r="D796" s="52"/>
    </row>
    <row r="797" spans="4:4" ht="13" x14ac:dyDescent="0.15">
      <c r="D797" s="52"/>
    </row>
    <row r="798" spans="4:4" ht="13" x14ac:dyDescent="0.15">
      <c r="D798" s="52"/>
    </row>
    <row r="799" spans="4:4" ht="13" x14ac:dyDescent="0.15">
      <c r="D799" s="52"/>
    </row>
    <row r="800" spans="4:4" ht="13" x14ac:dyDescent="0.15">
      <c r="D800" s="52"/>
    </row>
    <row r="801" spans="4:4" ht="13" x14ac:dyDescent="0.15">
      <c r="D801" s="52"/>
    </row>
    <row r="802" spans="4:4" ht="13" x14ac:dyDescent="0.15">
      <c r="D802" s="52"/>
    </row>
    <row r="803" spans="4:4" ht="13" x14ac:dyDescent="0.15">
      <c r="D803" s="52"/>
    </row>
    <row r="804" spans="4:4" ht="13" x14ac:dyDescent="0.15">
      <c r="D804" s="52"/>
    </row>
    <row r="805" spans="4:4" ht="13" x14ac:dyDescent="0.15">
      <c r="D805" s="52"/>
    </row>
    <row r="806" spans="4:4" ht="13" x14ac:dyDescent="0.15">
      <c r="D806" s="52"/>
    </row>
    <row r="807" spans="4:4" ht="13" x14ac:dyDescent="0.15">
      <c r="D807" s="52"/>
    </row>
    <row r="808" spans="4:4" ht="13" x14ac:dyDescent="0.15">
      <c r="D808" s="52"/>
    </row>
    <row r="809" spans="4:4" ht="13" x14ac:dyDescent="0.15">
      <c r="D809" s="52"/>
    </row>
    <row r="810" spans="4:4" ht="13" x14ac:dyDescent="0.15">
      <c r="D810" s="52"/>
    </row>
    <row r="811" spans="4:4" ht="13" x14ac:dyDescent="0.15">
      <c r="D811" s="52"/>
    </row>
    <row r="812" spans="4:4" ht="13" x14ac:dyDescent="0.15">
      <c r="D812" s="52"/>
    </row>
    <row r="813" spans="4:4" ht="13" x14ac:dyDescent="0.15">
      <c r="D813" s="52"/>
    </row>
    <row r="814" spans="4:4" ht="13" x14ac:dyDescent="0.15">
      <c r="D814" s="52"/>
    </row>
    <row r="815" spans="4:4" ht="13" x14ac:dyDescent="0.15">
      <c r="D815" s="52"/>
    </row>
    <row r="816" spans="4:4" ht="13" x14ac:dyDescent="0.15">
      <c r="D816" s="52"/>
    </row>
    <row r="817" spans="4:4" ht="13" x14ac:dyDescent="0.15">
      <c r="D817" s="52"/>
    </row>
    <row r="818" spans="4:4" ht="13" x14ac:dyDescent="0.15">
      <c r="D818" s="52"/>
    </row>
    <row r="819" spans="4:4" ht="13" x14ac:dyDescent="0.15">
      <c r="D819" s="52"/>
    </row>
    <row r="820" spans="4:4" ht="13" x14ac:dyDescent="0.15">
      <c r="D820" s="52"/>
    </row>
    <row r="821" spans="4:4" ht="13" x14ac:dyDescent="0.15">
      <c r="D821" s="52"/>
    </row>
    <row r="822" spans="4:4" ht="13" x14ac:dyDescent="0.15">
      <c r="D822" s="52"/>
    </row>
    <row r="823" spans="4:4" ht="13" x14ac:dyDescent="0.15">
      <c r="D823" s="52"/>
    </row>
    <row r="824" spans="4:4" ht="13" x14ac:dyDescent="0.15">
      <c r="D824" s="52"/>
    </row>
    <row r="825" spans="4:4" ht="13" x14ac:dyDescent="0.15">
      <c r="D825" s="52"/>
    </row>
    <row r="826" spans="4:4" ht="13" x14ac:dyDescent="0.15">
      <c r="D826" s="52"/>
    </row>
    <row r="827" spans="4:4" ht="13" x14ac:dyDescent="0.15">
      <c r="D827" s="52"/>
    </row>
    <row r="828" spans="4:4" ht="13" x14ac:dyDescent="0.15">
      <c r="D828" s="52"/>
    </row>
    <row r="829" spans="4:4" ht="13" x14ac:dyDescent="0.15">
      <c r="D829" s="52"/>
    </row>
    <row r="830" spans="4:4" ht="13" x14ac:dyDescent="0.15">
      <c r="D830" s="52"/>
    </row>
    <row r="831" spans="4:4" ht="13" x14ac:dyDescent="0.15">
      <c r="D831" s="52"/>
    </row>
    <row r="832" spans="4:4" ht="13" x14ac:dyDescent="0.15">
      <c r="D832" s="52"/>
    </row>
    <row r="833" spans="4:4" ht="13" x14ac:dyDescent="0.15">
      <c r="D833" s="52"/>
    </row>
    <row r="834" spans="4:4" ht="13" x14ac:dyDescent="0.15">
      <c r="D834" s="52"/>
    </row>
    <row r="835" spans="4:4" ht="13" x14ac:dyDescent="0.15">
      <c r="D835" s="52"/>
    </row>
    <row r="836" spans="4:4" ht="13" x14ac:dyDescent="0.15">
      <c r="D836" s="52"/>
    </row>
    <row r="837" spans="4:4" ht="13" x14ac:dyDescent="0.15">
      <c r="D837" s="52"/>
    </row>
    <row r="838" spans="4:4" ht="13" x14ac:dyDescent="0.15">
      <c r="D838" s="52"/>
    </row>
    <row r="839" spans="4:4" ht="13" x14ac:dyDescent="0.15">
      <c r="D839" s="52"/>
    </row>
    <row r="840" spans="4:4" ht="13" x14ac:dyDescent="0.15">
      <c r="D840" s="52"/>
    </row>
    <row r="841" spans="4:4" ht="13" x14ac:dyDescent="0.15">
      <c r="D841" s="52"/>
    </row>
    <row r="842" spans="4:4" ht="13" x14ac:dyDescent="0.15">
      <c r="D842" s="52"/>
    </row>
    <row r="843" spans="4:4" ht="13" x14ac:dyDescent="0.15">
      <c r="D843" s="52"/>
    </row>
    <row r="844" spans="4:4" ht="13" x14ac:dyDescent="0.15">
      <c r="D844" s="52"/>
    </row>
    <row r="845" spans="4:4" ht="13" x14ac:dyDescent="0.15">
      <c r="D845" s="52"/>
    </row>
    <row r="846" spans="4:4" ht="13" x14ac:dyDescent="0.15">
      <c r="D846" s="52"/>
    </row>
    <row r="847" spans="4:4" ht="13" x14ac:dyDescent="0.15">
      <c r="D847" s="52"/>
    </row>
    <row r="848" spans="4:4" ht="13" x14ac:dyDescent="0.15">
      <c r="D848" s="52"/>
    </row>
    <row r="849" spans="4:4" ht="13" x14ac:dyDescent="0.15">
      <c r="D849" s="52"/>
    </row>
    <row r="850" spans="4:4" ht="13" x14ac:dyDescent="0.15">
      <c r="D850" s="52"/>
    </row>
    <row r="851" spans="4:4" ht="13" x14ac:dyDescent="0.15">
      <c r="D851" s="52"/>
    </row>
    <row r="852" spans="4:4" ht="13" x14ac:dyDescent="0.15">
      <c r="D852" s="52"/>
    </row>
    <row r="853" spans="4:4" ht="13" x14ac:dyDescent="0.15">
      <c r="D853" s="52"/>
    </row>
    <row r="854" spans="4:4" ht="13" x14ac:dyDescent="0.15">
      <c r="D854" s="52"/>
    </row>
    <row r="855" spans="4:4" ht="13" x14ac:dyDescent="0.15">
      <c r="D855" s="52"/>
    </row>
    <row r="856" spans="4:4" ht="13" x14ac:dyDescent="0.15">
      <c r="D856" s="52"/>
    </row>
    <row r="857" spans="4:4" ht="13" x14ac:dyDescent="0.15">
      <c r="D857" s="52"/>
    </row>
    <row r="858" spans="4:4" ht="13" x14ac:dyDescent="0.15">
      <c r="D858" s="52"/>
    </row>
    <row r="859" spans="4:4" ht="13" x14ac:dyDescent="0.15">
      <c r="D859" s="52"/>
    </row>
    <row r="860" spans="4:4" ht="13" x14ac:dyDescent="0.15">
      <c r="D860" s="52"/>
    </row>
    <row r="861" spans="4:4" ht="13" x14ac:dyDescent="0.15">
      <c r="D861" s="52"/>
    </row>
    <row r="862" spans="4:4" ht="13" x14ac:dyDescent="0.15">
      <c r="D862" s="52"/>
    </row>
    <row r="863" spans="4:4" ht="13" x14ac:dyDescent="0.15">
      <c r="D863" s="52"/>
    </row>
    <row r="864" spans="4:4" ht="13" x14ac:dyDescent="0.15">
      <c r="D864" s="52"/>
    </row>
    <row r="865" spans="4:4" ht="13" x14ac:dyDescent="0.15">
      <c r="D865" s="52"/>
    </row>
    <row r="866" spans="4:4" ht="13" x14ac:dyDescent="0.15">
      <c r="D866" s="52"/>
    </row>
    <row r="867" spans="4:4" ht="13" x14ac:dyDescent="0.15">
      <c r="D867" s="52"/>
    </row>
    <row r="868" spans="4:4" ht="13" x14ac:dyDescent="0.15">
      <c r="D868" s="52"/>
    </row>
    <row r="869" spans="4:4" ht="13" x14ac:dyDescent="0.15">
      <c r="D869" s="52"/>
    </row>
    <row r="870" spans="4:4" ht="13" x14ac:dyDescent="0.15">
      <c r="D870" s="52"/>
    </row>
    <row r="871" spans="4:4" ht="13" x14ac:dyDescent="0.15">
      <c r="D871" s="52"/>
    </row>
    <row r="872" spans="4:4" ht="13" x14ac:dyDescent="0.15">
      <c r="D872" s="52"/>
    </row>
    <row r="873" spans="4:4" ht="13" x14ac:dyDescent="0.15">
      <c r="D873" s="52"/>
    </row>
    <row r="874" spans="4:4" ht="13" x14ac:dyDescent="0.15">
      <c r="D874" s="52"/>
    </row>
    <row r="875" spans="4:4" ht="13" x14ac:dyDescent="0.15">
      <c r="D875" s="52"/>
    </row>
    <row r="876" spans="4:4" ht="13" x14ac:dyDescent="0.15">
      <c r="D876" s="52"/>
    </row>
    <row r="877" spans="4:4" ht="13" x14ac:dyDescent="0.15">
      <c r="D877" s="52"/>
    </row>
    <row r="878" spans="4:4" ht="13" x14ac:dyDescent="0.15">
      <c r="D878" s="52"/>
    </row>
    <row r="879" spans="4:4" ht="13" x14ac:dyDescent="0.15">
      <c r="D879" s="52"/>
    </row>
    <row r="880" spans="4:4" ht="13" x14ac:dyDescent="0.15">
      <c r="D880" s="52"/>
    </row>
    <row r="881" spans="4:4" ht="13" x14ac:dyDescent="0.15">
      <c r="D881" s="52"/>
    </row>
    <row r="882" spans="4:4" ht="13" x14ac:dyDescent="0.15">
      <c r="D882" s="52"/>
    </row>
    <row r="883" spans="4:4" ht="13" x14ac:dyDescent="0.15">
      <c r="D883" s="52"/>
    </row>
    <row r="884" spans="4:4" ht="13" x14ac:dyDescent="0.15">
      <c r="D884" s="52"/>
    </row>
    <row r="885" spans="4:4" ht="13" x14ac:dyDescent="0.15">
      <c r="D885" s="52"/>
    </row>
    <row r="886" spans="4:4" ht="13" x14ac:dyDescent="0.15">
      <c r="D886" s="52"/>
    </row>
    <row r="887" spans="4:4" ht="13" x14ac:dyDescent="0.15">
      <c r="D887" s="52"/>
    </row>
    <row r="888" spans="4:4" ht="13" x14ac:dyDescent="0.15">
      <c r="D888" s="52"/>
    </row>
    <row r="889" spans="4:4" ht="13" x14ac:dyDescent="0.15">
      <c r="D889" s="52"/>
    </row>
    <row r="890" spans="4:4" ht="13" x14ac:dyDescent="0.15">
      <c r="D890" s="52"/>
    </row>
    <row r="891" spans="4:4" ht="13" x14ac:dyDescent="0.15">
      <c r="D891" s="52"/>
    </row>
    <row r="892" spans="4:4" ht="13" x14ac:dyDescent="0.15">
      <c r="D892" s="52"/>
    </row>
    <row r="893" spans="4:4" ht="13" x14ac:dyDescent="0.15">
      <c r="D893" s="52"/>
    </row>
    <row r="894" spans="4:4" ht="13" x14ac:dyDescent="0.15">
      <c r="D894" s="52"/>
    </row>
    <row r="895" spans="4:4" ht="13" x14ac:dyDescent="0.15">
      <c r="D895" s="52"/>
    </row>
    <row r="896" spans="4:4" ht="13" x14ac:dyDescent="0.15">
      <c r="D896" s="52"/>
    </row>
    <row r="897" spans="4:4" ht="13" x14ac:dyDescent="0.15">
      <c r="D897" s="52"/>
    </row>
    <row r="898" spans="4:4" ht="13" x14ac:dyDescent="0.15">
      <c r="D898" s="52"/>
    </row>
    <row r="899" spans="4:4" ht="13" x14ac:dyDescent="0.15">
      <c r="D899" s="52"/>
    </row>
    <row r="900" spans="4:4" ht="13" x14ac:dyDescent="0.15">
      <c r="D900" s="52"/>
    </row>
    <row r="901" spans="4:4" ht="13" x14ac:dyDescent="0.15">
      <c r="D901" s="52"/>
    </row>
    <row r="902" spans="4:4" ht="13" x14ac:dyDescent="0.15">
      <c r="D902" s="52"/>
    </row>
    <row r="903" spans="4:4" ht="13" x14ac:dyDescent="0.15">
      <c r="D903" s="52"/>
    </row>
    <row r="904" spans="4:4" ht="13" x14ac:dyDescent="0.15">
      <c r="D904" s="52"/>
    </row>
    <row r="905" spans="4:4" ht="13" x14ac:dyDescent="0.15">
      <c r="D905" s="52"/>
    </row>
    <row r="906" spans="4:4" ht="13" x14ac:dyDescent="0.15">
      <c r="D906" s="52"/>
    </row>
    <row r="907" spans="4:4" ht="13" x14ac:dyDescent="0.15">
      <c r="D907" s="52"/>
    </row>
    <row r="908" spans="4:4" ht="13" x14ac:dyDescent="0.15">
      <c r="D908" s="52"/>
    </row>
    <row r="909" spans="4:4" ht="13" x14ac:dyDescent="0.15">
      <c r="D909" s="52"/>
    </row>
    <row r="910" spans="4:4" ht="13" x14ac:dyDescent="0.15">
      <c r="D910" s="52"/>
    </row>
    <row r="911" spans="4:4" ht="13" x14ac:dyDescent="0.15">
      <c r="D911" s="52"/>
    </row>
    <row r="912" spans="4:4" ht="13" x14ac:dyDescent="0.15">
      <c r="D912" s="52"/>
    </row>
    <row r="913" spans="4:4" ht="13" x14ac:dyDescent="0.15">
      <c r="D913" s="52"/>
    </row>
    <row r="914" spans="4:4" ht="13" x14ac:dyDescent="0.15">
      <c r="D914" s="52"/>
    </row>
    <row r="915" spans="4:4" ht="13" x14ac:dyDescent="0.15">
      <c r="D915" s="52"/>
    </row>
    <row r="916" spans="4:4" ht="13" x14ac:dyDescent="0.15">
      <c r="D916" s="52"/>
    </row>
    <row r="917" spans="4:4" ht="13" x14ac:dyDescent="0.15">
      <c r="D917" s="52"/>
    </row>
    <row r="918" spans="4:4" ht="13" x14ac:dyDescent="0.15">
      <c r="D918" s="52"/>
    </row>
    <row r="919" spans="4:4" ht="13" x14ac:dyDescent="0.15">
      <c r="D919" s="52"/>
    </row>
    <row r="920" spans="4:4" ht="13" x14ac:dyDescent="0.15">
      <c r="D920" s="52"/>
    </row>
    <row r="921" spans="4:4" ht="13" x14ac:dyDescent="0.15">
      <c r="D921" s="52"/>
    </row>
    <row r="922" spans="4:4" ht="13" x14ac:dyDescent="0.15">
      <c r="D922" s="52"/>
    </row>
    <row r="923" spans="4:4" ht="13" x14ac:dyDescent="0.15">
      <c r="D923" s="52"/>
    </row>
    <row r="924" spans="4:4" ht="13" x14ac:dyDescent="0.15">
      <c r="D924" s="52"/>
    </row>
    <row r="925" spans="4:4" ht="13" x14ac:dyDescent="0.15">
      <c r="D925" s="52"/>
    </row>
    <row r="926" spans="4:4" ht="13" x14ac:dyDescent="0.15">
      <c r="D926" s="52"/>
    </row>
    <row r="927" spans="4:4" ht="13" x14ac:dyDescent="0.15">
      <c r="D927" s="52"/>
    </row>
    <row r="928" spans="4:4" ht="13" x14ac:dyDescent="0.15">
      <c r="D928" s="52"/>
    </row>
    <row r="929" spans="4:4" ht="13" x14ac:dyDescent="0.15">
      <c r="D929" s="52"/>
    </row>
    <row r="930" spans="4:4" ht="13" x14ac:dyDescent="0.15">
      <c r="D930" s="52"/>
    </row>
    <row r="931" spans="4:4" ht="13" x14ac:dyDescent="0.15">
      <c r="D931" s="52"/>
    </row>
    <row r="932" spans="4:4" ht="13" x14ac:dyDescent="0.15">
      <c r="D932" s="52"/>
    </row>
    <row r="933" spans="4:4" ht="13" x14ac:dyDescent="0.15">
      <c r="D933" s="52"/>
    </row>
    <row r="934" spans="4:4" ht="13" x14ac:dyDescent="0.15">
      <c r="D934" s="52"/>
    </row>
    <row r="935" spans="4:4" ht="13" x14ac:dyDescent="0.15">
      <c r="D935" s="52"/>
    </row>
    <row r="936" spans="4:4" ht="13" x14ac:dyDescent="0.15">
      <c r="D936" s="52"/>
    </row>
    <row r="937" spans="4:4" ht="13" x14ac:dyDescent="0.15">
      <c r="D937" s="52"/>
    </row>
    <row r="938" spans="4:4" ht="13" x14ac:dyDescent="0.15">
      <c r="D938" s="52"/>
    </row>
    <row r="939" spans="4:4" ht="13" x14ac:dyDescent="0.15">
      <c r="D939" s="52"/>
    </row>
    <row r="940" spans="4:4" ht="13" x14ac:dyDescent="0.15">
      <c r="D940" s="52"/>
    </row>
    <row r="941" spans="4:4" ht="13" x14ac:dyDescent="0.15">
      <c r="D941" s="52"/>
    </row>
    <row r="942" spans="4:4" ht="13" x14ac:dyDescent="0.15">
      <c r="D942" s="52"/>
    </row>
    <row r="943" spans="4:4" ht="13" x14ac:dyDescent="0.15">
      <c r="D943" s="52"/>
    </row>
    <row r="944" spans="4:4" ht="13" x14ac:dyDescent="0.15">
      <c r="D944" s="52"/>
    </row>
    <row r="945" spans="4:4" ht="13" x14ac:dyDescent="0.15">
      <c r="D945" s="52"/>
    </row>
    <row r="946" spans="4:4" ht="13" x14ac:dyDescent="0.15">
      <c r="D946" s="52"/>
    </row>
    <row r="947" spans="4:4" ht="13" x14ac:dyDescent="0.15">
      <c r="D947" s="52"/>
    </row>
    <row r="948" spans="4:4" ht="13" x14ac:dyDescent="0.15">
      <c r="D948" s="52"/>
    </row>
    <row r="949" spans="4:4" ht="13" x14ac:dyDescent="0.15">
      <c r="D949" s="52"/>
    </row>
    <row r="950" spans="4:4" ht="13" x14ac:dyDescent="0.15">
      <c r="D950" s="52"/>
    </row>
    <row r="951" spans="4:4" ht="13" x14ac:dyDescent="0.15">
      <c r="D951" s="52"/>
    </row>
    <row r="952" spans="4:4" ht="13" x14ac:dyDescent="0.15">
      <c r="D952" s="52"/>
    </row>
    <row r="953" spans="4:4" ht="13" x14ac:dyDescent="0.15">
      <c r="D953" s="52"/>
    </row>
    <row r="954" spans="4:4" ht="13" x14ac:dyDescent="0.15">
      <c r="D954" s="52"/>
    </row>
    <row r="955" spans="4:4" ht="13" x14ac:dyDescent="0.15">
      <c r="D955" s="52"/>
    </row>
    <row r="956" spans="4:4" ht="13" x14ac:dyDescent="0.15">
      <c r="D956" s="52"/>
    </row>
    <row r="957" spans="4:4" ht="13" x14ac:dyDescent="0.15">
      <c r="D957" s="52"/>
    </row>
    <row r="958" spans="4:4" ht="13" x14ac:dyDescent="0.15">
      <c r="D958" s="52"/>
    </row>
    <row r="959" spans="4:4" ht="13" x14ac:dyDescent="0.15">
      <c r="D959" s="52"/>
    </row>
    <row r="960" spans="4:4" ht="13" x14ac:dyDescent="0.15">
      <c r="D960" s="52"/>
    </row>
    <row r="961" spans="4:4" ht="13" x14ac:dyDescent="0.15">
      <c r="D961" s="52"/>
    </row>
    <row r="962" spans="4:4" ht="13" x14ac:dyDescent="0.15">
      <c r="D962" s="52"/>
    </row>
    <row r="963" spans="4:4" ht="13" x14ac:dyDescent="0.15">
      <c r="D963" s="52"/>
    </row>
    <row r="964" spans="4:4" ht="13" x14ac:dyDescent="0.15">
      <c r="D964" s="52"/>
    </row>
    <row r="965" spans="4:4" ht="13" x14ac:dyDescent="0.15">
      <c r="D965" s="52"/>
    </row>
    <row r="966" spans="4:4" ht="13" x14ac:dyDescent="0.15">
      <c r="D966" s="52"/>
    </row>
    <row r="967" spans="4:4" ht="13" x14ac:dyDescent="0.15">
      <c r="D967" s="52"/>
    </row>
    <row r="968" spans="4:4" ht="13" x14ac:dyDescent="0.15">
      <c r="D968" s="52"/>
    </row>
    <row r="969" spans="4:4" ht="13" x14ac:dyDescent="0.15">
      <c r="D969" s="52"/>
    </row>
    <row r="970" spans="4:4" ht="13" x14ac:dyDescent="0.15">
      <c r="D970" s="52"/>
    </row>
    <row r="971" spans="4:4" ht="13" x14ac:dyDescent="0.15">
      <c r="D971" s="52"/>
    </row>
    <row r="972" spans="4:4" ht="13" x14ac:dyDescent="0.15">
      <c r="D972" s="52"/>
    </row>
    <row r="973" spans="4:4" ht="13" x14ac:dyDescent="0.15">
      <c r="D973" s="52"/>
    </row>
    <row r="974" spans="4:4" ht="13" x14ac:dyDescent="0.15">
      <c r="D974" s="52"/>
    </row>
    <row r="975" spans="4:4" ht="13" x14ac:dyDescent="0.15">
      <c r="D975" s="52"/>
    </row>
    <row r="976" spans="4:4" ht="13" x14ac:dyDescent="0.15">
      <c r="D976" s="52"/>
    </row>
    <row r="977" spans="4:4" ht="13" x14ac:dyDescent="0.15">
      <c r="D977" s="52"/>
    </row>
    <row r="978" spans="4:4" ht="13" x14ac:dyDescent="0.15">
      <c r="D978" s="52"/>
    </row>
    <row r="979" spans="4:4" ht="13" x14ac:dyDescent="0.15">
      <c r="D979" s="52"/>
    </row>
    <row r="980" spans="4:4" ht="13" x14ac:dyDescent="0.15">
      <c r="D980" s="52"/>
    </row>
    <row r="981" spans="4:4" ht="13" x14ac:dyDescent="0.15">
      <c r="D981" s="52"/>
    </row>
    <row r="982" spans="4:4" ht="13" x14ac:dyDescent="0.15">
      <c r="D982" s="52"/>
    </row>
    <row r="983" spans="4:4" ht="13" x14ac:dyDescent="0.15">
      <c r="D983" s="52"/>
    </row>
    <row r="984" spans="4:4" ht="13" x14ac:dyDescent="0.15">
      <c r="D984" s="52"/>
    </row>
    <row r="985" spans="4:4" ht="13" x14ac:dyDescent="0.15">
      <c r="D985" s="52"/>
    </row>
    <row r="986" spans="4:4" ht="13" x14ac:dyDescent="0.15">
      <c r="D986" s="52"/>
    </row>
    <row r="987" spans="4:4" ht="13" x14ac:dyDescent="0.15">
      <c r="D987" s="52"/>
    </row>
    <row r="988" spans="4:4" ht="13" x14ac:dyDescent="0.15">
      <c r="D988" s="52"/>
    </row>
    <row r="989" spans="4:4" ht="13" x14ac:dyDescent="0.15">
      <c r="D989" s="52"/>
    </row>
    <row r="990" spans="4:4" ht="13" x14ac:dyDescent="0.15">
      <c r="D990" s="52"/>
    </row>
    <row r="991" spans="4:4" ht="13" x14ac:dyDescent="0.15">
      <c r="D991" s="52"/>
    </row>
    <row r="992" spans="4:4" ht="13" x14ac:dyDescent="0.15">
      <c r="D992" s="52"/>
    </row>
    <row r="993" spans="4:4" ht="13" x14ac:dyDescent="0.15">
      <c r="D993" s="52"/>
    </row>
    <row r="994" spans="4:4" ht="13" x14ac:dyDescent="0.15">
      <c r="D994" s="52"/>
    </row>
    <row r="995" spans="4:4" ht="13" x14ac:dyDescent="0.15">
      <c r="D995" s="52"/>
    </row>
    <row r="996" spans="4:4" ht="13" x14ac:dyDescent="0.15">
      <c r="D996" s="52"/>
    </row>
    <row r="997" spans="4:4" ht="13" x14ac:dyDescent="0.15">
      <c r="D997" s="52"/>
    </row>
    <row r="998" spans="4:4" ht="13" x14ac:dyDescent="0.15">
      <c r="D998" s="52"/>
    </row>
    <row r="999" spans="4:4" ht="13" x14ac:dyDescent="0.15">
      <c r="D999" s="52"/>
    </row>
    <row r="1000" spans="4:4" ht="13" x14ac:dyDescent="0.15">
      <c r="D1000" s="52"/>
    </row>
    <row r="1001" spans="4:4" ht="13" x14ac:dyDescent="0.15">
      <c r="D1001" s="52"/>
    </row>
    <row r="1002" spans="4:4" ht="13" x14ac:dyDescent="0.15">
      <c r="D1002" s="52"/>
    </row>
    <row r="1003" spans="4:4" ht="13" x14ac:dyDescent="0.15">
      <c r="D1003" s="52"/>
    </row>
    <row r="1004" spans="4:4" ht="13" x14ac:dyDescent="0.15">
      <c r="D1004" s="52"/>
    </row>
    <row r="1005" spans="4:4" ht="13" x14ac:dyDescent="0.15">
      <c r="D1005" s="52"/>
    </row>
    <row r="1006" spans="4:4" ht="13" x14ac:dyDescent="0.15">
      <c r="D1006" s="52"/>
    </row>
    <row r="1007" spans="4:4" ht="13" x14ac:dyDescent="0.15">
      <c r="D1007" s="52"/>
    </row>
    <row r="1008" spans="4:4" ht="13" x14ac:dyDescent="0.15">
      <c r="D1008" s="52"/>
    </row>
    <row r="1009" spans="4:4" ht="13" x14ac:dyDescent="0.15">
      <c r="D1009" s="52"/>
    </row>
    <row r="1010" spans="4:4" ht="13" x14ac:dyDescent="0.15">
      <c r="D1010" s="52"/>
    </row>
    <row r="1011" spans="4:4" ht="13" x14ac:dyDescent="0.15">
      <c r="D1011" s="52"/>
    </row>
    <row r="1012" spans="4:4" ht="13" x14ac:dyDescent="0.15">
      <c r="D1012" s="52"/>
    </row>
    <row r="1013" spans="4:4" ht="13" x14ac:dyDescent="0.15">
      <c r="D1013" s="52"/>
    </row>
    <row r="1014" spans="4:4" ht="13" x14ac:dyDescent="0.15">
      <c r="D1014" s="52"/>
    </row>
    <row r="1015" spans="4:4" ht="13" x14ac:dyDescent="0.15">
      <c r="D1015" s="52"/>
    </row>
    <row r="1016" spans="4:4" ht="13" x14ac:dyDescent="0.15">
      <c r="D1016" s="52"/>
    </row>
    <row r="1017" spans="4:4" ht="13" x14ac:dyDescent="0.15">
      <c r="D1017" s="52"/>
    </row>
    <row r="1018" spans="4:4" ht="13" x14ac:dyDescent="0.15">
      <c r="D1018" s="52"/>
    </row>
    <row r="1019" spans="4:4" ht="13" x14ac:dyDescent="0.15">
      <c r="D1019" s="52"/>
    </row>
    <row r="1020" spans="4:4" ht="13" x14ac:dyDescent="0.15">
      <c r="D1020" s="52"/>
    </row>
    <row r="1021" spans="4:4" ht="13" x14ac:dyDescent="0.15">
      <c r="D1021" s="52"/>
    </row>
    <row r="1022" spans="4:4" ht="13" x14ac:dyDescent="0.15">
      <c r="D1022" s="52"/>
    </row>
    <row r="1023" spans="4:4" ht="13" x14ac:dyDescent="0.15">
      <c r="D1023" s="52"/>
    </row>
    <row r="1024" spans="4:4" ht="13" x14ac:dyDescent="0.15">
      <c r="D1024" s="52"/>
    </row>
    <row r="1025" spans="4:4" ht="13" x14ac:dyDescent="0.15">
      <c r="D1025" s="52"/>
    </row>
    <row r="1026" spans="4:4" ht="13" x14ac:dyDescent="0.15">
      <c r="D1026" s="52"/>
    </row>
    <row r="1027" spans="4:4" ht="13" x14ac:dyDescent="0.15">
      <c r="D1027" s="52"/>
    </row>
    <row r="1028" spans="4:4" ht="13" x14ac:dyDescent="0.15">
      <c r="D1028" s="52"/>
    </row>
    <row r="1029" spans="4:4" ht="13" x14ac:dyDescent="0.15">
      <c r="D1029" s="52"/>
    </row>
    <row r="1030" spans="4:4" ht="13" x14ac:dyDescent="0.15">
      <c r="D1030" s="52"/>
    </row>
    <row r="1031" spans="4:4" ht="13" x14ac:dyDescent="0.15">
      <c r="D1031" s="52"/>
    </row>
    <row r="1032" spans="4:4" ht="13" x14ac:dyDescent="0.15">
      <c r="D1032" s="52"/>
    </row>
    <row r="1033" spans="4:4" ht="13" x14ac:dyDescent="0.15">
      <c r="D1033" s="52"/>
    </row>
    <row r="1034" spans="4:4" ht="13" x14ac:dyDescent="0.15">
      <c r="D1034" s="52"/>
    </row>
    <row r="1035" spans="4:4" ht="13" x14ac:dyDescent="0.15">
      <c r="D1035" s="52"/>
    </row>
    <row r="1036" spans="4:4" ht="13" x14ac:dyDescent="0.15">
      <c r="D1036" s="52"/>
    </row>
    <row r="1037" spans="4:4" ht="13" x14ac:dyDescent="0.15">
      <c r="D1037" s="52"/>
    </row>
    <row r="1038" spans="4:4" ht="13" x14ac:dyDescent="0.15">
      <c r="D1038" s="52"/>
    </row>
    <row r="1039" spans="4:4" ht="13" x14ac:dyDescent="0.15">
      <c r="D1039" s="52"/>
    </row>
    <row r="1040" spans="4:4" ht="13" x14ac:dyDescent="0.15">
      <c r="D1040" s="52"/>
    </row>
    <row r="1041" spans="4:4" ht="13" x14ac:dyDescent="0.15">
      <c r="D1041" s="52"/>
    </row>
    <row r="1042" spans="4:4" ht="13" x14ac:dyDescent="0.15">
      <c r="D1042" s="52"/>
    </row>
    <row r="1043" spans="4:4" ht="13" x14ac:dyDescent="0.15">
      <c r="D1043" s="52"/>
    </row>
    <row r="1044" spans="4:4" ht="13" x14ac:dyDescent="0.15">
      <c r="D1044" s="52"/>
    </row>
    <row r="1045" spans="4:4" ht="13" x14ac:dyDescent="0.15">
      <c r="D1045" s="52"/>
    </row>
    <row r="1046" spans="4:4" ht="13" x14ac:dyDescent="0.15">
      <c r="D1046" s="52"/>
    </row>
    <row r="1047" spans="4:4" ht="13" x14ac:dyDescent="0.15">
      <c r="D1047" s="52"/>
    </row>
    <row r="1048" spans="4:4" ht="13" x14ac:dyDescent="0.15">
      <c r="D1048" s="52"/>
    </row>
    <row r="1049" spans="4:4" ht="13" x14ac:dyDescent="0.15">
      <c r="D1049" s="52"/>
    </row>
    <row r="1050" spans="4:4" ht="13" x14ac:dyDescent="0.15">
      <c r="D1050" s="52"/>
    </row>
    <row r="1051" spans="4:4" ht="13" x14ac:dyDescent="0.15">
      <c r="D1051" s="52"/>
    </row>
    <row r="1052" spans="4:4" ht="13" x14ac:dyDescent="0.15">
      <c r="D1052" s="52"/>
    </row>
    <row r="1053" spans="4:4" ht="13" x14ac:dyDescent="0.15">
      <c r="D1053" s="52"/>
    </row>
    <row r="1054" spans="4:4" ht="13" x14ac:dyDescent="0.15">
      <c r="D1054" s="52"/>
    </row>
    <row r="1055" spans="4:4" ht="13" x14ac:dyDescent="0.15">
      <c r="D1055" s="52"/>
    </row>
    <row r="1056" spans="4:4" ht="13" x14ac:dyDescent="0.15">
      <c r="D1056" s="52"/>
    </row>
    <row r="1057" spans="4:4" ht="13" x14ac:dyDescent="0.15">
      <c r="D1057" s="52"/>
    </row>
    <row r="1058" spans="4:4" ht="13" x14ac:dyDescent="0.15">
      <c r="D1058" s="52"/>
    </row>
    <row r="1059" spans="4:4" ht="13" x14ac:dyDescent="0.15">
      <c r="D1059" s="52"/>
    </row>
    <row r="1060" spans="4:4" ht="13" x14ac:dyDescent="0.15">
      <c r="D1060" s="52"/>
    </row>
    <row r="1061" spans="4:4" ht="13" x14ac:dyDescent="0.15">
      <c r="D1061" s="52"/>
    </row>
    <row r="1062" spans="4:4" ht="13" x14ac:dyDescent="0.15">
      <c r="D1062" s="52"/>
    </row>
    <row r="1063" spans="4:4" ht="13" x14ac:dyDescent="0.15">
      <c r="D1063" s="52"/>
    </row>
    <row r="1064" spans="4:4" ht="13" x14ac:dyDescent="0.15">
      <c r="D1064" s="52"/>
    </row>
    <row r="1065" spans="4:4" ht="13" x14ac:dyDescent="0.15">
      <c r="D1065" s="52"/>
    </row>
    <row r="1066" spans="4:4" ht="13" x14ac:dyDescent="0.15">
      <c r="D1066" s="52"/>
    </row>
    <row r="1067" spans="4:4" ht="13" x14ac:dyDescent="0.15">
      <c r="D1067" s="52"/>
    </row>
    <row r="1068" spans="4:4" ht="13" x14ac:dyDescent="0.15">
      <c r="D1068" s="52"/>
    </row>
    <row r="1069" spans="4:4" ht="13" x14ac:dyDescent="0.15">
      <c r="D1069" s="52"/>
    </row>
    <row r="1070" spans="4:4" ht="13" x14ac:dyDescent="0.15">
      <c r="D1070" s="52"/>
    </row>
    <row r="1071" spans="4:4" ht="13" x14ac:dyDescent="0.15">
      <c r="D1071" s="52"/>
    </row>
    <row r="1072" spans="4:4" ht="13" x14ac:dyDescent="0.15">
      <c r="D1072" s="52"/>
    </row>
    <row r="1073" spans="4:4" ht="13" x14ac:dyDescent="0.15">
      <c r="D1073" s="52"/>
    </row>
    <row r="1074" spans="4:4" ht="13" x14ac:dyDescent="0.15">
      <c r="D1074" s="52"/>
    </row>
    <row r="1075" spans="4:4" ht="13" x14ac:dyDescent="0.15">
      <c r="D1075" s="52"/>
    </row>
    <row r="1076" spans="4:4" ht="13" x14ac:dyDescent="0.15">
      <c r="D1076" s="52"/>
    </row>
    <row r="1077" spans="4:4" ht="13" x14ac:dyDescent="0.15">
      <c r="D1077" s="52"/>
    </row>
    <row r="1078" spans="4:4" ht="13" x14ac:dyDescent="0.15">
      <c r="D1078" s="52"/>
    </row>
    <row r="1079" spans="4:4" ht="13" x14ac:dyDescent="0.15">
      <c r="D1079" s="52"/>
    </row>
    <row r="1080" spans="4:4" ht="13" x14ac:dyDescent="0.15">
      <c r="D1080" s="52"/>
    </row>
    <row r="1081" spans="4:4" ht="13" x14ac:dyDescent="0.15">
      <c r="D1081" s="52"/>
    </row>
    <row r="1082" spans="4:4" ht="13" x14ac:dyDescent="0.15">
      <c r="D1082" s="52"/>
    </row>
    <row r="1083" spans="4:4" ht="13" x14ac:dyDescent="0.15">
      <c r="D1083" s="52"/>
    </row>
    <row r="1084" spans="4:4" ht="13" x14ac:dyDescent="0.15">
      <c r="D1084" s="52"/>
    </row>
    <row r="1085" spans="4:4" ht="13" x14ac:dyDescent="0.15">
      <c r="D1085" s="52"/>
    </row>
    <row r="1086" spans="4:4" ht="13" x14ac:dyDescent="0.15">
      <c r="D1086" s="52"/>
    </row>
    <row r="1087" spans="4:4" ht="13" x14ac:dyDescent="0.15">
      <c r="D1087" s="52"/>
    </row>
    <row r="1088" spans="4:4" ht="13" x14ac:dyDescent="0.15">
      <c r="D1088" s="52"/>
    </row>
    <row r="1089" spans="4:4" ht="13" x14ac:dyDescent="0.15">
      <c r="D1089" s="52"/>
    </row>
    <row r="1090" spans="4:4" ht="13" x14ac:dyDescent="0.15">
      <c r="D1090" s="52"/>
    </row>
    <row r="1091" spans="4:4" ht="13" x14ac:dyDescent="0.15">
      <c r="D1091" s="52"/>
    </row>
    <row r="1092" spans="4:4" ht="13" x14ac:dyDescent="0.15">
      <c r="D1092" s="52"/>
    </row>
    <row r="1093" spans="4:4" ht="13" x14ac:dyDescent="0.15">
      <c r="D1093" s="52"/>
    </row>
    <row r="1094" spans="4:4" ht="13" x14ac:dyDescent="0.15">
      <c r="D1094" s="52"/>
    </row>
    <row r="1095" spans="4:4" ht="13" x14ac:dyDescent="0.15">
      <c r="D1095" s="52"/>
    </row>
    <row r="1096" spans="4:4" ht="13" x14ac:dyDescent="0.15">
      <c r="D1096" s="52"/>
    </row>
    <row r="1097" spans="4:4" ht="13" x14ac:dyDescent="0.15">
      <c r="D1097" s="52"/>
    </row>
    <row r="1098" spans="4:4" ht="13" x14ac:dyDescent="0.15">
      <c r="D1098" s="52"/>
    </row>
    <row r="1099" spans="4:4" ht="13" x14ac:dyDescent="0.15">
      <c r="D1099" s="52"/>
    </row>
    <row r="1100" spans="4:4" ht="13" x14ac:dyDescent="0.15">
      <c r="D1100" s="52"/>
    </row>
    <row r="1101" spans="4:4" ht="13" x14ac:dyDescent="0.15">
      <c r="D1101" s="52"/>
    </row>
    <row r="1102" spans="4:4" ht="13" x14ac:dyDescent="0.15">
      <c r="D1102" s="52"/>
    </row>
    <row r="1103" spans="4:4" ht="13" x14ac:dyDescent="0.15">
      <c r="D1103" s="52"/>
    </row>
    <row r="1104" spans="4:4" ht="13" x14ac:dyDescent="0.15">
      <c r="D1104" s="52"/>
    </row>
    <row r="1105" spans="4:4" ht="13" x14ac:dyDescent="0.15">
      <c r="D1105" s="52"/>
    </row>
    <row r="1106" spans="4:4" ht="13" x14ac:dyDescent="0.15">
      <c r="D1106" s="52"/>
    </row>
    <row r="1107" spans="4:4" ht="13" x14ac:dyDescent="0.15">
      <c r="D1107" s="52"/>
    </row>
    <row r="1108" spans="4:4" ht="13" x14ac:dyDescent="0.15">
      <c r="D1108" s="52"/>
    </row>
    <row r="1109" spans="4:4" ht="13" x14ac:dyDescent="0.15">
      <c r="D1109" s="52"/>
    </row>
    <row r="1110" spans="4:4" ht="13" x14ac:dyDescent="0.15">
      <c r="D1110" s="52"/>
    </row>
    <row r="1111" spans="4:4" ht="13" x14ac:dyDescent="0.15">
      <c r="D1111" s="52"/>
    </row>
    <row r="1112" spans="4:4" ht="13" x14ac:dyDescent="0.15">
      <c r="D1112" s="52"/>
    </row>
    <row r="1113" spans="4:4" ht="13" x14ac:dyDescent="0.15">
      <c r="D1113" s="52"/>
    </row>
    <row r="1114" spans="4:4" ht="13" x14ac:dyDescent="0.15">
      <c r="D1114" s="52"/>
    </row>
    <row r="1115" spans="4:4" ht="13" x14ac:dyDescent="0.15">
      <c r="D1115" s="52"/>
    </row>
    <row r="1116" spans="4:4" ht="13" x14ac:dyDescent="0.15">
      <c r="D1116" s="52"/>
    </row>
    <row r="1117" spans="4:4" ht="13" x14ac:dyDescent="0.15">
      <c r="D1117" s="52"/>
    </row>
    <row r="1118" spans="4:4" ht="13" x14ac:dyDescent="0.15">
      <c r="D1118" s="52"/>
    </row>
    <row r="1119" spans="4:4" ht="13" x14ac:dyDescent="0.15">
      <c r="D1119" s="52"/>
    </row>
    <row r="1120" spans="4:4" ht="13" x14ac:dyDescent="0.15">
      <c r="D1120" s="52"/>
    </row>
    <row r="1121" spans="4:4" ht="13" x14ac:dyDescent="0.15">
      <c r="D1121" s="52"/>
    </row>
    <row r="1122" spans="4:4" ht="13" x14ac:dyDescent="0.15">
      <c r="D1122" s="52"/>
    </row>
    <row r="1123" spans="4:4" ht="13" x14ac:dyDescent="0.15">
      <c r="D1123" s="52"/>
    </row>
    <row r="1124" spans="4:4" ht="13" x14ac:dyDescent="0.15">
      <c r="D1124" s="52"/>
    </row>
    <row r="1125" spans="4:4" ht="13" x14ac:dyDescent="0.15">
      <c r="D1125" s="52"/>
    </row>
    <row r="1126" spans="4:4" ht="13" x14ac:dyDescent="0.15">
      <c r="D1126" s="52"/>
    </row>
    <row r="1127" spans="4:4" ht="13" x14ac:dyDescent="0.15">
      <c r="D1127" s="52"/>
    </row>
    <row r="1128" spans="4:4" ht="13" x14ac:dyDescent="0.15">
      <c r="D1128" s="52"/>
    </row>
    <row r="1129" spans="4:4" ht="13" x14ac:dyDescent="0.15">
      <c r="D1129" s="52"/>
    </row>
    <row r="1130" spans="4:4" ht="13" x14ac:dyDescent="0.15">
      <c r="D1130" s="52"/>
    </row>
    <row r="1131" spans="4:4" ht="13" x14ac:dyDescent="0.15">
      <c r="D1131" s="52"/>
    </row>
    <row r="1132" spans="4:4" ht="13" x14ac:dyDescent="0.15">
      <c r="D1132" s="52"/>
    </row>
    <row r="1133" spans="4:4" ht="13" x14ac:dyDescent="0.15">
      <c r="D1133" s="52"/>
    </row>
    <row r="1134" spans="4:4" ht="13" x14ac:dyDescent="0.15">
      <c r="D1134" s="52"/>
    </row>
    <row r="1135" spans="4:4" ht="13" x14ac:dyDescent="0.15">
      <c r="D1135" s="52"/>
    </row>
    <row r="1136" spans="4:4" ht="13" x14ac:dyDescent="0.15">
      <c r="D1136" s="52"/>
    </row>
    <row r="1137" spans="4:4" ht="13" x14ac:dyDescent="0.15">
      <c r="D1137" s="52"/>
    </row>
    <row r="1138" spans="4:4" ht="13" x14ac:dyDescent="0.15">
      <c r="D1138" s="52"/>
    </row>
    <row r="1139" spans="4:4" ht="13" x14ac:dyDescent="0.15">
      <c r="D1139" s="52"/>
    </row>
    <row r="1140" spans="4:4" ht="13" x14ac:dyDescent="0.15">
      <c r="D1140" s="52"/>
    </row>
    <row r="1141" spans="4:4" ht="13" x14ac:dyDescent="0.15">
      <c r="D1141" s="52"/>
    </row>
    <row r="1142" spans="4:4" ht="13" x14ac:dyDescent="0.15">
      <c r="D1142" s="52"/>
    </row>
    <row r="1143" spans="4:4" ht="13" x14ac:dyDescent="0.15">
      <c r="D1143" s="52"/>
    </row>
    <row r="1144" spans="4:4" ht="13" x14ac:dyDescent="0.15">
      <c r="D1144" s="52"/>
    </row>
    <row r="1145" spans="4:4" ht="13" x14ac:dyDescent="0.15">
      <c r="D1145" s="52"/>
    </row>
    <row r="1146" spans="4:4" ht="13" x14ac:dyDescent="0.15">
      <c r="D1146" s="52"/>
    </row>
    <row r="1147" spans="4:4" ht="13" x14ac:dyDescent="0.15">
      <c r="D1147" s="52"/>
    </row>
    <row r="1148" spans="4:4" ht="13" x14ac:dyDescent="0.15">
      <c r="D1148" s="52"/>
    </row>
    <row r="1149" spans="4:4" ht="13" x14ac:dyDescent="0.15">
      <c r="D1149" s="52"/>
    </row>
    <row r="1150" spans="4:4" ht="13" x14ac:dyDescent="0.15">
      <c r="D1150" s="52"/>
    </row>
    <row r="1151" spans="4:4" ht="13" x14ac:dyDescent="0.15">
      <c r="D1151" s="52"/>
    </row>
    <row r="1152" spans="4:4" ht="13" x14ac:dyDescent="0.15">
      <c r="D1152" s="52"/>
    </row>
    <row r="1153" spans="4:4" ht="13" x14ac:dyDescent="0.15">
      <c r="D1153" s="52"/>
    </row>
    <row r="1154" spans="4:4" ht="13" x14ac:dyDescent="0.15">
      <c r="D1154" s="52"/>
    </row>
    <row r="1155" spans="4:4" ht="13" x14ac:dyDescent="0.15">
      <c r="D1155" s="52"/>
    </row>
    <row r="1156" spans="4:4" ht="13" x14ac:dyDescent="0.15">
      <c r="D1156" s="52"/>
    </row>
    <row r="1157" spans="4:4" ht="13" x14ac:dyDescent="0.15">
      <c r="D1157" s="52"/>
    </row>
    <row r="1158" spans="4:4" ht="13" x14ac:dyDescent="0.15">
      <c r="D1158" s="52"/>
    </row>
    <row r="1159" spans="4:4" ht="13" x14ac:dyDescent="0.15">
      <c r="D1159" s="52"/>
    </row>
    <row r="1160" spans="4:4" ht="13" x14ac:dyDescent="0.15">
      <c r="D1160" s="52"/>
    </row>
    <row r="1161" spans="4:4" ht="13" x14ac:dyDescent="0.15">
      <c r="D1161" s="52"/>
    </row>
    <row r="1162" spans="4:4" ht="13" x14ac:dyDescent="0.15">
      <c r="D1162" s="52"/>
    </row>
    <row r="1163" spans="4:4" ht="13" x14ac:dyDescent="0.15">
      <c r="D1163" s="52"/>
    </row>
    <row r="1164" spans="4:4" ht="13" x14ac:dyDescent="0.15">
      <c r="D1164" s="52"/>
    </row>
    <row r="1165" spans="4:4" ht="13" x14ac:dyDescent="0.15">
      <c r="D1165" s="52"/>
    </row>
    <row r="1166" spans="4:4" ht="13" x14ac:dyDescent="0.15">
      <c r="D1166" s="52"/>
    </row>
    <row r="1167" spans="4:4" ht="13" x14ac:dyDescent="0.15">
      <c r="D1167" s="52"/>
    </row>
    <row r="1168" spans="4:4" ht="13" x14ac:dyDescent="0.15">
      <c r="D1168" s="52"/>
    </row>
    <row r="1169" spans="4:4" ht="13" x14ac:dyDescent="0.15">
      <c r="D1169" s="52"/>
    </row>
    <row r="1170" spans="4:4" ht="13" x14ac:dyDescent="0.15">
      <c r="D1170" s="52"/>
    </row>
    <row r="1171" spans="4:4" ht="13" x14ac:dyDescent="0.15">
      <c r="D1171" s="52"/>
    </row>
    <row r="1172" spans="4:4" ht="13" x14ac:dyDescent="0.15">
      <c r="D1172" s="52"/>
    </row>
    <row r="1173" spans="4:4" ht="13" x14ac:dyDescent="0.15">
      <c r="D1173" s="52"/>
    </row>
    <row r="1174" spans="4:4" ht="13" x14ac:dyDescent="0.15">
      <c r="D1174" s="52"/>
    </row>
    <row r="1175" spans="4:4" ht="13" x14ac:dyDescent="0.15">
      <c r="D1175" s="52"/>
    </row>
    <row r="1176" spans="4:4" ht="13" x14ac:dyDescent="0.15">
      <c r="D1176" s="52"/>
    </row>
    <row r="1177" spans="4:4" ht="13" x14ac:dyDescent="0.15">
      <c r="D1177" s="52"/>
    </row>
    <row r="1178" spans="4:4" ht="13" x14ac:dyDescent="0.15">
      <c r="D1178" s="52"/>
    </row>
    <row r="1179" spans="4:4" ht="13" x14ac:dyDescent="0.15">
      <c r="D1179" s="52"/>
    </row>
    <row r="1180" spans="4:4" ht="13" x14ac:dyDescent="0.15">
      <c r="D1180" s="52"/>
    </row>
    <row r="1181" spans="4:4" ht="13" x14ac:dyDescent="0.15">
      <c r="D1181" s="52"/>
    </row>
    <row r="1182" spans="4:4" ht="13" x14ac:dyDescent="0.15">
      <c r="D1182" s="52"/>
    </row>
    <row r="1183" spans="4:4" ht="13" x14ac:dyDescent="0.15">
      <c r="D1183" s="52"/>
    </row>
    <row r="1184" spans="4:4" ht="13" x14ac:dyDescent="0.15">
      <c r="D1184" s="52"/>
    </row>
    <row r="1185" spans="4:4" ht="13" x14ac:dyDescent="0.15">
      <c r="D1185" s="52"/>
    </row>
    <row r="1186" spans="4:4" ht="13" x14ac:dyDescent="0.15">
      <c r="D1186" s="52"/>
    </row>
    <row r="1187" spans="4:4" ht="13" x14ac:dyDescent="0.15">
      <c r="D1187" s="52"/>
    </row>
    <row r="1188" spans="4:4" ht="13" x14ac:dyDescent="0.15">
      <c r="D1188" s="52"/>
    </row>
    <row r="1189" spans="4:4" ht="13" x14ac:dyDescent="0.15">
      <c r="D1189" s="52"/>
    </row>
    <row r="1190" spans="4:4" ht="13" x14ac:dyDescent="0.15">
      <c r="D1190" s="52"/>
    </row>
    <row r="1191" spans="4:4" ht="13" x14ac:dyDescent="0.15">
      <c r="D1191" s="52"/>
    </row>
    <row r="1192" spans="4:4" ht="13" x14ac:dyDescent="0.15">
      <c r="D1192" s="52"/>
    </row>
    <row r="1193" spans="4:4" ht="13" x14ac:dyDescent="0.15">
      <c r="D1193" s="52"/>
    </row>
    <row r="1194" spans="4:4" ht="13" x14ac:dyDescent="0.15">
      <c r="D1194" s="52"/>
    </row>
    <row r="1195" spans="4:4" ht="13" x14ac:dyDescent="0.15">
      <c r="D1195" s="52"/>
    </row>
    <row r="1196" spans="4:4" ht="13" x14ac:dyDescent="0.15">
      <c r="D1196" s="52"/>
    </row>
    <row r="1197" spans="4:4" ht="13" x14ac:dyDescent="0.15">
      <c r="D1197" s="52"/>
    </row>
    <row r="1198" spans="4:4" ht="13" x14ac:dyDescent="0.15">
      <c r="D1198" s="52"/>
    </row>
    <row r="1199" spans="4:4" ht="13" x14ac:dyDescent="0.15">
      <c r="D1199" s="52"/>
    </row>
    <row r="1200" spans="4:4" ht="13" x14ac:dyDescent="0.15">
      <c r="D1200" s="52"/>
    </row>
    <row r="1201" spans="4:4" ht="13" x14ac:dyDescent="0.15">
      <c r="D1201" s="52"/>
    </row>
    <row r="1202" spans="4:4" ht="13" x14ac:dyDescent="0.15">
      <c r="D1202" s="52"/>
    </row>
    <row r="1203" spans="4:4" ht="13" x14ac:dyDescent="0.15">
      <c r="D1203" s="52"/>
    </row>
    <row r="1204" spans="4:4" ht="13" x14ac:dyDescent="0.15">
      <c r="D1204" s="52"/>
    </row>
    <row r="1205" spans="4:4" ht="13" x14ac:dyDescent="0.15">
      <c r="D1205" s="52"/>
    </row>
    <row r="1206" spans="4:4" ht="13" x14ac:dyDescent="0.15">
      <c r="D1206" s="52"/>
    </row>
    <row r="1207" spans="4:4" ht="13" x14ac:dyDescent="0.15">
      <c r="D1207" s="52"/>
    </row>
    <row r="1208" spans="4:4" ht="13" x14ac:dyDescent="0.15">
      <c r="D1208" s="52"/>
    </row>
    <row r="1209" spans="4:4" ht="13" x14ac:dyDescent="0.15">
      <c r="D1209" s="52"/>
    </row>
    <row r="1210" spans="4:4" ht="13" x14ac:dyDescent="0.15">
      <c r="D1210" s="52"/>
    </row>
    <row r="1211" spans="4:4" ht="13" x14ac:dyDescent="0.15">
      <c r="D1211" s="52"/>
    </row>
    <row r="1212" spans="4:4" ht="13" x14ac:dyDescent="0.15">
      <c r="D1212" s="52"/>
    </row>
    <row r="1213" spans="4:4" ht="13" x14ac:dyDescent="0.15">
      <c r="D1213" s="52"/>
    </row>
    <row r="1214" spans="4:4" ht="13" x14ac:dyDescent="0.15">
      <c r="D1214" s="52"/>
    </row>
    <row r="1215" spans="4:4" ht="13" x14ac:dyDescent="0.15">
      <c r="D1215" s="52"/>
    </row>
    <row r="1216" spans="4:4" ht="13" x14ac:dyDescent="0.15">
      <c r="D1216" s="52"/>
    </row>
    <row r="1217" spans="4:4" ht="13" x14ac:dyDescent="0.15">
      <c r="D1217" s="52"/>
    </row>
    <row r="1218" spans="4:4" ht="13" x14ac:dyDescent="0.15">
      <c r="D1218" s="52"/>
    </row>
    <row r="1219" spans="4:4" ht="13" x14ac:dyDescent="0.15">
      <c r="D1219" s="52"/>
    </row>
    <row r="1220" spans="4:4" ht="13" x14ac:dyDescent="0.15">
      <c r="D1220" s="52"/>
    </row>
    <row r="1221" spans="4:4" ht="13" x14ac:dyDescent="0.15">
      <c r="D1221" s="52"/>
    </row>
    <row r="1222" spans="4:4" ht="13" x14ac:dyDescent="0.15">
      <c r="D1222" s="52"/>
    </row>
    <row r="1223" spans="4:4" ht="13" x14ac:dyDescent="0.15">
      <c r="D1223" s="52"/>
    </row>
    <row r="1224" spans="4:4" ht="13" x14ac:dyDescent="0.15">
      <c r="D1224" s="52"/>
    </row>
    <row r="1225" spans="4:4" ht="13" x14ac:dyDescent="0.15">
      <c r="D1225" s="52"/>
    </row>
    <row r="1226" spans="4:4" ht="13" x14ac:dyDescent="0.15">
      <c r="D1226" s="52"/>
    </row>
    <row r="1227" spans="4:4" ht="13" x14ac:dyDescent="0.15">
      <c r="D1227" s="52"/>
    </row>
    <row r="1228" spans="4:4" ht="13" x14ac:dyDescent="0.15">
      <c r="D1228" s="52"/>
    </row>
    <row r="1229" spans="4:4" ht="13" x14ac:dyDescent="0.15">
      <c r="D1229" s="52"/>
    </row>
    <row r="1230" spans="4:4" ht="13" x14ac:dyDescent="0.15">
      <c r="D1230" s="52"/>
    </row>
    <row r="1231" spans="4:4" ht="13" x14ac:dyDescent="0.15">
      <c r="D1231" s="52"/>
    </row>
    <row r="1232" spans="4:4" ht="13" x14ac:dyDescent="0.15">
      <c r="D1232" s="52"/>
    </row>
    <row r="1233" spans="4:4" ht="13" x14ac:dyDescent="0.15">
      <c r="D1233" s="52"/>
    </row>
    <row r="1234" spans="4:4" ht="13" x14ac:dyDescent="0.15">
      <c r="D1234" s="52"/>
    </row>
    <row r="1235" spans="4:4" ht="13" x14ac:dyDescent="0.15">
      <c r="D1235" s="52"/>
    </row>
    <row r="1236" spans="4:4" ht="13" x14ac:dyDescent="0.15">
      <c r="D1236" s="52"/>
    </row>
    <row r="1237" spans="4:4" ht="13" x14ac:dyDescent="0.15">
      <c r="D1237" s="52"/>
    </row>
    <row r="1238" spans="4:4" ht="13" x14ac:dyDescent="0.15">
      <c r="D1238" s="52"/>
    </row>
    <row r="1239" spans="4:4" ht="13" x14ac:dyDescent="0.15">
      <c r="D1239" s="52"/>
    </row>
    <row r="1240" spans="4:4" ht="13" x14ac:dyDescent="0.15">
      <c r="D1240" s="52"/>
    </row>
    <row r="1241" spans="4:4" ht="13" x14ac:dyDescent="0.15">
      <c r="D1241" s="52"/>
    </row>
    <row r="1242" spans="4:4" ht="13" x14ac:dyDescent="0.15">
      <c r="D1242" s="52"/>
    </row>
    <row r="1243" spans="4:4" ht="13" x14ac:dyDescent="0.15">
      <c r="D1243" s="52"/>
    </row>
    <row r="1244" spans="4:4" ht="13" x14ac:dyDescent="0.15">
      <c r="D1244" s="52"/>
    </row>
    <row r="1245" spans="4:4" ht="13" x14ac:dyDescent="0.15">
      <c r="D1245" s="52"/>
    </row>
    <row r="1246" spans="4:4" ht="13" x14ac:dyDescent="0.15">
      <c r="D1246" s="52"/>
    </row>
    <row r="1247" spans="4:4" ht="13" x14ac:dyDescent="0.15">
      <c r="D1247" s="52"/>
    </row>
    <row r="1248" spans="4:4" ht="13" x14ac:dyDescent="0.15">
      <c r="D1248" s="52"/>
    </row>
    <row r="1249" spans="4:4" ht="13" x14ac:dyDescent="0.15">
      <c r="D1249" s="52"/>
    </row>
    <row r="1250" spans="4:4" ht="13" x14ac:dyDescent="0.15">
      <c r="D1250" s="52"/>
    </row>
    <row r="1251" spans="4:4" ht="13" x14ac:dyDescent="0.15">
      <c r="D1251" s="52"/>
    </row>
    <row r="1252" spans="4:4" ht="13" x14ac:dyDescent="0.15">
      <c r="D1252" s="52"/>
    </row>
    <row r="1253" spans="4:4" ht="13" x14ac:dyDescent="0.15">
      <c r="D1253" s="52"/>
    </row>
    <row r="1254" spans="4:4" ht="13" x14ac:dyDescent="0.15">
      <c r="D1254" s="52"/>
    </row>
    <row r="1255" spans="4:4" ht="13" x14ac:dyDescent="0.15">
      <c r="D1255" s="52"/>
    </row>
    <row r="1256" spans="4:4" ht="13" x14ac:dyDescent="0.15">
      <c r="D1256" s="52"/>
    </row>
    <row r="1257" spans="4:4" ht="13" x14ac:dyDescent="0.15">
      <c r="D1257" s="52"/>
    </row>
    <row r="1258" spans="4:4" ht="13" x14ac:dyDescent="0.15">
      <c r="D1258" s="52"/>
    </row>
    <row r="1259" spans="4:4" ht="13" x14ac:dyDescent="0.15">
      <c r="D1259" s="52"/>
    </row>
    <row r="1260" spans="4:4" ht="13" x14ac:dyDescent="0.15">
      <c r="D1260" s="52"/>
    </row>
    <row r="1261" spans="4:4" ht="13" x14ac:dyDescent="0.15">
      <c r="D1261" s="52"/>
    </row>
    <row r="1262" spans="4:4" ht="13" x14ac:dyDescent="0.15">
      <c r="D1262" s="52"/>
    </row>
    <row r="1263" spans="4:4" ht="13" x14ac:dyDescent="0.15">
      <c r="D1263" s="52"/>
    </row>
    <row r="1264" spans="4:4" ht="13" x14ac:dyDescent="0.15">
      <c r="D1264" s="52"/>
    </row>
    <row r="1265" spans="4:4" ht="13" x14ac:dyDescent="0.15">
      <c r="D1265" s="52"/>
    </row>
    <row r="1266" spans="4:4" ht="13" x14ac:dyDescent="0.15">
      <c r="D1266" s="52"/>
    </row>
    <row r="1267" spans="4:4" ht="13" x14ac:dyDescent="0.15">
      <c r="D1267" s="52"/>
    </row>
    <row r="1268" spans="4:4" ht="13" x14ac:dyDescent="0.15">
      <c r="D1268" s="52"/>
    </row>
    <row r="1269" spans="4:4" ht="13" x14ac:dyDescent="0.15">
      <c r="D1269" s="52"/>
    </row>
    <row r="1270" spans="4:4" ht="13" x14ac:dyDescent="0.15">
      <c r="D1270" s="52"/>
    </row>
    <row r="1271" spans="4:4" ht="13" x14ac:dyDescent="0.15">
      <c r="D1271" s="52"/>
    </row>
    <row r="1272" spans="4:4" ht="13" x14ac:dyDescent="0.15">
      <c r="D1272" s="52"/>
    </row>
    <row r="1273" spans="4:4" ht="13" x14ac:dyDescent="0.15">
      <c r="D1273" s="52"/>
    </row>
    <row r="1274" spans="4:4" ht="13" x14ac:dyDescent="0.15">
      <c r="D1274" s="52"/>
    </row>
    <row r="1275" spans="4:4" ht="13" x14ac:dyDescent="0.15">
      <c r="D1275" s="52"/>
    </row>
    <row r="1276" spans="4:4" ht="13" x14ac:dyDescent="0.15">
      <c r="D1276" s="52"/>
    </row>
    <row r="1277" spans="4:4" ht="13" x14ac:dyDescent="0.15">
      <c r="D1277" s="52"/>
    </row>
    <row r="1278" spans="4:4" ht="13" x14ac:dyDescent="0.15">
      <c r="D1278" s="52"/>
    </row>
    <row r="1279" spans="4:4" ht="13" x14ac:dyDescent="0.15">
      <c r="D1279" s="52"/>
    </row>
    <row r="1280" spans="4:4" ht="13" x14ac:dyDescent="0.15">
      <c r="D1280" s="52"/>
    </row>
    <row r="1281" spans="4:4" ht="13" x14ac:dyDescent="0.15">
      <c r="D1281" s="52"/>
    </row>
    <row r="1282" spans="4:4" ht="13" x14ac:dyDescent="0.15">
      <c r="D1282" s="52"/>
    </row>
    <row r="1283" spans="4:4" ht="13" x14ac:dyDescent="0.15">
      <c r="D1283" s="52"/>
    </row>
    <row r="1284" spans="4:4" ht="13" x14ac:dyDescent="0.15">
      <c r="D1284" s="52"/>
    </row>
    <row r="1285" spans="4:4" ht="13" x14ac:dyDescent="0.15">
      <c r="D1285" s="52"/>
    </row>
    <row r="1286" spans="4:4" ht="13" x14ac:dyDescent="0.15">
      <c r="D1286" s="52"/>
    </row>
    <row r="1287" spans="4:4" ht="13" x14ac:dyDescent="0.15">
      <c r="D1287" s="52"/>
    </row>
    <row r="1288" spans="4:4" ht="13" x14ac:dyDescent="0.15">
      <c r="D1288" s="52"/>
    </row>
    <row r="1289" spans="4:4" ht="13" x14ac:dyDescent="0.15">
      <c r="D1289" s="52"/>
    </row>
    <row r="1290" spans="4:4" ht="13" x14ac:dyDescent="0.15">
      <c r="D1290" s="52"/>
    </row>
    <row r="1291" spans="4:4" ht="13" x14ac:dyDescent="0.15">
      <c r="D1291" s="52"/>
    </row>
    <row r="1292" spans="4:4" ht="13" x14ac:dyDescent="0.15">
      <c r="D1292" s="52"/>
    </row>
    <row r="1293" spans="4:4" ht="13" x14ac:dyDescent="0.15">
      <c r="D1293" s="52"/>
    </row>
    <row r="1294" spans="4:4" ht="13" x14ac:dyDescent="0.15">
      <c r="D1294" s="52"/>
    </row>
    <row r="1295" spans="4:4" ht="13" x14ac:dyDescent="0.15">
      <c r="D1295" s="52"/>
    </row>
    <row r="1296" spans="4:4" ht="13" x14ac:dyDescent="0.15">
      <c r="D1296" s="52"/>
    </row>
    <row r="1297" spans="4:4" ht="13" x14ac:dyDescent="0.15">
      <c r="D1297" s="52"/>
    </row>
    <row r="1298" spans="4:4" ht="13" x14ac:dyDescent="0.15">
      <c r="D1298" s="52"/>
    </row>
    <row r="1299" spans="4:4" ht="13" x14ac:dyDescent="0.15">
      <c r="D1299" s="52"/>
    </row>
    <row r="1300" spans="4:4" ht="13" x14ac:dyDescent="0.15">
      <c r="D1300" s="52"/>
    </row>
    <row r="1301" spans="4:4" ht="13" x14ac:dyDescent="0.15">
      <c r="D1301" s="52"/>
    </row>
    <row r="1302" spans="4:4" ht="13" x14ac:dyDescent="0.15">
      <c r="D1302" s="52"/>
    </row>
    <row r="1303" spans="4:4" ht="13" x14ac:dyDescent="0.15">
      <c r="D1303" s="52"/>
    </row>
    <row r="1304" spans="4:4" ht="13" x14ac:dyDescent="0.15">
      <c r="D1304" s="52"/>
    </row>
    <row r="1305" spans="4:4" ht="13" x14ac:dyDescent="0.15">
      <c r="D1305" s="52"/>
    </row>
    <row r="1306" spans="4:4" ht="13" x14ac:dyDescent="0.15">
      <c r="D1306" s="52"/>
    </row>
    <row r="1307" spans="4:4" ht="13" x14ac:dyDescent="0.15">
      <c r="D1307" s="52"/>
    </row>
    <row r="1308" spans="4:4" ht="13" x14ac:dyDescent="0.15">
      <c r="D1308" s="52"/>
    </row>
    <row r="1309" spans="4:4" ht="13" x14ac:dyDescent="0.15">
      <c r="D1309" s="52"/>
    </row>
    <row r="1310" spans="4:4" ht="13" x14ac:dyDescent="0.15">
      <c r="D1310" s="52"/>
    </row>
    <row r="1311" spans="4:4" ht="13" x14ac:dyDescent="0.15">
      <c r="D1311" s="52"/>
    </row>
    <row r="1312" spans="4:4" ht="13" x14ac:dyDescent="0.15">
      <c r="D1312" s="52"/>
    </row>
    <row r="1313" spans="4:4" ht="13" x14ac:dyDescent="0.15">
      <c r="D1313" s="52"/>
    </row>
    <row r="1314" spans="4:4" ht="13" x14ac:dyDescent="0.15">
      <c r="D1314" s="52"/>
    </row>
    <row r="1315" spans="4:4" ht="13" x14ac:dyDescent="0.15">
      <c r="D1315" s="52"/>
    </row>
    <row r="1316" spans="4:4" ht="13" x14ac:dyDescent="0.15">
      <c r="D1316" s="52"/>
    </row>
    <row r="1317" spans="4:4" ht="13" x14ac:dyDescent="0.15">
      <c r="D1317" s="52"/>
    </row>
    <row r="1318" spans="4:4" ht="13" x14ac:dyDescent="0.15">
      <c r="D1318" s="52"/>
    </row>
    <row r="1319" spans="4:4" ht="13" x14ac:dyDescent="0.15">
      <c r="D1319" s="52"/>
    </row>
    <row r="1320" spans="4:4" ht="13" x14ac:dyDescent="0.15">
      <c r="D1320" s="52"/>
    </row>
    <row r="1321" spans="4:4" ht="13" x14ac:dyDescent="0.15">
      <c r="D1321" s="52"/>
    </row>
    <row r="1322" spans="4:4" ht="13" x14ac:dyDescent="0.15">
      <c r="D1322" s="52"/>
    </row>
    <row r="1323" spans="4:4" ht="13" x14ac:dyDescent="0.15">
      <c r="D1323" s="52"/>
    </row>
    <row r="1324" spans="4:4" ht="13" x14ac:dyDescent="0.15">
      <c r="D1324" s="52"/>
    </row>
    <row r="1325" spans="4:4" ht="13" x14ac:dyDescent="0.15">
      <c r="D1325" s="52"/>
    </row>
    <row r="1326" spans="4:4" ht="13" x14ac:dyDescent="0.15">
      <c r="D1326" s="52"/>
    </row>
    <row r="1327" spans="4:4" ht="13" x14ac:dyDescent="0.15">
      <c r="D1327" s="52"/>
    </row>
    <row r="1328" spans="4:4" ht="13" x14ac:dyDescent="0.15">
      <c r="D1328" s="52"/>
    </row>
    <row r="1329" spans="4:4" ht="13" x14ac:dyDescent="0.15">
      <c r="D1329" s="52"/>
    </row>
    <row r="1330" spans="4:4" ht="13" x14ac:dyDescent="0.15">
      <c r="D1330" s="52"/>
    </row>
    <row r="1331" spans="4:4" ht="13" x14ac:dyDescent="0.15">
      <c r="D1331" s="52"/>
    </row>
    <row r="1332" spans="4:4" ht="13" x14ac:dyDescent="0.15">
      <c r="D1332" s="52"/>
    </row>
    <row r="1333" spans="4:4" ht="13" x14ac:dyDescent="0.15">
      <c r="D1333" s="52"/>
    </row>
    <row r="1334" spans="4:4" ht="13" x14ac:dyDescent="0.15">
      <c r="D1334" s="52"/>
    </row>
    <row r="1335" spans="4:4" ht="13" x14ac:dyDescent="0.15">
      <c r="D1335" s="52"/>
    </row>
    <row r="1336" spans="4:4" ht="13" x14ac:dyDescent="0.15">
      <c r="D1336" s="52"/>
    </row>
    <row r="1337" spans="4:4" ht="13" x14ac:dyDescent="0.15">
      <c r="D1337" s="52"/>
    </row>
    <row r="1338" spans="4:4" ht="13" x14ac:dyDescent="0.15">
      <c r="D1338" s="52"/>
    </row>
    <row r="1339" spans="4:4" ht="13" x14ac:dyDescent="0.15">
      <c r="D1339" s="52"/>
    </row>
    <row r="1340" spans="4:4" ht="13" x14ac:dyDescent="0.15">
      <c r="D1340" s="52"/>
    </row>
    <row r="1341" spans="4:4" ht="13" x14ac:dyDescent="0.15">
      <c r="D1341" s="52"/>
    </row>
    <row r="1342" spans="4:4" ht="13" x14ac:dyDescent="0.15">
      <c r="D1342" s="52"/>
    </row>
    <row r="1343" spans="4:4" ht="13" x14ac:dyDescent="0.15">
      <c r="D1343" s="52"/>
    </row>
    <row r="1344" spans="4:4" ht="13" x14ac:dyDescent="0.15">
      <c r="D1344" s="52"/>
    </row>
    <row r="1345" spans="4:4" ht="13" x14ac:dyDescent="0.15">
      <c r="D1345" s="52"/>
    </row>
    <row r="1346" spans="4:4" ht="13" x14ac:dyDescent="0.15">
      <c r="D1346" s="52"/>
    </row>
    <row r="1347" spans="4:4" ht="13" x14ac:dyDescent="0.15">
      <c r="D1347" s="52"/>
    </row>
    <row r="1348" spans="4:4" ht="13" x14ac:dyDescent="0.15">
      <c r="D1348" s="52"/>
    </row>
    <row r="1349" spans="4:4" ht="13" x14ac:dyDescent="0.15">
      <c r="D1349" s="52"/>
    </row>
    <row r="1350" spans="4:4" ht="13" x14ac:dyDescent="0.15">
      <c r="D1350" s="52"/>
    </row>
    <row r="1351" spans="4:4" ht="13" x14ac:dyDescent="0.15">
      <c r="D1351" s="52"/>
    </row>
    <row r="1352" spans="4:4" ht="13" x14ac:dyDescent="0.15">
      <c r="D1352" s="52"/>
    </row>
    <row r="1353" spans="4:4" ht="13" x14ac:dyDescent="0.15">
      <c r="D1353" s="52"/>
    </row>
    <row r="1354" spans="4:4" ht="13" x14ac:dyDescent="0.15">
      <c r="D1354" s="52"/>
    </row>
    <row r="1355" spans="4:4" ht="13" x14ac:dyDescent="0.15">
      <c r="D1355" s="52"/>
    </row>
    <row r="1356" spans="4:4" ht="13" x14ac:dyDescent="0.15">
      <c r="D1356" s="52"/>
    </row>
    <row r="1357" spans="4:4" ht="13" x14ac:dyDescent="0.15">
      <c r="D1357" s="52"/>
    </row>
    <row r="1358" spans="4:4" ht="13" x14ac:dyDescent="0.15">
      <c r="D1358" s="52"/>
    </row>
    <row r="1359" spans="4:4" ht="13" x14ac:dyDescent="0.15">
      <c r="D1359" s="52"/>
    </row>
    <row r="1360" spans="4:4" ht="13" x14ac:dyDescent="0.15">
      <c r="D1360" s="52"/>
    </row>
    <row r="1361" spans="4:4" ht="13" x14ac:dyDescent="0.15">
      <c r="D1361" s="52"/>
    </row>
    <row r="1362" spans="4:4" ht="13" x14ac:dyDescent="0.15">
      <c r="D1362" s="52"/>
    </row>
    <row r="1363" spans="4:4" ht="13" x14ac:dyDescent="0.15">
      <c r="D1363" s="52"/>
    </row>
    <row r="1364" spans="4:4" ht="13" x14ac:dyDescent="0.15">
      <c r="D1364" s="52"/>
    </row>
    <row r="1365" spans="4:4" ht="13" x14ac:dyDescent="0.15">
      <c r="D1365" s="52"/>
    </row>
    <row r="1366" spans="4:4" ht="13" x14ac:dyDescent="0.15">
      <c r="D1366" s="52"/>
    </row>
    <row r="1367" spans="4:4" ht="13" x14ac:dyDescent="0.15">
      <c r="D1367" s="52"/>
    </row>
    <row r="1368" spans="4:4" ht="13" x14ac:dyDescent="0.15">
      <c r="D1368" s="52"/>
    </row>
    <row r="1369" spans="4:4" ht="13" x14ac:dyDescent="0.15">
      <c r="D1369" s="52"/>
    </row>
    <row r="1370" spans="4:4" ht="13" x14ac:dyDescent="0.15">
      <c r="D1370" s="52"/>
    </row>
    <row r="1371" spans="4:4" ht="13" x14ac:dyDescent="0.15">
      <c r="D1371" s="52"/>
    </row>
    <row r="1372" spans="4:4" ht="13" x14ac:dyDescent="0.15">
      <c r="D1372" s="52"/>
    </row>
    <row r="1373" spans="4:4" ht="13" x14ac:dyDescent="0.15">
      <c r="D1373" s="52"/>
    </row>
    <row r="1374" spans="4:4" ht="13" x14ac:dyDescent="0.15">
      <c r="D1374" s="52"/>
    </row>
    <row r="1375" spans="4:4" ht="13" x14ac:dyDescent="0.15">
      <c r="D1375" s="52"/>
    </row>
    <row r="1376" spans="4:4" ht="13" x14ac:dyDescent="0.15">
      <c r="D1376" s="52"/>
    </row>
    <row r="1377" spans="4:4" ht="13" x14ac:dyDescent="0.15">
      <c r="D1377" s="52"/>
    </row>
    <row r="1378" spans="4:4" ht="13" x14ac:dyDescent="0.15">
      <c r="D1378" s="52"/>
    </row>
    <row r="1379" spans="4:4" ht="13" x14ac:dyDescent="0.15">
      <c r="D1379" s="52"/>
    </row>
    <row r="1380" spans="4:4" ht="13" x14ac:dyDescent="0.15">
      <c r="D1380" s="52"/>
    </row>
    <row r="1381" spans="4:4" ht="13" x14ac:dyDescent="0.15">
      <c r="D1381" s="52"/>
    </row>
    <row r="1382" spans="4:4" ht="13" x14ac:dyDescent="0.15">
      <c r="D1382" s="52"/>
    </row>
    <row r="1383" spans="4:4" ht="13" x14ac:dyDescent="0.15">
      <c r="D1383" s="52"/>
    </row>
    <row r="1384" spans="4:4" ht="13" x14ac:dyDescent="0.15">
      <c r="D1384" s="52"/>
    </row>
    <row r="1385" spans="4:4" ht="13" x14ac:dyDescent="0.15">
      <c r="D1385" s="52"/>
    </row>
    <row r="1386" spans="4:4" ht="13" x14ac:dyDescent="0.15">
      <c r="D1386" s="52"/>
    </row>
    <row r="1387" spans="4:4" ht="13" x14ac:dyDescent="0.15">
      <c r="D1387" s="52"/>
    </row>
    <row r="1388" spans="4:4" ht="13" x14ac:dyDescent="0.15">
      <c r="D1388" s="52"/>
    </row>
    <row r="1389" spans="4:4" ht="13" x14ac:dyDescent="0.15">
      <c r="D1389" s="52"/>
    </row>
    <row r="1390" spans="4:4" ht="13" x14ac:dyDescent="0.15">
      <c r="D1390" s="52"/>
    </row>
    <row r="1391" spans="4:4" ht="13" x14ac:dyDescent="0.15">
      <c r="D1391" s="52"/>
    </row>
    <row r="1392" spans="4:4" ht="13" x14ac:dyDescent="0.15">
      <c r="D1392" s="52"/>
    </row>
    <row r="1393" spans="4:4" ht="13" x14ac:dyDescent="0.15">
      <c r="D1393" s="52"/>
    </row>
    <row r="1394" spans="4:4" ht="13" x14ac:dyDescent="0.15">
      <c r="D1394" s="52"/>
    </row>
    <row r="1395" spans="4:4" ht="13" x14ac:dyDescent="0.15">
      <c r="D1395" s="52"/>
    </row>
    <row r="1396" spans="4:4" ht="13" x14ac:dyDescent="0.15">
      <c r="D1396" s="52"/>
    </row>
    <row r="1397" spans="4:4" ht="13" x14ac:dyDescent="0.15">
      <c r="D1397" s="52"/>
    </row>
    <row r="1398" spans="4:4" ht="13" x14ac:dyDescent="0.15">
      <c r="D1398" s="52"/>
    </row>
    <row r="1399" spans="4:4" ht="13" x14ac:dyDescent="0.15">
      <c r="D1399" s="52"/>
    </row>
    <row r="1400" spans="4:4" ht="13" x14ac:dyDescent="0.15">
      <c r="D1400" s="52"/>
    </row>
    <row r="1401" spans="4:4" ht="13" x14ac:dyDescent="0.15">
      <c r="D1401" s="52"/>
    </row>
    <row r="1402" spans="4:4" ht="13" x14ac:dyDescent="0.15">
      <c r="D1402" s="52"/>
    </row>
    <row r="1403" spans="4:4" ht="13" x14ac:dyDescent="0.15">
      <c r="D1403" s="52"/>
    </row>
    <row r="1404" spans="4:4" ht="13" x14ac:dyDescent="0.15">
      <c r="D1404" s="52"/>
    </row>
    <row r="1405" spans="4:4" ht="13" x14ac:dyDescent="0.15">
      <c r="D1405" s="52"/>
    </row>
    <row r="1406" spans="4:4" ht="13" x14ac:dyDescent="0.15">
      <c r="D1406" s="52"/>
    </row>
    <row r="1407" spans="4:4" ht="13" x14ac:dyDescent="0.15">
      <c r="D1407" s="52"/>
    </row>
    <row r="1408" spans="4:4" ht="13" x14ac:dyDescent="0.15">
      <c r="D1408" s="52"/>
    </row>
    <row r="1409" spans="4:4" ht="13" x14ac:dyDescent="0.15">
      <c r="D1409" s="52"/>
    </row>
    <row r="1410" spans="4:4" ht="13" x14ac:dyDescent="0.15">
      <c r="D1410" s="52"/>
    </row>
    <row r="1411" spans="4:4" ht="13" x14ac:dyDescent="0.15">
      <c r="D1411" s="52"/>
    </row>
    <row r="1412" spans="4:4" ht="13" x14ac:dyDescent="0.15">
      <c r="D1412" s="52"/>
    </row>
    <row r="1413" spans="4:4" ht="13" x14ac:dyDescent="0.15">
      <c r="D1413" s="52"/>
    </row>
    <row r="1414" spans="4:4" ht="13" x14ac:dyDescent="0.15">
      <c r="D1414" s="52"/>
    </row>
    <row r="1415" spans="4:4" ht="13" x14ac:dyDescent="0.15">
      <c r="D1415" s="52"/>
    </row>
    <row r="1416" spans="4:4" ht="13" x14ac:dyDescent="0.15">
      <c r="D1416" s="52"/>
    </row>
    <row r="1417" spans="4:4" ht="13" x14ac:dyDescent="0.15">
      <c r="D1417" s="52"/>
    </row>
    <row r="1418" spans="4:4" ht="13" x14ac:dyDescent="0.15">
      <c r="D1418" s="52"/>
    </row>
    <row r="1419" spans="4:4" ht="13" x14ac:dyDescent="0.15">
      <c r="D1419" s="52"/>
    </row>
    <row r="1420" spans="4:4" ht="13" x14ac:dyDescent="0.15">
      <c r="D1420" s="52"/>
    </row>
    <row r="1421" spans="4:4" ht="13" x14ac:dyDescent="0.15">
      <c r="D1421" s="52"/>
    </row>
    <row r="1422" spans="4:4" ht="13" x14ac:dyDescent="0.15">
      <c r="D1422" s="52"/>
    </row>
    <row r="1423" spans="4:4" ht="13" x14ac:dyDescent="0.15">
      <c r="D1423" s="52"/>
    </row>
    <row r="1424" spans="4:4" ht="13" x14ac:dyDescent="0.15">
      <c r="D1424" s="52"/>
    </row>
    <row r="1425" spans="4:4" ht="13" x14ac:dyDescent="0.15">
      <c r="D1425" s="52"/>
    </row>
    <row r="1426" spans="4:4" ht="13" x14ac:dyDescent="0.15">
      <c r="D1426" s="52"/>
    </row>
    <row r="1427" spans="4:4" ht="13" x14ac:dyDescent="0.15">
      <c r="D1427" s="52"/>
    </row>
    <row r="1428" spans="4:4" ht="13" x14ac:dyDescent="0.15">
      <c r="D1428" s="52"/>
    </row>
    <row r="1429" spans="4:4" ht="13" x14ac:dyDescent="0.15">
      <c r="D1429" s="52"/>
    </row>
    <row r="1430" spans="4:4" ht="13" x14ac:dyDescent="0.15">
      <c r="D1430" s="52"/>
    </row>
    <row r="1431" spans="4:4" ht="13" x14ac:dyDescent="0.15">
      <c r="D1431" s="52"/>
    </row>
    <row r="1432" spans="4:4" ht="13" x14ac:dyDescent="0.15">
      <c r="D1432" s="52"/>
    </row>
    <row r="1433" spans="4:4" ht="13" x14ac:dyDescent="0.15">
      <c r="D1433" s="52"/>
    </row>
    <row r="1434" spans="4:4" ht="13" x14ac:dyDescent="0.15">
      <c r="D1434" s="52"/>
    </row>
    <row r="1435" spans="4:4" ht="13" x14ac:dyDescent="0.15">
      <c r="D1435" s="52"/>
    </row>
    <row r="1436" spans="4:4" ht="13" x14ac:dyDescent="0.15">
      <c r="D1436" s="52"/>
    </row>
    <row r="1437" spans="4:4" ht="13" x14ac:dyDescent="0.15">
      <c r="D1437" s="52"/>
    </row>
    <row r="1438" spans="4:4" ht="13" x14ac:dyDescent="0.15">
      <c r="D1438" s="52"/>
    </row>
    <row r="1439" spans="4:4" ht="13" x14ac:dyDescent="0.15">
      <c r="D1439" s="52"/>
    </row>
    <row r="1440" spans="4:4" ht="13" x14ac:dyDescent="0.15">
      <c r="D1440" s="52"/>
    </row>
    <row r="1441" spans="4:4" ht="13" x14ac:dyDescent="0.15">
      <c r="D1441" s="52"/>
    </row>
    <row r="1442" spans="4:4" ht="13" x14ac:dyDescent="0.15">
      <c r="D1442" s="52"/>
    </row>
    <row r="1443" spans="4:4" ht="13" x14ac:dyDescent="0.15">
      <c r="D1443" s="52"/>
    </row>
    <row r="1444" spans="4:4" ht="13" x14ac:dyDescent="0.15">
      <c r="D1444" s="52"/>
    </row>
    <row r="1445" spans="4:4" ht="13" x14ac:dyDescent="0.15">
      <c r="D1445" s="52"/>
    </row>
    <row r="1446" spans="4:4" ht="13" x14ac:dyDescent="0.15">
      <c r="D1446" s="52"/>
    </row>
    <row r="1447" spans="4:4" ht="13" x14ac:dyDescent="0.15">
      <c r="D1447" s="52"/>
    </row>
    <row r="1448" spans="4:4" ht="13" x14ac:dyDescent="0.15">
      <c r="D1448" s="52"/>
    </row>
    <row r="1449" spans="4:4" ht="13" x14ac:dyDescent="0.15">
      <c r="D1449" s="52"/>
    </row>
    <row r="1450" spans="4:4" ht="13" x14ac:dyDescent="0.15">
      <c r="D1450" s="52"/>
    </row>
    <row r="1451" spans="4:4" ht="13" x14ac:dyDescent="0.15">
      <c r="D1451" s="52"/>
    </row>
    <row r="1452" spans="4:4" ht="13" x14ac:dyDescent="0.15">
      <c r="D1452" s="52"/>
    </row>
    <row r="1453" spans="4:4" ht="13" x14ac:dyDescent="0.15">
      <c r="D1453" s="52"/>
    </row>
    <row r="1454" spans="4:4" ht="13" x14ac:dyDescent="0.15">
      <c r="D1454" s="52"/>
    </row>
    <row r="1455" spans="4:4" ht="13" x14ac:dyDescent="0.15">
      <c r="D1455" s="52"/>
    </row>
    <row r="1456" spans="4:4" ht="13" x14ac:dyDescent="0.15">
      <c r="D1456" s="52"/>
    </row>
    <row r="1457" spans="4:4" ht="13" x14ac:dyDescent="0.15">
      <c r="D1457" s="52"/>
    </row>
    <row r="1458" spans="4:4" ht="13" x14ac:dyDescent="0.15">
      <c r="D1458" s="52"/>
    </row>
    <row r="1459" spans="4:4" ht="13" x14ac:dyDescent="0.15">
      <c r="D1459" s="52"/>
    </row>
    <row r="1460" spans="4:4" ht="13" x14ac:dyDescent="0.15">
      <c r="D1460" s="52"/>
    </row>
    <row r="1461" spans="4:4" ht="13" x14ac:dyDescent="0.15">
      <c r="D1461" s="52"/>
    </row>
    <row r="1462" spans="4:4" ht="13" x14ac:dyDescent="0.15">
      <c r="D1462" s="52"/>
    </row>
    <row r="1463" spans="4:4" ht="13" x14ac:dyDescent="0.15">
      <c r="D1463" s="52"/>
    </row>
    <row r="1464" spans="4:4" ht="13" x14ac:dyDescent="0.15">
      <c r="D1464" s="52"/>
    </row>
    <row r="1465" spans="4:4" ht="13" x14ac:dyDescent="0.15">
      <c r="D1465" s="52"/>
    </row>
    <row r="1466" spans="4:4" ht="13" x14ac:dyDescent="0.15">
      <c r="D1466" s="52"/>
    </row>
    <row r="1467" spans="4:4" ht="13" x14ac:dyDescent="0.15">
      <c r="D1467" s="52"/>
    </row>
    <row r="1468" spans="4:4" ht="13" x14ac:dyDescent="0.15">
      <c r="D1468" s="52"/>
    </row>
    <row r="1469" spans="4:4" ht="13" x14ac:dyDescent="0.15">
      <c r="D1469" s="52"/>
    </row>
    <row r="1470" spans="4:4" ht="13" x14ac:dyDescent="0.15">
      <c r="D1470" s="52"/>
    </row>
    <row r="1471" spans="4:4" ht="13" x14ac:dyDescent="0.15">
      <c r="D1471" s="52"/>
    </row>
    <row r="1472" spans="4:4" ht="13" x14ac:dyDescent="0.15">
      <c r="D1472" s="52"/>
    </row>
    <row r="1473" spans="4:4" ht="13" x14ac:dyDescent="0.15">
      <c r="D1473" s="52"/>
    </row>
    <row r="1474" spans="4:4" ht="13" x14ac:dyDescent="0.15">
      <c r="D1474" s="52"/>
    </row>
    <row r="1475" spans="4:4" ht="13" x14ac:dyDescent="0.15">
      <c r="D1475" s="52"/>
    </row>
    <row r="1476" spans="4:4" ht="13" x14ac:dyDescent="0.15">
      <c r="D1476" s="52"/>
    </row>
    <row r="1477" spans="4:4" ht="13" x14ac:dyDescent="0.15">
      <c r="D1477" s="52"/>
    </row>
    <row r="1478" spans="4:4" ht="13" x14ac:dyDescent="0.15">
      <c r="D1478" s="52"/>
    </row>
    <row r="1479" spans="4:4" ht="13" x14ac:dyDescent="0.15">
      <c r="D1479" s="52"/>
    </row>
    <row r="1480" spans="4:4" ht="13" x14ac:dyDescent="0.15">
      <c r="D1480" s="52"/>
    </row>
    <row r="1481" spans="4:4" ht="13" x14ac:dyDescent="0.15">
      <c r="D1481" s="52"/>
    </row>
    <row r="1482" spans="4:4" ht="13" x14ac:dyDescent="0.15">
      <c r="D1482" s="52"/>
    </row>
    <row r="1483" spans="4:4" ht="13" x14ac:dyDescent="0.15">
      <c r="D1483" s="52"/>
    </row>
    <row r="1484" spans="4:4" ht="13" x14ac:dyDescent="0.15">
      <c r="D1484" s="52"/>
    </row>
    <row r="1485" spans="4:4" ht="13" x14ac:dyDescent="0.15">
      <c r="D1485" s="52"/>
    </row>
    <row r="1486" spans="4:4" ht="13" x14ac:dyDescent="0.15">
      <c r="D1486" s="52"/>
    </row>
    <row r="1487" spans="4:4" ht="13" x14ac:dyDescent="0.15">
      <c r="D1487" s="52"/>
    </row>
    <row r="1488" spans="4:4" ht="13" x14ac:dyDescent="0.15">
      <c r="D1488" s="52"/>
    </row>
    <row r="1489" spans="4:4" ht="13" x14ac:dyDescent="0.15">
      <c r="D1489" s="52"/>
    </row>
    <row r="1490" spans="4:4" ht="13" x14ac:dyDescent="0.15">
      <c r="D1490" s="52"/>
    </row>
    <row r="1491" spans="4:4" ht="13" x14ac:dyDescent="0.15">
      <c r="D1491" s="52"/>
    </row>
    <row r="1492" spans="4:4" ht="13" x14ac:dyDescent="0.15">
      <c r="D1492" s="52"/>
    </row>
    <row r="1493" spans="4:4" ht="13" x14ac:dyDescent="0.15">
      <c r="D1493" s="52"/>
    </row>
    <row r="1494" spans="4:4" ht="13" x14ac:dyDescent="0.15">
      <c r="D1494" s="52"/>
    </row>
    <row r="1495" spans="4:4" ht="13" x14ac:dyDescent="0.15">
      <c r="D1495" s="52"/>
    </row>
    <row r="1496" spans="4:4" ht="13" x14ac:dyDescent="0.15">
      <c r="D1496" s="52"/>
    </row>
    <row r="1497" spans="4:4" ht="13" x14ac:dyDescent="0.15">
      <c r="D1497" s="52"/>
    </row>
    <row r="1498" spans="4:4" ht="13" x14ac:dyDescent="0.15">
      <c r="D1498" s="52"/>
    </row>
    <row r="1499" spans="4:4" ht="13" x14ac:dyDescent="0.15">
      <c r="D1499" s="52"/>
    </row>
    <row r="1500" spans="4:4" ht="13" x14ac:dyDescent="0.15">
      <c r="D1500" s="52"/>
    </row>
    <row r="1501" spans="4:4" ht="13" x14ac:dyDescent="0.15">
      <c r="D1501" s="52"/>
    </row>
    <row r="1502" spans="4:4" ht="13" x14ac:dyDescent="0.15">
      <c r="D1502" s="52"/>
    </row>
    <row r="1503" spans="4:4" ht="13" x14ac:dyDescent="0.15">
      <c r="D1503" s="52"/>
    </row>
    <row r="1504" spans="4:4" ht="13" x14ac:dyDescent="0.15">
      <c r="D1504" s="52"/>
    </row>
    <row r="1505" spans="4:4" ht="13" x14ac:dyDescent="0.15">
      <c r="D1505" s="52"/>
    </row>
    <row r="1506" spans="4:4" ht="13" x14ac:dyDescent="0.15">
      <c r="D1506" s="52"/>
    </row>
    <row r="1507" spans="4:4" ht="13" x14ac:dyDescent="0.15">
      <c r="D1507" s="52"/>
    </row>
    <row r="1508" spans="4:4" ht="13" x14ac:dyDescent="0.15">
      <c r="D1508" s="52"/>
    </row>
    <row r="1509" spans="4:4" ht="13" x14ac:dyDescent="0.15">
      <c r="D1509" s="52"/>
    </row>
    <row r="1510" spans="4:4" ht="13" x14ac:dyDescent="0.15">
      <c r="D1510" s="52"/>
    </row>
    <row r="1511" spans="4:4" ht="13" x14ac:dyDescent="0.15">
      <c r="D1511" s="52"/>
    </row>
    <row r="1512" spans="4:4" ht="13" x14ac:dyDescent="0.15">
      <c r="D1512" s="52"/>
    </row>
    <row r="1513" spans="4:4" ht="13" x14ac:dyDescent="0.15">
      <c r="D1513" s="52"/>
    </row>
    <row r="1514" spans="4:4" ht="13" x14ac:dyDescent="0.15">
      <c r="D1514" s="52"/>
    </row>
    <row r="1515" spans="4:4" ht="13" x14ac:dyDescent="0.15">
      <c r="D1515" s="52"/>
    </row>
    <row r="1516" spans="4:4" ht="13" x14ac:dyDescent="0.15">
      <c r="D1516" s="52"/>
    </row>
    <row r="1517" spans="4:4" ht="13" x14ac:dyDescent="0.15">
      <c r="D1517" s="52"/>
    </row>
    <row r="1518" spans="4:4" ht="13" x14ac:dyDescent="0.15">
      <c r="D1518" s="52"/>
    </row>
    <row r="1519" spans="4:4" ht="13" x14ac:dyDescent="0.15">
      <c r="D1519" s="52"/>
    </row>
    <row r="1520" spans="4:4" ht="13" x14ac:dyDescent="0.15">
      <c r="D1520" s="52"/>
    </row>
    <row r="1521" spans="4:4" ht="13" x14ac:dyDescent="0.15">
      <c r="D1521" s="52"/>
    </row>
    <row r="1522" spans="4:4" ht="13" x14ac:dyDescent="0.15">
      <c r="D1522" s="52"/>
    </row>
    <row r="1523" spans="4:4" ht="13" x14ac:dyDescent="0.15">
      <c r="D1523" s="52"/>
    </row>
    <row r="1524" spans="4:4" ht="13" x14ac:dyDescent="0.15">
      <c r="D1524" s="52"/>
    </row>
    <row r="1525" spans="4:4" ht="13" x14ac:dyDescent="0.15">
      <c r="D1525" s="52"/>
    </row>
    <row r="1526" spans="4:4" ht="13" x14ac:dyDescent="0.15">
      <c r="D1526" s="52"/>
    </row>
    <row r="1527" spans="4:4" ht="13" x14ac:dyDescent="0.15">
      <c r="D1527" s="52"/>
    </row>
    <row r="1528" spans="4:4" ht="13" x14ac:dyDescent="0.15">
      <c r="D1528" s="52"/>
    </row>
    <row r="1529" spans="4:4" ht="13" x14ac:dyDescent="0.15">
      <c r="D1529" s="52"/>
    </row>
    <row r="1530" spans="4:4" ht="13" x14ac:dyDescent="0.15">
      <c r="D1530" s="52"/>
    </row>
    <row r="1531" spans="4:4" ht="13" x14ac:dyDescent="0.15">
      <c r="D1531" s="52"/>
    </row>
    <row r="1532" spans="4:4" ht="13" x14ac:dyDescent="0.15">
      <c r="D1532" s="52"/>
    </row>
    <row r="1533" spans="4:4" ht="13" x14ac:dyDescent="0.15">
      <c r="D1533" s="52"/>
    </row>
    <row r="1534" spans="4:4" ht="13" x14ac:dyDescent="0.15">
      <c r="D1534" s="52"/>
    </row>
    <row r="1535" spans="4:4" ht="13" x14ac:dyDescent="0.15">
      <c r="D1535" s="52"/>
    </row>
    <row r="1536" spans="4:4" ht="13" x14ac:dyDescent="0.15">
      <c r="D1536" s="52"/>
    </row>
    <row r="1537" spans="4:4" ht="13" x14ac:dyDescent="0.15">
      <c r="D1537" s="52"/>
    </row>
    <row r="1538" spans="4:4" ht="13" x14ac:dyDescent="0.15">
      <c r="D1538" s="52"/>
    </row>
    <row r="1539" spans="4:4" ht="13" x14ac:dyDescent="0.15">
      <c r="D1539" s="52"/>
    </row>
    <row r="1540" spans="4:4" ht="13" x14ac:dyDescent="0.15">
      <c r="D1540" s="52"/>
    </row>
    <row r="1541" spans="4:4" ht="13" x14ac:dyDescent="0.15">
      <c r="D1541" s="52"/>
    </row>
    <row r="1542" spans="4:4" ht="13" x14ac:dyDescent="0.15">
      <c r="D1542" s="52"/>
    </row>
    <row r="1543" spans="4:4" ht="13" x14ac:dyDescent="0.15">
      <c r="D1543" s="52"/>
    </row>
    <row r="1544" spans="4:4" ht="13" x14ac:dyDescent="0.15">
      <c r="D1544" s="52"/>
    </row>
    <row r="1545" spans="4:4" ht="13" x14ac:dyDescent="0.15">
      <c r="D1545" s="52"/>
    </row>
    <row r="1546" spans="4:4" ht="13" x14ac:dyDescent="0.15">
      <c r="D1546" s="52"/>
    </row>
    <row r="1547" spans="4:4" ht="13" x14ac:dyDescent="0.15">
      <c r="D1547" s="52"/>
    </row>
    <row r="1548" spans="4:4" ht="13" x14ac:dyDescent="0.15">
      <c r="D1548" s="52"/>
    </row>
    <row r="1549" spans="4:4" ht="13" x14ac:dyDescent="0.15">
      <c r="D1549" s="52"/>
    </row>
    <row r="1550" spans="4:4" ht="13" x14ac:dyDescent="0.15">
      <c r="D1550" s="52"/>
    </row>
    <row r="1551" spans="4:4" ht="13" x14ac:dyDescent="0.15">
      <c r="D1551" s="52"/>
    </row>
    <row r="1552" spans="4:4" ht="13" x14ac:dyDescent="0.15">
      <c r="D1552" s="52"/>
    </row>
    <row r="1553" spans="4:4" ht="13" x14ac:dyDescent="0.15">
      <c r="D1553" s="52"/>
    </row>
    <row r="1554" spans="4:4" ht="13" x14ac:dyDescent="0.15">
      <c r="D1554" s="52"/>
    </row>
    <row r="1555" spans="4:4" ht="13" x14ac:dyDescent="0.15">
      <c r="D1555" s="52"/>
    </row>
    <row r="1556" spans="4:4" ht="13" x14ac:dyDescent="0.15">
      <c r="D1556" s="52"/>
    </row>
    <row r="1557" spans="4:4" ht="13" x14ac:dyDescent="0.15">
      <c r="D1557" s="52"/>
    </row>
    <row r="1558" spans="4:4" ht="13" x14ac:dyDescent="0.15">
      <c r="D1558" s="52"/>
    </row>
    <row r="1559" spans="4:4" ht="13" x14ac:dyDescent="0.15">
      <c r="D1559" s="52"/>
    </row>
    <row r="1560" spans="4:4" ht="13" x14ac:dyDescent="0.15">
      <c r="D1560" s="52"/>
    </row>
    <row r="1561" spans="4:4" ht="13" x14ac:dyDescent="0.15">
      <c r="D1561" s="52"/>
    </row>
    <row r="1562" spans="4:4" ht="13" x14ac:dyDescent="0.15">
      <c r="D1562" s="52"/>
    </row>
    <row r="1563" spans="4:4" ht="13" x14ac:dyDescent="0.15">
      <c r="D1563" s="52"/>
    </row>
    <row r="1564" spans="4:4" ht="13" x14ac:dyDescent="0.15">
      <c r="D1564" s="52"/>
    </row>
    <row r="1565" spans="4:4" ht="13" x14ac:dyDescent="0.15">
      <c r="D1565" s="52"/>
    </row>
    <row r="1566" spans="4:4" ht="13" x14ac:dyDescent="0.15">
      <c r="D1566" s="52"/>
    </row>
    <row r="1567" spans="4:4" ht="13" x14ac:dyDescent="0.15">
      <c r="D1567" s="52"/>
    </row>
    <row r="1568" spans="4:4" ht="13" x14ac:dyDescent="0.15">
      <c r="D1568" s="52"/>
    </row>
    <row r="1569" spans="4:4" ht="13" x14ac:dyDescent="0.15">
      <c r="D1569" s="52"/>
    </row>
    <row r="1570" spans="4:4" ht="13" x14ac:dyDescent="0.15">
      <c r="D1570" s="52"/>
    </row>
    <row r="1571" spans="4:4" ht="13" x14ac:dyDescent="0.15">
      <c r="D1571" s="52"/>
    </row>
    <row r="1572" spans="4:4" ht="13" x14ac:dyDescent="0.15">
      <c r="D1572" s="52"/>
    </row>
    <row r="1573" spans="4:4" ht="13" x14ac:dyDescent="0.15">
      <c r="D1573" s="52"/>
    </row>
    <row r="1574" spans="4:4" ht="13" x14ac:dyDescent="0.15">
      <c r="D1574" s="52"/>
    </row>
    <row r="1575" spans="4:4" ht="13" x14ac:dyDescent="0.15">
      <c r="D1575" s="52"/>
    </row>
    <row r="1576" spans="4:4" ht="13" x14ac:dyDescent="0.15">
      <c r="D1576" s="52"/>
    </row>
    <row r="1577" spans="4:4" ht="13" x14ac:dyDescent="0.15">
      <c r="D1577" s="52"/>
    </row>
    <row r="1578" spans="4:4" ht="13" x14ac:dyDescent="0.15">
      <c r="D1578" s="52"/>
    </row>
    <row r="1579" spans="4:4" ht="13" x14ac:dyDescent="0.15">
      <c r="D1579" s="52"/>
    </row>
    <row r="1580" spans="4:4" ht="13" x14ac:dyDescent="0.15">
      <c r="D1580" s="52"/>
    </row>
    <row r="1581" spans="4:4" ht="13" x14ac:dyDescent="0.15">
      <c r="D1581" s="52"/>
    </row>
    <row r="1582" spans="4:4" ht="13" x14ac:dyDescent="0.15">
      <c r="D1582" s="52"/>
    </row>
    <row r="1583" spans="4:4" ht="13" x14ac:dyDescent="0.15">
      <c r="D1583" s="52"/>
    </row>
    <row r="1584" spans="4:4" ht="13" x14ac:dyDescent="0.15">
      <c r="D1584" s="52"/>
    </row>
    <row r="1585" spans="4:4" ht="13" x14ac:dyDescent="0.15">
      <c r="D1585" s="52"/>
    </row>
    <row r="1586" spans="4:4" ht="13" x14ac:dyDescent="0.15">
      <c r="D1586" s="52"/>
    </row>
    <row r="1587" spans="4:4" ht="13" x14ac:dyDescent="0.15">
      <c r="D1587" s="52"/>
    </row>
    <row r="1588" spans="4:4" ht="13" x14ac:dyDescent="0.15">
      <c r="D1588" s="52"/>
    </row>
    <row r="1589" spans="4:4" ht="13" x14ac:dyDescent="0.15">
      <c r="D1589" s="52"/>
    </row>
    <row r="1590" spans="4:4" ht="13" x14ac:dyDescent="0.15">
      <c r="D1590" s="52"/>
    </row>
    <row r="1591" spans="4:4" ht="13" x14ac:dyDescent="0.15">
      <c r="D1591" s="52"/>
    </row>
    <row r="1592" spans="4:4" ht="13" x14ac:dyDescent="0.15">
      <c r="D1592" s="52"/>
    </row>
    <row r="1593" spans="4:4" ht="13" x14ac:dyDescent="0.15">
      <c r="D1593" s="52"/>
    </row>
    <row r="1594" spans="4:4" ht="13" x14ac:dyDescent="0.15">
      <c r="D1594" s="52"/>
    </row>
    <row r="1595" spans="4:4" ht="13" x14ac:dyDescent="0.15">
      <c r="D1595" s="52"/>
    </row>
    <row r="1596" spans="4:4" ht="13" x14ac:dyDescent="0.15">
      <c r="D1596" s="52"/>
    </row>
    <row r="1597" spans="4:4" ht="13" x14ac:dyDescent="0.15">
      <c r="D1597" s="52"/>
    </row>
    <row r="1598" spans="4:4" ht="13" x14ac:dyDescent="0.15">
      <c r="D1598" s="52"/>
    </row>
    <row r="1599" spans="4:4" ht="13" x14ac:dyDescent="0.15">
      <c r="D1599" s="52"/>
    </row>
    <row r="1600" spans="4:4" ht="13" x14ac:dyDescent="0.15">
      <c r="D1600" s="52"/>
    </row>
    <row r="1601" spans="4:4" ht="13" x14ac:dyDescent="0.15">
      <c r="D1601" s="52"/>
    </row>
    <row r="1602" spans="4:4" ht="13" x14ac:dyDescent="0.15">
      <c r="D1602" s="52"/>
    </row>
    <row r="1603" spans="4:4" ht="13" x14ac:dyDescent="0.15">
      <c r="D1603" s="52"/>
    </row>
    <row r="1604" spans="4:4" ht="13" x14ac:dyDescent="0.15">
      <c r="D1604" s="52"/>
    </row>
    <row r="1605" spans="4:4" ht="13" x14ac:dyDescent="0.15">
      <c r="D1605" s="52"/>
    </row>
    <row r="1606" spans="4:4" ht="13" x14ac:dyDescent="0.15">
      <c r="D1606" s="52"/>
    </row>
    <row r="1607" spans="4:4" ht="13" x14ac:dyDescent="0.15">
      <c r="D1607" s="52"/>
    </row>
    <row r="1608" spans="4:4" ht="13" x14ac:dyDescent="0.15">
      <c r="D1608" s="52"/>
    </row>
    <row r="1609" spans="4:4" ht="13" x14ac:dyDescent="0.15">
      <c r="D1609" s="52"/>
    </row>
    <row r="1610" spans="4:4" ht="13" x14ac:dyDescent="0.15">
      <c r="D1610" s="52"/>
    </row>
    <row r="1611" spans="4:4" ht="13" x14ac:dyDescent="0.15">
      <c r="D1611" s="52"/>
    </row>
    <row r="1612" spans="4:4" ht="13" x14ac:dyDescent="0.15">
      <c r="D1612" s="52"/>
    </row>
    <row r="1613" spans="4:4" ht="13" x14ac:dyDescent="0.15">
      <c r="D1613" s="52"/>
    </row>
    <row r="1614" spans="4:4" ht="13" x14ac:dyDescent="0.15">
      <c r="D1614" s="52"/>
    </row>
    <row r="1615" spans="4:4" ht="13" x14ac:dyDescent="0.15">
      <c r="D1615" s="52"/>
    </row>
    <row r="1616" spans="4:4" ht="13" x14ac:dyDescent="0.15">
      <c r="D1616" s="52"/>
    </row>
    <row r="1617" spans="4:4" ht="13" x14ac:dyDescent="0.15">
      <c r="D1617" s="52"/>
    </row>
    <row r="1618" spans="4:4" ht="13" x14ac:dyDescent="0.15">
      <c r="D1618" s="52"/>
    </row>
    <row r="1619" spans="4:4" ht="13" x14ac:dyDescent="0.15">
      <c r="D1619" s="52"/>
    </row>
    <row r="1620" spans="4:4" ht="13" x14ac:dyDescent="0.15">
      <c r="D1620" s="52"/>
    </row>
    <row r="1621" spans="4:4" ht="13" x14ac:dyDescent="0.15">
      <c r="D1621" s="52"/>
    </row>
    <row r="1622" spans="4:4" ht="13" x14ac:dyDescent="0.15">
      <c r="D1622" s="52"/>
    </row>
    <row r="1623" spans="4:4" ht="13" x14ac:dyDescent="0.15">
      <c r="D1623" s="52"/>
    </row>
    <row r="1624" spans="4:4" ht="13" x14ac:dyDescent="0.15">
      <c r="D1624" s="52"/>
    </row>
    <row r="1625" spans="4:4" ht="13" x14ac:dyDescent="0.15">
      <c r="D1625" s="52"/>
    </row>
    <row r="1626" spans="4:4" ht="13" x14ac:dyDescent="0.15">
      <c r="D1626" s="52"/>
    </row>
    <row r="1627" spans="4:4" ht="13" x14ac:dyDescent="0.15">
      <c r="D1627" s="52"/>
    </row>
    <row r="1628" spans="4:4" ht="13" x14ac:dyDescent="0.15">
      <c r="D1628" s="52"/>
    </row>
    <row r="1629" spans="4:4" ht="13" x14ac:dyDescent="0.15">
      <c r="D1629" s="52"/>
    </row>
    <row r="1630" spans="4:4" ht="13" x14ac:dyDescent="0.15">
      <c r="D1630" s="52"/>
    </row>
    <row r="1631" spans="4:4" ht="13" x14ac:dyDescent="0.15">
      <c r="D1631" s="52"/>
    </row>
    <row r="1632" spans="4:4" ht="13" x14ac:dyDescent="0.15">
      <c r="D1632" s="52"/>
    </row>
    <row r="1633" spans="4:4" ht="13" x14ac:dyDescent="0.15">
      <c r="D1633" s="52"/>
    </row>
    <row r="1634" spans="4:4" ht="13" x14ac:dyDescent="0.15">
      <c r="D1634" s="52"/>
    </row>
    <row r="1635" spans="4:4" ht="13" x14ac:dyDescent="0.15">
      <c r="D1635" s="52"/>
    </row>
    <row r="1636" spans="4:4" ht="13" x14ac:dyDescent="0.15">
      <c r="D1636" s="52"/>
    </row>
    <row r="1637" spans="4:4" ht="13" x14ac:dyDescent="0.15">
      <c r="D1637" s="52"/>
    </row>
    <row r="1638" spans="4:4" ht="13" x14ac:dyDescent="0.15">
      <c r="D1638" s="52"/>
    </row>
    <row r="1639" spans="4:4" ht="13" x14ac:dyDescent="0.15">
      <c r="D1639" s="52"/>
    </row>
    <row r="1640" spans="4:4" ht="13" x14ac:dyDescent="0.15">
      <c r="D1640" s="52"/>
    </row>
    <row r="1641" spans="4:4" ht="13" x14ac:dyDescent="0.15">
      <c r="D1641" s="52"/>
    </row>
    <row r="1642" spans="4:4" ht="13" x14ac:dyDescent="0.15">
      <c r="D1642" s="52"/>
    </row>
    <row r="1643" spans="4:4" ht="13" x14ac:dyDescent="0.15">
      <c r="D1643" s="52"/>
    </row>
    <row r="1644" spans="4:4" ht="13" x14ac:dyDescent="0.15">
      <c r="D1644" s="52"/>
    </row>
    <row r="1645" spans="4:4" ht="13" x14ac:dyDescent="0.15">
      <c r="D1645" s="52"/>
    </row>
    <row r="1646" spans="4:4" ht="13" x14ac:dyDescent="0.15">
      <c r="D1646" s="52"/>
    </row>
    <row r="1647" spans="4:4" ht="13" x14ac:dyDescent="0.15">
      <c r="D1647" s="52"/>
    </row>
    <row r="1648" spans="4:4" ht="13" x14ac:dyDescent="0.15">
      <c r="D1648" s="52"/>
    </row>
    <row r="1649" spans="4:4" ht="13" x14ac:dyDescent="0.15">
      <c r="D1649" s="52"/>
    </row>
    <row r="1650" spans="4:4" ht="13" x14ac:dyDescent="0.15">
      <c r="D1650" s="52"/>
    </row>
    <row r="1651" spans="4:4" ht="13" x14ac:dyDescent="0.15">
      <c r="D1651" s="52"/>
    </row>
    <row r="1652" spans="4:4" ht="13" x14ac:dyDescent="0.15">
      <c r="D1652" s="52"/>
    </row>
    <row r="1653" spans="4:4" ht="13" x14ac:dyDescent="0.15">
      <c r="D1653" s="52"/>
    </row>
    <row r="1654" spans="4:4" ht="13" x14ac:dyDescent="0.15">
      <c r="D1654" s="52"/>
    </row>
    <row r="1655" spans="4:4" ht="13" x14ac:dyDescent="0.15">
      <c r="D1655" s="52"/>
    </row>
    <row r="1656" spans="4:4" ht="13" x14ac:dyDescent="0.15">
      <c r="D1656" s="52"/>
    </row>
    <row r="1657" spans="4:4" ht="13" x14ac:dyDescent="0.15">
      <c r="D1657" s="52"/>
    </row>
    <row r="1658" spans="4:4" ht="13" x14ac:dyDescent="0.15">
      <c r="D1658" s="52"/>
    </row>
    <row r="1659" spans="4:4" ht="13" x14ac:dyDescent="0.15">
      <c r="D1659" s="52"/>
    </row>
    <row r="1660" spans="4:4" ht="13" x14ac:dyDescent="0.15">
      <c r="D1660" s="52"/>
    </row>
    <row r="1661" spans="4:4" ht="13" x14ac:dyDescent="0.15">
      <c r="D1661" s="52"/>
    </row>
    <row r="1662" spans="4:4" ht="13" x14ac:dyDescent="0.15">
      <c r="D1662" s="52"/>
    </row>
    <row r="1663" spans="4:4" ht="13" x14ac:dyDescent="0.15">
      <c r="D1663" s="52"/>
    </row>
    <row r="1664" spans="4:4" ht="13" x14ac:dyDescent="0.15">
      <c r="D1664" s="52"/>
    </row>
    <row r="1665" spans="4:4" ht="13" x14ac:dyDescent="0.15">
      <c r="D1665" s="52"/>
    </row>
    <row r="1666" spans="4:4" ht="13" x14ac:dyDescent="0.15">
      <c r="D1666" s="52"/>
    </row>
    <row r="1667" spans="4:4" ht="13" x14ac:dyDescent="0.15">
      <c r="D1667" s="52"/>
    </row>
    <row r="1668" spans="4:4" ht="13" x14ac:dyDescent="0.15">
      <c r="D1668" s="52"/>
    </row>
    <row r="1669" spans="4:4" ht="13" x14ac:dyDescent="0.15">
      <c r="D1669" s="52"/>
    </row>
    <row r="1670" spans="4:4" ht="13" x14ac:dyDescent="0.15">
      <c r="D1670" s="52"/>
    </row>
    <row r="1671" spans="4:4" ht="13" x14ac:dyDescent="0.15">
      <c r="D1671" s="52"/>
    </row>
    <row r="1672" spans="4:4" ht="13" x14ac:dyDescent="0.15">
      <c r="D1672" s="52"/>
    </row>
    <row r="1673" spans="4:4" ht="13" x14ac:dyDescent="0.15">
      <c r="D1673" s="52"/>
    </row>
    <row r="1674" spans="4:4" ht="13" x14ac:dyDescent="0.15">
      <c r="D1674" s="52"/>
    </row>
    <row r="1675" spans="4:4" ht="13" x14ac:dyDescent="0.15">
      <c r="D1675" s="52"/>
    </row>
    <row r="1676" spans="4:4" ht="13" x14ac:dyDescent="0.15">
      <c r="D1676" s="52"/>
    </row>
    <row r="1677" spans="4:4" ht="13" x14ac:dyDescent="0.15">
      <c r="D1677" s="52"/>
    </row>
    <row r="1678" spans="4:4" ht="13" x14ac:dyDescent="0.15">
      <c r="D1678" s="52"/>
    </row>
    <row r="1679" spans="4:4" ht="13" x14ac:dyDescent="0.15">
      <c r="D1679" s="52"/>
    </row>
    <row r="1680" spans="4:4" ht="13" x14ac:dyDescent="0.15">
      <c r="D1680" s="52"/>
    </row>
    <row r="1681" spans="4:4" ht="13" x14ac:dyDescent="0.15">
      <c r="D1681" s="52"/>
    </row>
    <row r="1682" spans="4:4" ht="13" x14ac:dyDescent="0.15">
      <c r="D1682" s="52"/>
    </row>
    <row r="1683" spans="4:4" ht="13" x14ac:dyDescent="0.15">
      <c r="D1683" s="52"/>
    </row>
    <row r="1684" spans="4:4" ht="13" x14ac:dyDescent="0.15">
      <c r="D1684" s="52"/>
    </row>
    <row r="1685" spans="4:4" ht="13" x14ac:dyDescent="0.15">
      <c r="D1685" s="52"/>
    </row>
    <row r="1686" spans="4:4" ht="13" x14ac:dyDescent="0.15">
      <c r="D1686" s="52"/>
    </row>
    <row r="1687" spans="4:4" ht="13" x14ac:dyDescent="0.15">
      <c r="D1687" s="52"/>
    </row>
    <row r="1688" spans="4:4" ht="13" x14ac:dyDescent="0.15">
      <c r="D1688" s="52"/>
    </row>
    <row r="1689" spans="4:4" ht="13" x14ac:dyDescent="0.15">
      <c r="D1689" s="52"/>
    </row>
    <row r="1690" spans="4:4" ht="13" x14ac:dyDescent="0.15">
      <c r="D1690" s="52"/>
    </row>
    <row r="1691" spans="4:4" ht="13" x14ac:dyDescent="0.15">
      <c r="D1691" s="52"/>
    </row>
    <row r="1692" spans="4:4" ht="13" x14ac:dyDescent="0.15">
      <c r="D1692" s="52"/>
    </row>
    <row r="1693" spans="4:4" ht="13" x14ac:dyDescent="0.15">
      <c r="D1693" s="52"/>
    </row>
    <row r="1694" spans="4:4" ht="13" x14ac:dyDescent="0.15">
      <c r="D1694" s="52"/>
    </row>
    <row r="1695" spans="4:4" ht="13" x14ac:dyDescent="0.15">
      <c r="D1695" s="52"/>
    </row>
    <row r="1696" spans="4:4" ht="13" x14ac:dyDescent="0.15">
      <c r="D1696" s="52"/>
    </row>
    <row r="1697" spans="4:4" ht="13" x14ac:dyDescent="0.15">
      <c r="D1697" s="52"/>
    </row>
    <row r="1698" spans="4:4" ht="13" x14ac:dyDescent="0.15">
      <c r="D1698" s="52"/>
    </row>
    <row r="1699" spans="4:4" ht="13" x14ac:dyDescent="0.15">
      <c r="D1699" s="52"/>
    </row>
    <row r="1700" spans="4:4" ht="13" x14ac:dyDescent="0.15">
      <c r="D1700" s="52"/>
    </row>
    <row r="1701" spans="4:4" ht="13" x14ac:dyDescent="0.15">
      <c r="D1701" s="52"/>
    </row>
    <row r="1702" spans="4:4" ht="13" x14ac:dyDescent="0.15">
      <c r="D1702" s="52"/>
    </row>
    <row r="1703" spans="4:4" ht="13" x14ac:dyDescent="0.15">
      <c r="D1703" s="52"/>
    </row>
    <row r="1704" spans="4:4" ht="13" x14ac:dyDescent="0.15">
      <c r="D1704" s="52"/>
    </row>
    <row r="1705" spans="4:4" ht="13" x14ac:dyDescent="0.15">
      <c r="D1705" s="52"/>
    </row>
    <row r="1706" spans="4:4" ht="13" x14ac:dyDescent="0.15">
      <c r="D1706" s="52"/>
    </row>
    <row r="1707" spans="4:4" ht="13" x14ac:dyDescent="0.15">
      <c r="D1707" s="52"/>
    </row>
    <row r="1708" spans="4:4" ht="13" x14ac:dyDescent="0.15">
      <c r="D1708" s="52"/>
    </row>
    <row r="1709" spans="4:4" ht="13" x14ac:dyDescent="0.15">
      <c r="D1709" s="52"/>
    </row>
    <row r="1710" spans="4:4" ht="13" x14ac:dyDescent="0.15">
      <c r="D1710" s="52"/>
    </row>
    <row r="1711" spans="4:4" ht="13" x14ac:dyDescent="0.15">
      <c r="D1711" s="52"/>
    </row>
    <row r="1712" spans="4:4" ht="13" x14ac:dyDescent="0.15">
      <c r="D1712" s="52"/>
    </row>
    <row r="1713" spans="4:4" ht="13" x14ac:dyDescent="0.15">
      <c r="D1713" s="52"/>
    </row>
    <row r="1714" spans="4:4" ht="13" x14ac:dyDescent="0.15">
      <c r="D1714" s="52"/>
    </row>
    <row r="1715" spans="4:4" ht="13" x14ac:dyDescent="0.15">
      <c r="D1715" s="52"/>
    </row>
    <row r="1716" spans="4:4" ht="13" x14ac:dyDescent="0.15">
      <c r="D1716" s="52"/>
    </row>
    <row r="1717" spans="4:4" ht="13" x14ac:dyDescent="0.15">
      <c r="D1717" s="52"/>
    </row>
    <row r="1718" spans="4:4" ht="13" x14ac:dyDescent="0.15">
      <c r="D1718" s="52"/>
    </row>
    <row r="1719" spans="4:4" ht="13" x14ac:dyDescent="0.15">
      <c r="D1719" s="52"/>
    </row>
    <row r="1720" spans="4:4" ht="13" x14ac:dyDescent="0.15">
      <c r="D1720" s="52"/>
    </row>
    <row r="1721" spans="4:4" ht="13" x14ac:dyDescent="0.15">
      <c r="D1721" s="52"/>
    </row>
    <row r="1722" spans="4:4" ht="13" x14ac:dyDescent="0.15">
      <c r="D1722" s="52"/>
    </row>
    <row r="1723" spans="4:4" ht="13" x14ac:dyDescent="0.15">
      <c r="D1723" s="52"/>
    </row>
    <row r="1724" spans="4:4" ht="13" x14ac:dyDescent="0.15">
      <c r="D1724" s="52"/>
    </row>
    <row r="1725" spans="4:4" ht="13" x14ac:dyDescent="0.15">
      <c r="D1725" s="52"/>
    </row>
    <row r="1726" spans="4:4" ht="13" x14ac:dyDescent="0.15">
      <c r="D1726" s="52"/>
    </row>
    <row r="1727" spans="4:4" ht="13" x14ac:dyDescent="0.15">
      <c r="D1727" s="52"/>
    </row>
    <row r="1728" spans="4:4" ht="13" x14ac:dyDescent="0.15">
      <c r="D1728" s="52"/>
    </row>
    <row r="1729" spans="4:4" ht="13" x14ac:dyDescent="0.15">
      <c r="D1729" s="52"/>
    </row>
    <row r="1730" spans="4:4" ht="13" x14ac:dyDescent="0.15">
      <c r="D1730" s="52"/>
    </row>
    <row r="1731" spans="4:4" ht="13" x14ac:dyDescent="0.15">
      <c r="D1731" s="52"/>
    </row>
    <row r="1732" spans="4:4" ht="13" x14ac:dyDescent="0.15">
      <c r="D1732" s="52"/>
    </row>
    <row r="1733" spans="4:4" ht="13" x14ac:dyDescent="0.15">
      <c r="D1733" s="52"/>
    </row>
    <row r="1734" spans="4:4" ht="13" x14ac:dyDescent="0.15">
      <c r="D1734" s="52"/>
    </row>
    <row r="1735" spans="4:4" ht="13" x14ac:dyDescent="0.15">
      <c r="D1735" s="52"/>
    </row>
    <row r="1736" spans="4:4" ht="13" x14ac:dyDescent="0.15">
      <c r="D1736" s="52"/>
    </row>
    <row r="1737" spans="4:4" ht="13" x14ac:dyDescent="0.15">
      <c r="D1737" s="52"/>
    </row>
    <row r="1738" spans="4:4" ht="13" x14ac:dyDescent="0.15">
      <c r="D1738" s="52"/>
    </row>
    <row r="1739" spans="4:4" ht="13" x14ac:dyDescent="0.15">
      <c r="D1739" s="52"/>
    </row>
    <row r="1740" spans="4:4" ht="13" x14ac:dyDescent="0.15">
      <c r="D1740" s="52"/>
    </row>
    <row r="1741" spans="4:4" ht="13" x14ac:dyDescent="0.15">
      <c r="D1741" s="52"/>
    </row>
    <row r="1742" spans="4:4" ht="13" x14ac:dyDescent="0.15">
      <c r="D1742" s="52"/>
    </row>
    <row r="1743" spans="4:4" ht="13" x14ac:dyDescent="0.15">
      <c r="D1743" s="52"/>
    </row>
    <row r="1744" spans="4:4" ht="13" x14ac:dyDescent="0.15">
      <c r="D1744" s="52"/>
    </row>
    <row r="1745" spans="4:4" ht="13" x14ac:dyDescent="0.15">
      <c r="D1745" s="52"/>
    </row>
    <row r="1746" spans="4:4" ht="13" x14ac:dyDescent="0.15">
      <c r="D1746" s="52"/>
    </row>
    <row r="1747" spans="4:4" ht="13" x14ac:dyDescent="0.15">
      <c r="D1747" s="52"/>
    </row>
    <row r="1748" spans="4:4" ht="13" x14ac:dyDescent="0.15">
      <c r="D1748" s="52"/>
    </row>
    <row r="1749" spans="4:4" ht="13" x14ac:dyDescent="0.15">
      <c r="D1749" s="52"/>
    </row>
    <row r="1750" spans="4:4" ht="13" x14ac:dyDescent="0.15">
      <c r="D1750" s="52"/>
    </row>
    <row r="1751" spans="4:4" ht="13" x14ac:dyDescent="0.15">
      <c r="D1751" s="52"/>
    </row>
    <row r="1752" spans="4:4" ht="13" x14ac:dyDescent="0.15">
      <c r="D1752" s="52"/>
    </row>
    <row r="1753" spans="4:4" ht="13" x14ac:dyDescent="0.15">
      <c r="D1753" s="52"/>
    </row>
    <row r="1754" spans="4:4" ht="13" x14ac:dyDescent="0.15">
      <c r="D1754" s="52"/>
    </row>
    <row r="1755" spans="4:4" ht="13" x14ac:dyDescent="0.15">
      <c r="D1755" s="52"/>
    </row>
    <row r="1756" spans="4:4" ht="13" x14ac:dyDescent="0.15">
      <c r="D1756" s="52"/>
    </row>
    <row r="1757" spans="4:4" ht="13" x14ac:dyDescent="0.15">
      <c r="D1757" s="52"/>
    </row>
    <row r="1758" spans="4:4" ht="13" x14ac:dyDescent="0.15">
      <c r="D1758" s="52"/>
    </row>
    <row r="1759" spans="4:4" ht="13" x14ac:dyDescent="0.15">
      <c r="D1759" s="52"/>
    </row>
    <row r="1760" spans="4:4" ht="13" x14ac:dyDescent="0.15">
      <c r="D1760" s="52"/>
    </row>
    <row r="1761" spans="4:4" ht="13" x14ac:dyDescent="0.15">
      <c r="D1761" s="52"/>
    </row>
    <row r="1762" spans="4:4" ht="13" x14ac:dyDescent="0.15">
      <c r="D1762" s="52"/>
    </row>
    <row r="1763" spans="4:4" ht="13" x14ac:dyDescent="0.15">
      <c r="D1763" s="52"/>
    </row>
    <row r="1764" spans="4:4" ht="13" x14ac:dyDescent="0.15">
      <c r="D1764" s="52"/>
    </row>
    <row r="1765" spans="4:4" ht="13" x14ac:dyDescent="0.15">
      <c r="D1765" s="52"/>
    </row>
    <row r="1766" spans="4:4" ht="13" x14ac:dyDescent="0.15">
      <c r="D1766" s="52"/>
    </row>
    <row r="1767" spans="4:4" ht="13" x14ac:dyDescent="0.15">
      <c r="D1767" s="52"/>
    </row>
    <row r="1768" spans="4:4" ht="13" x14ac:dyDescent="0.15">
      <c r="D1768" s="52"/>
    </row>
    <row r="1769" spans="4:4" ht="13" x14ac:dyDescent="0.15">
      <c r="D1769" s="52"/>
    </row>
    <row r="1770" spans="4:4" ht="13" x14ac:dyDescent="0.15">
      <c r="D1770" s="52"/>
    </row>
    <row r="1771" spans="4:4" ht="13" x14ac:dyDescent="0.15">
      <c r="D1771" s="52"/>
    </row>
    <row r="1772" spans="4:4" ht="13" x14ac:dyDescent="0.15">
      <c r="D1772" s="52"/>
    </row>
    <row r="1773" spans="4:4" ht="13" x14ac:dyDescent="0.15">
      <c r="D1773" s="5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284"/>
  <sheetViews>
    <sheetView topLeftCell="A8" workbookViewId="0">
      <selection activeCell="E23" sqref="E23"/>
    </sheetView>
  </sheetViews>
  <sheetFormatPr baseColWidth="10" defaultColWidth="12.6640625" defaultRowHeight="15.75" customHeight="1" x14ac:dyDescent="0.15"/>
  <cols>
    <col min="4" max="4" width="14" customWidth="1"/>
  </cols>
  <sheetData>
    <row r="1" spans="1:5" ht="15.75" customHeight="1" x14ac:dyDescent="0.15">
      <c r="A1" s="141" t="s">
        <v>435</v>
      </c>
      <c r="B1" s="142"/>
      <c r="D1" s="141" t="s">
        <v>436</v>
      </c>
      <c r="E1" s="142"/>
    </row>
    <row r="2" spans="1:5" ht="15.75" customHeight="1" x14ac:dyDescent="0.15">
      <c r="A2" s="53" t="s">
        <v>2</v>
      </c>
      <c r="B2" s="54" t="s">
        <v>437</v>
      </c>
      <c r="D2" s="53" t="s">
        <v>421</v>
      </c>
      <c r="E2" s="54" t="s">
        <v>3</v>
      </c>
    </row>
    <row r="3" spans="1:5" ht="15" x14ac:dyDescent="0.2">
      <c r="A3" s="55" t="s">
        <v>138</v>
      </c>
      <c r="B3" s="56">
        <f>COUNTIF('Scan to Sheets'!$C$2:$C$825,A3)</f>
        <v>0</v>
      </c>
      <c r="D3" s="57" t="s">
        <v>438</v>
      </c>
      <c r="E3" s="58">
        <f>COUNTIF(Gestion_Inventario[Estado],D3)</f>
        <v>0</v>
      </c>
    </row>
    <row r="4" spans="1:5" ht="15" x14ac:dyDescent="0.2">
      <c r="A4" s="59" t="s">
        <v>139</v>
      </c>
      <c r="B4" s="60">
        <f>COUNTIF('Scan to Sheets'!$C$2:$C$825,A4)</f>
        <v>0</v>
      </c>
      <c r="D4" s="57" t="s">
        <v>439</v>
      </c>
      <c r="E4" s="58">
        <f>COUNTIF(Gestion_Inventario[Estado],D4)</f>
        <v>0</v>
      </c>
    </row>
    <row r="5" spans="1:5" ht="15" x14ac:dyDescent="0.2">
      <c r="A5" s="59" t="s">
        <v>140</v>
      </c>
      <c r="B5" s="60">
        <f>COUNTIF('Scan to Sheets'!$C$2:$C$825,A5)</f>
        <v>0</v>
      </c>
      <c r="D5" s="61" t="s">
        <v>440</v>
      </c>
      <c r="E5" s="62">
        <f>COUNTIF(Gestion_Inventario[Estado],D5)</f>
        <v>0</v>
      </c>
    </row>
    <row r="6" spans="1:5" ht="15" x14ac:dyDescent="0.2">
      <c r="A6" s="59" t="s">
        <v>141</v>
      </c>
      <c r="B6" s="60">
        <f>COUNTIF('Scan to Sheets'!$C$2:$C$825,A6)</f>
        <v>0</v>
      </c>
    </row>
    <row r="7" spans="1:5" ht="15" x14ac:dyDescent="0.2">
      <c r="A7" s="59" t="s">
        <v>142</v>
      </c>
      <c r="B7" s="60">
        <f>COUNTIF('Scan to Sheets'!$C$2:$C$825,A7)</f>
        <v>0</v>
      </c>
      <c r="D7" s="141" t="s">
        <v>441</v>
      </c>
      <c r="E7" s="142"/>
    </row>
    <row r="8" spans="1:5" ht="15" x14ac:dyDescent="0.2">
      <c r="A8" s="59" t="s">
        <v>143</v>
      </c>
      <c r="B8" s="60">
        <f>COUNTIF('Scan to Sheets'!$C$2:$C$825,A8)</f>
        <v>0</v>
      </c>
      <c r="D8" s="53" t="s">
        <v>421</v>
      </c>
      <c r="E8" s="54" t="s">
        <v>3</v>
      </c>
    </row>
    <row r="9" spans="1:5" ht="15" x14ac:dyDescent="0.2">
      <c r="A9" s="59" t="s">
        <v>144</v>
      </c>
      <c r="B9" s="60">
        <f>COUNTIF('Scan to Sheets'!$C$2:$C$825,A9)</f>
        <v>0</v>
      </c>
      <c r="D9" s="63" t="s">
        <v>442</v>
      </c>
      <c r="E9" s="64">
        <f>COUNTIF(Registro_Historial[Ubicación Actual],D9)</f>
        <v>0</v>
      </c>
    </row>
    <row r="10" spans="1:5" ht="15" x14ac:dyDescent="0.2">
      <c r="A10" s="59" t="s">
        <v>145</v>
      </c>
      <c r="B10" s="60">
        <f>COUNTIF('Scan to Sheets'!$C$2:$C$825,A10)</f>
        <v>0</v>
      </c>
      <c r="D10" s="61" t="s">
        <v>443</v>
      </c>
      <c r="E10" s="62">
        <f>COUNTIF(Registro_Historial[Ubicación Actual],D10)</f>
        <v>0</v>
      </c>
    </row>
    <row r="11" spans="1:5" ht="15" x14ac:dyDescent="0.2">
      <c r="A11" s="59" t="s">
        <v>146</v>
      </c>
      <c r="B11" s="60">
        <f>COUNTIF('Scan to Sheets'!$C$2:$C$825,A11)</f>
        <v>0</v>
      </c>
      <c r="D11" s="65"/>
    </row>
    <row r="12" spans="1:5" ht="15" x14ac:dyDescent="0.2">
      <c r="A12" s="59" t="s">
        <v>147</v>
      </c>
      <c r="B12" s="60">
        <f>COUNTIF('Scan to Sheets'!$C$2:$C$825,A12)</f>
        <v>0</v>
      </c>
    </row>
    <row r="13" spans="1:5" ht="15" x14ac:dyDescent="0.2">
      <c r="A13" s="59" t="s">
        <v>148</v>
      </c>
      <c r="B13" s="60">
        <f>COUNTIF('Scan to Sheets'!$C$2:$C$825,A13)</f>
        <v>0</v>
      </c>
    </row>
    <row r="14" spans="1:5" ht="15" x14ac:dyDescent="0.2">
      <c r="A14" s="59" t="s">
        <v>149</v>
      </c>
      <c r="B14" s="60">
        <f>COUNTIF('Scan to Sheets'!$C$2:$C$825,A14)</f>
        <v>0</v>
      </c>
    </row>
    <row r="15" spans="1:5" ht="15" x14ac:dyDescent="0.2">
      <c r="A15" s="59" t="s">
        <v>150</v>
      </c>
      <c r="B15" s="60">
        <f>COUNTIF('Scan to Sheets'!$C$2:$C$825,A15)</f>
        <v>0</v>
      </c>
    </row>
    <row r="16" spans="1:5" ht="15" x14ac:dyDescent="0.2">
      <c r="A16" s="59" t="s">
        <v>151</v>
      </c>
      <c r="B16" s="60">
        <f>COUNTIF('Scan to Sheets'!$C$2:$C$825,A16)</f>
        <v>0</v>
      </c>
    </row>
    <row r="17" spans="1:2" ht="15" x14ac:dyDescent="0.2">
      <c r="A17" s="59" t="s">
        <v>152</v>
      </c>
      <c r="B17" s="60">
        <f>COUNTIF('Scan to Sheets'!$C$2:$C$825,A17)</f>
        <v>0</v>
      </c>
    </row>
    <row r="18" spans="1:2" ht="15" x14ac:dyDescent="0.2">
      <c r="A18" s="59" t="s">
        <v>153</v>
      </c>
      <c r="B18" s="60">
        <f>COUNTIF('Scan to Sheets'!$C$2:$C$825,A18)</f>
        <v>0</v>
      </c>
    </row>
    <row r="19" spans="1:2" ht="15" x14ac:dyDescent="0.2">
      <c r="A19" s="59" t="s">
        <v>154</v>
      </c>
      <c r="B19" s="60">
        <f>COUNTIF('Scan to Sheets'!$C$2:$C$825,A19)</f>
        <v>0</v>
      </c>
    </row>
    <row r="20" spans="1:2" ht="15" x14ac:dyDescent="0.2">
      <c r="A20" s="59" t="s">
        <v>155</v>
      </c>
      <c r="B20" s="60">
        <f>COUNTIF('Scan to Sheets'!$C$2:$C$825,A20)</f>
        <v>0</v>
      </c>
    </row>
    <row r="21" spans="1:2" ht="15" x14ac:dyDescent="0.2">
      <c r="A21" s="59" t="s">
        <v>156</v>
      </c>
      <c r="B21" s="60">
        <f>COUNTIF('Scan to Sheets'!$C$2:$C$825,A21)</f>
        <v>0</v>
      </c>
    </row>
    <row r="22" spans="1:2" ht="15" x14ac:dyDescent="0.2">
      <c r="A22" s="59" t="s">
        <v>157</v>
      </c>
      <c r="B22" s="60">
        <f>COUNTIF('Scan to Sheets'!$C$2:$C$825,A22)</f>
        <v>0</v>
      </c>
    </row>
    <row r="23" spans="1:2" ht="15" x14ac:dyDescent="0.2">
      <c r="A23" s="59" t="s">
        <v>158</v>
      </c>
      <c r="B23" s="60">
        <f>COUNTIF('Scan to Sheets'!$C$2:$C$825,A23)</f>
        <v>0</v>
      </c>
    </row>
    <row r="24" spans="1:2" ht="15" x14ac:dyDescent="0.2">
      <c r="A24" s="59" t="s">
        <v>159</v>
      </c>
      <c r="B24" s="60">
        <f>COUNTIF('Scan to Sheets'!$C$2:$C$825,A24)</f>
        <v>0</v>
      </c>
    </row>
    <row r="25" spans="1:2" ht="15" x14ac:dyDescent="0.2">
      <c r="A25" s="59" t="s">
        <v>160</v>
      </c>
      <c r="B25" s="60">
        <f>COUNTIF('Scan to Sheets'!$C$2:$C$825,A25)</f>
        <v>0</v>
      </c>
    </row>
    <row r="26" spans="1:2" ht="15" x14ac:dyDescent="0.2">
      <c r="A26" s="59" t="s">
        <v>161</v>
      </c>
      <c r="B26" s="60">
        <f>COUNTIF('Scan to Sheets'!$C$2:$C$825,A26)</f>
        <v>0</v>
      </c>
    </row>
    <row r="27" spans="1:2" ht="15" x14ac:dyDescent="0.2">
      <c r="A27" s="59" t="s">
        <v>162</v>
      </c>
      <c r="B27" s="60">
        <f>COUNTIF('Scan to Sheets'!$C$2:$C$825,A27)</f>
        <v>0</v>
      </c>
    </row>
    <row r="28" spans="1:2" ht="15" x14ac:dyDescent="0.2">
      <c r="A28" s="59" t="s">
        <v>163</v>
      </c>
      <c r="B28" s="60">
        <f>COUNTIF('Scan to Sheets'!$C$2:$C$825,A28)</f>
        <v>0</v>
      </c>
    </row>
    <row r="29" spans="1:2" ht="15" x14ac:dyDescent="0.2">
      <c r="A29" s="59" t="s">
        <v>164</v>
      </c>
      <c r="B29" s="60">
        <f>COUNTIF('Scan to Sheets'!$C$2:$C$825,A29)</f>
        <v>0</v>
      </c>
    </row>
    <row r="30" spans="1:2" ht="15" x14ac:dyDescent="0.2">
      <c r="A30" s="59" t="s">
        <v>165</v>
      </c>
      <c r="B30" s="60">
        <f>COUNTIF('Scan to Sheets'!$C$2:$C$825,A30)</f>
        <v>0</v>
      </c>
    </row>
    <row r="31" spans="1:2" ht="15" x14ac:dyDescent="0.2">
      <c r="A31" s="59" t="s">
        <v>166</v>
      </c>
      <c r="B31" s="60">
        <f>COUNTIF('Scan to Sheets'!$C$2:$C$825,A31)</f>
        <v>0</v>
      </c>
    </row>
    <row r="32" spans="1:2" ht="15" x14ac:dyDescent="0.2">
      <c r="A32" s="59" t="s">
        <v>167</v>
      </c>
      <c r="B32" s="60">
        <f>COUNTIF('Scan to Sheets'!$C$2:$C$825,A32)</f>
        <v>0</v>
      </c>
    </row>
    <row r="33" spans="1:2" ht="15" x14ac:dyDescent="0.2">
      <c r="A33" s="59" t="s">
        <v>168</v>
      </c>
      <c r="B33" s="60">
        <f>COUNTIF('Scan to Sheets'!$C$2:$C$825,A33)</f>
        <v>0</v>
      </c>
    </row>
    <row r="34" spans="1:2" ht="15" x14ac:dyDescent="0.2">
      <c r="A34" s="59" t="s">
        <v>169</v>
      </c>
      <c r="B34" s="60">
        <f>COUNTIF('Scan to Sheets'!$C$2:$C$825,A34)</f>
        <v>0</v>
      </c>
    </row>
    <row r="35" spans="1:2" ht="15" x14ac:dyDescent="0.2">
      <c r="A35" s="59" t="s">
        <v>170</v>
      </c>
      <c r="B35" s="60">
        <f>COUNTIF('Scan to Sheets'!$C$2:$C$825,A35)</f>
        <v>0</v>
      </c>
    </row>
    <row r="36" spans="1:2" ht="15" x14ac:dyDescent="0.2">
      <c r="A36" s="59" t="s">
        <v>171</v>
      </c>
      <c r="B36" s="60">
        <f>COUNTIF('Scan to Sheets'!$C$2:$C$825,A36)</f>
        <v>0</v>
      </c>
    </row>
    <row r="37" spans="1:2" ht="15" x14ac:dyDescent="0.2">
      <c r="A37" s="59" t="s">
        <v>172</v>
      </c>
      <c r="B37" s="60">
        <f>COUNTIF('Scan to Sheets'!$C$2:$C$825,A37)</f>
        <v>0</v>
      </c>
    </row>
    <row r="38" spans="1:2" ht="15" x14ac:dyDescent="0.2">
      <c r="A38" s="59" t="s">
        <v>173</v>
      </c>
      <c r="B38" s="60">
        <f>COUNTIF('Scan to Sheets'!$C$2:$C$825,A38)</f>
        <v>0</v>
      </c>
    </row>
    <row r="39" spans="1:2" ht="15" x14ac:dyDescent="0.2">
      <c r="A39" s="59" t="s">
        <v>174</v>
      </c>
      <c r="B39" s="60">
        <f>COUNTIF('Scan to Sheets'!$C$2:$C$825,A39)</f>
        <v>0</v>
      </c>
    </row>
    <row r="40" spans="1:2" ht="15" x14ac:dyDescent="0.2">
      <c r="A40" s="59" t="s">
        <v>175</v>
      </c>
      <c r="B40" s="60">
        <f>COUNTIF('Scan to Sheets'!$C$2:$C$825,A40)</f>
        <v>0</v>
      </c>
    </row>
    <row r="41" spans="1:2" ht="15" x14ac:dyDescent="0.2">
      <c r="A41" s="59" t="s">
        <v>176</v>
      </c>
      <c r="B41" s="60">
        <f>COUNTIF('Scan to Sheets'!$C$2:$C$825,A41)</f>
        <v>0</v>
      </c>
    </row>
    <row r="42" spans="1:2" ht="15" x14ac:dyDescent="0.2">
      <c r="A42" s="59" t="s">
        <v>177</v>
      </c>
      <c r="B42" s="60">
        <f>COUNTIF('Scan to Sheets'!$C$2:$C$825,A42)</f>
        <v>0</v>
      </c>
    </row>
    <row r="43" spans="1:2" ht="15" x14ac:dyDescent="0.2">
      <c r="A43" s="59" t="s">
        <v>178</v>
      </c>
      <c r="B43" s="60">
        <f>COUNTIF('Scan to Sheets'!$C$2:$C$825,A43)</f>
        <v>0</v>
      </c>
    </row>
    <row r="44" spans="1:2" ht="15" x14ac:dyDescent="0.2">
      <c r="A44" s="59" t="s">
        <v>179</v>
      </c>
      <c r="B44" s="60">
        <f>COUNTIF('Scan to Sheets'!$C$2:$C$825,A44)</f>
        <v>0</v>
      </c>
    </row>
    <row r="45" spans="1:2" ht="15" x14ac:dyDescent="0.2">
      <c r="A45" s="59" t="s">
        <v>180</v>
      </c>
      <c r="B45" s="60">
        <f>COUNTIF('Scan to Sheets'!$C$2:$C$825,A45)</f>
        <v>0</v>
      </c>
    </row>
    <row r="46" spans="1:2" ht="15" x14ac:dyDescent="0.2">
      <c r="A46" s="59" t="s">
        <v>181</v>
      </c>
      <c r="B46" s="60">
        <f>COUNTIF('Scan to Sheets'!$C$2:$C$825,A46)</f>
        <v>0</v>
      </c>
    </row>
    <row r="47" spans="1:2" ht="15" x14ac:dyDescent="0.2">
      <c r="A47" s="59" t="s">
        <v>182</v>
      </c>
      <c r="B47" s="60">
        <f>COUNTIF('Scan to Sheets'!$C$2:$C$825,A47)</f>
        <v>0</v>
      </c>
    </row>
    <row r="48" spans="1:2" ht="15" x14ac:dyDescent="0.2">
      <c r="A48" s="59" t="s">
        <v>183</v>
      </c>
      <c r="B48" s="60">
        <f>COUNTIF('Scan to Sheets'!$C$2:$C$825,A48)</f>
        <v>0</v>
      </c>
    </row>
    <row r="49" spans="1:2" ht="15" x14ac:dyDescent="0.2">
      <c r="A49" s="59" t="s">
        <v>184</v>
      </c>
      <c r="B49" s="60">
        <f>COUNTIF('Scan to Sheets'!$C$2:$C$825,A49)</f>
        <v>0</v>
      </c>
    </row>
    <row r="50" spans="1:2" ht="15" x14ac:dyDescent="0.2">
      <c r="A50" s="59" t="s">
        <v>185</v>
      </c>
      <c r="B50" s="60">
        <f>COUNTIF('Scan to Sheets'!$C$2:$C$825,A50)</f>
        <v>0</v>
      </c>
    </row>
    <row r="51" spans="1:2" ht="15" x14ac:dyDescent="0.2">
      <c r="A51" s="59" t="s">
        <v>186</v>
      </c>
      <c r="B51" s="60">
        <f>COUNTIF('Scan to Sheets'!$C$2:$C$825,A51)</f>
        <v>0</v>
      </c>
    </row>
    <row r="52" spans="1:2" ht="15" x14ac:dyDescent="0.2">
      <c r="A52" s="59" t="s">
        <v>187</v>
      </c>
      <c r="B52" s="60">
        <f>COUNTIF('Scan to Sheets'!$C$2:$C$825,A52)</f>
        <v>0</v>
      </c>
    </row>
    <row r="53" spans="1:2" ht="15" x14ac:dyDescent="0.2">
      <c r="A53" s="59" t="s">
        <v>188</v>
      </c>
      <c r="B53" s="60">
        <f>COUNTIF('Scan to Sheets'!$C$2:$C$825,A53)</f>
        <v>0</v>
      </c>
    </row>
    <row r="54" spans="1:2" ht="15" x14ac:dyDescent="0.2">
      <c r="A54" s="59" t="s">
        <v>189</v>
      </c>
      <c r="B54" s="60">
        <f>COUNTIF('Scan to Sheets'!$C$2:$C$825,A54)</f>
        <v>0</v>
      </c>
    </row>
    <row r="55" spans="1:2" ht="15" x14ac:dyDescent="0.2">
      <c r="A55" s="59" t="s">
        <v>190</v>
      </c>
      <c r="B55" s="60">
        <f>COUNTIF('Scan to Sheets'!$C$2:$C$825,A55)</f>
        <v>0</v>
      </c>
    </row>
    <row r="56" spans="1:2" ht="15" x14ac:dyDescent="0.2">
      <c r="A56" s="59" t="s">
        <v>191</v>
      </c>
      <c r="B56" s="60">
        <f>COUNTIF('Scan to Sheets'!$C$2:$C$825,A56)</f>
        <v>0</v>
      </c>
    </row>
    <row r="57" spans="1:2" ht="15" x14ac:dyDescent="0.2">
      <c r="A57" s="59" t="s">
        <v>192</v>
      </c>
      <c r="B57" s="60">
        <f>COUNTIF('Scan to Sheets'!$C$2:$C$825,A57)</f>
        <v>0</v>
      </c>
    </row>
    <row r="58" spans="1:2" ht="15" x14ac:dyDescent="0.2">
      <c r="A58" s="59" t="s">
        <v>193</v>
      </c>
      <c r="B58" s="60">
        <f>COUNTIF('Scan to Sheets'!$C$2:$C$825,A58)</f>
        <v>0</v>
      </c>
    </row>
    <row r="59" spans="1:2" ht="15" x14ac:dyDescent="0.2">
      <c r="A59" s="59" t="s">
        <v>194</v>
      </c>
      <c r="B59" s="60">
        <f>COUNTIF('Scan to Sheets'!$C$2:$C$825,A59)</f>
        <v>0</v>
      </c>
    </row>
    <row r="60" spans="1:2" ht="15" x14ac:dyDescent="0.2">
      <c r="A60" s="59" t="s">
        <v>195</v>
      </c>
      <c r="B60" s="60">
        <f>COUNTIF('Scan to Sheets'!$C$2:$C$825,A60)</f>
        <v>0</v>
      </c>
    </row>
    <row r="61" spans="1:2" ht="15" x14ac:dyDescent="0.2">
      <c r="A61" s="59" t="s">
        <v>196</v>
      </c>
      <c r="B61" s="60">
        <f>COUNTIF('Scan to Sheets'!$C$2:$C$825,A61)</f>
        <v>0</v>
      </c>
    </row>
    <row r="62" spans="1:2" ht="15" x14ac:dyDescent="0.2">
      <c r="A62" s="59" t="s">
        <v>197</v>
      </c>
      <c r="B62" s="60">
        <f>COUNTIF('Scan to Sheets'!$C$2:$C$825,A62)</f>
        <v>0</v>
      </c>
    </row>
    <row r="63" spans="1:2" ht="15" x14ac:dyDescent="0.2">
      <c r="A63" s="59" t="s">
        <v>198</v>
      </c>
      <c r="B63" s="60">
        <f>COUNTIF('Scan to Sheets'!$C$2:$C$825,A63)</f>
        <v>0</v>
      </c>
    </row>
    <row r="64" spans="1:2" ht="15" x14ac:dyDescent="0.2">
      <c r="A64" s="59" t="s">
        <v>199</v>
      </c>
      <c r="B64" s="60">
        <f>COUNTIF('Scan to Sheets'!$C$2:$C$825,A64)</f>
        <v>0</v>
      </c>
    </row>
    <row r="65" spans="1:2" ht="15" x14ac:dyDescent="0.2">
      <c r="A65" s="59" t="s">
        <v>200</v>
      </c>
      <c r="B65" s="60">
        <f>COUNTIF('Scan to Sheets'!$C$2:$C$825,A65)</f>
        <v>0</v>
      </c>
    </row>
    <row r="66" spans="1:2" ht="15" x14ac:dyDescent="0.2">
      <c r="A66" s="59" t="s">
        <v>201</v>
      </c>
      <c r="B66" s="60">
        <f>COUNTIF('Scan to Sheets'!$C$2:$C$825,A66)</f>
        <v>0</v>
      </c>
    </row>
    <row r="67" spans="1:2" ht="15" x14ac:dyDescent="0.2">
      <c r="A67" s="59" t="s">
        <v>202</v>
      </c>
      <c r="B67" s="60">
        <f>COUNTIF('Scan to Sheets'!$C$2:$C$825,A67)</f>
        <v>0</v>
      </c>
    </row>
    <row r="68" spans="1:2" ht="15" x14ac:dyDescent="0.2">
      <c r="A68" s="59" t="s">
        <v>203</v>
      </c>
      <c r="B68" s="60">
        <f>COUNTIF('Scan to Sheets'!$C$2:$C$825,A68)</f>
        <v>0</v>
      </c>
    </row>
    <row r="69" spans="1:2" ht="15" x14ac:dyDescent="0.2">
      <c r="A69" s="59" t="s">
        <v>204</v>
      </c>
      <c r="B69" s="60">
        <f>COUNTIF('Scan to Sheets'!$C$2:$C$825,A69)</f>
        <v>0</v>
      </c>
    </row>
    <row r="70" spans="1:2" ht="15" x14ac:dyDescent="0.2">
      <c r="A70" s="59" t="s">
        <v>205</v>
      </c>
      <c r="B70" s="60">
        <f>COUNTIF('Scan to Sheets'!$C$2:$C$825,A70)</f>
        <v>0</v>
      </c>
    </row>
    <row r="71" spans="1:2" ht="15" x14ac:dyDescent="0.2">
      <c r="A71" s="59" t="s">
        <v>206</v>
      </c>
      <c r="B71" s="60">
        <f>COUNTIF('Scan to Sheets'!$C$2:$C$825,A71)</f>
        <v>0</v>
      </c>
    </row>
    <row r="72" spans="1:2" ht="15" x14ac:dyDescent="0.2">
      <c r="A72" s="59" t="s">
        <v>207</v>
      </c>
      <c r="B72" s="60">
        <f>COUNTIF('Scan to Sheets'!$C$2:$C$825,A72)</f>
        <v>0</v>
      </c>
    </row>
    <row r="73" spans="1:2" ht="15" x14ac:dyDescent="0.2">
      <c r="A73" s="59" t="s">
        <v>208</v>
      </c>
      <c r="B73" s="60">
        <f>COUNTIF('Scan to Sheets'!$C$2:$C$825,A73)</f>
        <v>0</v>
      </c>
    </row>
    <row r="74" spans="1:2" ht="15" x14ac:dyDescent="0.2">
      <c r="A74" s="59" t="s">
        <v>209</v>
      </c>
      <c r="B74" s="60">
        <f>COUNTIF('Scan to Sheets'!$C$2:$C$825,A74)</f>
        <v>0</v>
      </c>
    </row>
    <row r="75" spans="1:2" ht="15" x14ac:dyDescent="0.2">
      <c r="A75" s="59" t="s">
        <v>210</v>
      </c>
      <c r="B75" s="60">
        <f>COUNTIF('Scan to Sheets'!$C$2:$C$825,A75)</f>
        <v>0</v>
      </c>
    </row>
    <row r="76" spans="1:2" ht="15" x14ac:dyDescent="0.2">
      <c r="A76" s="59" t="s">
        <v>211</v>
      </c>
      <c r="B76" s="60">
        <f>COUNTIF('Scan to Sheets'!$C$2:$C$825,A76)</f>
        <v>0</v>
      </c>
    </row>
    <row r="77" spans="1:2" ht="15" x14ac:dyDescent="0.2">
      <c r="A77" s="59" t="s">
        <v>212</v>
      </c>
      <c r="B77" s="60">
        <f>COUNTIF('Scan to Sheets'!$C$2:$C$825,A77)</f>
        <v>0</v>
      </c>
    </row>
    <row r="78" spans="1:2" ht="15" x14ac:dyDescent="0.2">
      <c r="A78" s="59" t="s">
        <v>213</v>
      </c>
      <c r="B78" s="60">
        <f>COUNTIF('Scan to Sheets'!$C$2:$C$825,A78)</f>
        <v>0</v>
      </c>
    </row>
    <row r="79" spans="1:2" ht="15" x14ac:dyDescent="0.2">
      <c r="A79" s="59" t="s">
        <v>214</v>
      </c>
      <c r="B79" s="60">
        <f>COUNTIF('Scan to Sheets'!$C$2:$C$825,A79)</f>
        <v>0</v>
      </c>
    </row>
    <row r="80" spans="1:2" ht="15" x14ac:dyDescent="0.2">
      <c r="A80" s="59" t="s">
        <v>215</v>
      </c>
      <c r="B80" s="60">
        <f>COUNTIF('Scan to Sheets'!$C$2:$C$825,A80)</f>
        <v>0</v>
      </c>
    </row>
    <row r="81" spans="1:2" ht="15" x14ac:dyDescent="0.2">
      <c r="A81" s="59" t="s">
        <v>216</v>
      </c>
      <c r="B81" s="60">
        <f>COUNTIF('Scan to Sheets'!$C$2:$C$825,A81)</f>
        <v>0</v>
      </c>
    </row>
    <row r="82" spans="1:2" ht="15" x14ac:dyDescent="0.2">
      <c r="A82" s="59" t="s">
        <v>217</v>
      </c>
      <c r="B82" s="60">
        <f>COUNTIF('Scan to Sheets'!$C$2:$C$825,A82)</f>
        <v>0</v>
      </c>
    </row>
    <row r="83" spans="1:2" ht="15" x14ac:dyDescent="0.2">
      <c r="A83" s="59" t="s">
        <v>218</v>
      </c>
      <c r="B83" s="60">
        <f>COUNTIF('Scan to Sheets'!$C$2:$C$825,A83)</f>
        <v>0</v>
      </c>
    </row>
    <row r="84" spans="1:2" ht="15" x14ac:dyDescent="0.2">
      <c r="A84" s="59" t="s">
        <v>219</v>
      </c>
      <c r="B84" s="60">
        <f>COUNTIF('Scan to Sheets'!$C$2:$C$825,A84)</f>
        <v>0</v>
      </c>
    </row>
    <row r="85" spans="1:2" ht="15" x14ac:dyDescent="0.2">
      <c r="A85" s="59" t="s">
        <v>220</v>
      </c>
      <c r="B85" s="60">
        <f>COUNTIF('Scan to Sheets'!$C$2:$C$825,A85)</f>
        <v>0</v>
      </c>
    </row>
    <row r="86" spans="1:2" ht="15" x14ac:dyDescent="0.2">
      <c r="A86" s="59" t="s">
        <v>221</v>
      </c>
      <c r="B86" s="60">
        <f>COUNTIF('Scan to Sheets'!$C$2:$C$825,A86)</f>
        <v>0</v>
      </c>
    </row>
    <row r="87" spans="1:2" ht="15" x14ac:dyDescent="0.2">
      <c r="A87" s="59" t="s">
        <v>222</v>
      </c>
      <c r="B87" s="60">
        <f>COUNTIF('Scan to Sheets'!$C$2:$C$825,A87)</f>
        <v>0</v>
      </c>
    </row>
    <row r="88" spans="1:2" ht="15" x14ac:dyDescent="0.2">
      <c r="A88" s="59" t="s">
        <v>223</v>
      </c>
      <c r="B88" s="60">
        <f>COUNTIF('Scan to Sheets'!$C$2:$C$825,A88)</f>
        <v>0</v>
      </c>
    </row>
    <row r="89" spans="1:2" ht="15" x14ac:dyDescent="0.2">
      <c r="A89" s="59" t="s">
        <v>224</v>
      </c>
      <c r="B89" s="60">
        <f>COUNTIF('Scan to Sheets'!$C$2:$C$825,A89)</f>
        <v>0</v>
      </c>
    </row>
    <row r="90" spans="1:2" ht="15" x14ac:dyDescent="0.2">
      <c r="A90" s="59" t="s">
        <v>225</v>
      </c>
      <c r="B90" s="60">
        <f>COUNTIF('Scan to Sheets'!$C$2:$C$825,A90)</f>
        <v>0</v>
      </c>
    </row>
    <row r="91" spans="1:2" ht="15" x14ac:dyDescent="0.2">
      <c r="A91" s="59" t="s">
        <v>226</v>
      </c>
      <c r="B91" s="60">
        <f>COUNTIF('Scan to Sheets'!$C$2:$C$825,A91)</f>
        <v>0</v>
      </c>
    </row>
    <row r="92" spans="1:2" ht="15" x14ac:dyDescent="0.2">
      <c r="A92" s="59" t="s">
        <v>227</v>
      </c>
      <c r="B92" s="60">
        <f>COUNTIF('Scan to Sheets'!$C$2:$C$825,A92)</f>
        <v>0</v>
      </c>
    </row>
    <row r="93" spans="1:2" ht="15" x14ac:dyDescent="0.2">
      <c r="A93" s="59" t="s">
        <v>228</v>
      </c>
      <c r="B93" s="60">
        <f>COUNTIF('Scan to Sheets'!$C$2:$C$825,A93)</f>
        <v>0</v>
      </c>
    </row>
    <row r="94" spans="1:2" ht="15" x14ac:dyDescent="0.2">
      <c r="A94" s="59" t="s">
        <v>229</v>
      </c>
      <c r="B94" s="60">
        <f>COUNTIF('Scan to Sheets'!$C$2:$C$825,A94)</f>
        <v>0</v>
      </c>
    </row>
    <row r="95" spans="1:2" ht="15" x14ac:dyDescent="0.2">
      <c r="A95" s="59" t="s">
        <v>230</v>
      </c>
      <c r="B95" s="60">
        <f>COUNTIF('Scan to Sheets'!$C$2:$C$825,A95)</f>
        <v>0</v>
      </c>
    </row>
    <row r="96" spans="1:2" ht="15" x14ac:dyDescent="0.2">
      <c r="A96" s="59" t="s">
        <v>231</v>
      </c>
      <c r="B96" s="60">
        <f>COUNTIF('Scan to Sheets'!$C$2:$C$825,A96)</f>
        <v>0</v>
      </c>
    </row>
    <row r="97" spans="1:2" ht="15" x14ac:dyDescent="0.2">
      <c r="A97" s="59" t="s">
        <v>232</v>
      </c>
      <c r="B97" s="60">
        <f>COUNTIF('Scan to Sheets'!$C$2:$C$825,A97)</f>
        <v>0</v>
      </c>
    </row>
    <row r="98" spans="1:2" ht="15" x14ac:dyDescent="0.2">
      <c r="A98" s="59" t="s">
        <v>233</v>
      </c>
      <c r="B98" s="60">
        <f>COUNTIF('Scan to Sheets'!$C$2:$C$825,A98)</f>
        <v>0</v>
      </c>
    </row>
    <row r="99" spans="1:2" ht="15" x14ac:dyDescent="0.2">
      <c r="A99" s="59" t="s">
        <v>234</v>
      </c>
      <c r="B99" s="60">
        <f>COUNTIF('Scan to Sheets'!$C$2:$C$825,A99)</f>
        <v>0</v>
      </c>
    </row>
    <row r="100" spans="1:2" ht="15" x14ac:dyDescent="0.2">
      <c r="A100" s="59" t="s">
        <v>235</v>
      </c>
      <c r="B100" s="60">
        <f>COUNTIF('Scan to Sheets'!$C$2:$C$825,A100)</f>
        <v>0</v>
      </c>
    </row>
    <row r="101" spans="1:2" ht="15" x14ac:dyDescent="0.2">
      <c r="A101" s="59" t="s">
        <v>236</v>
      </c>
      <c r="B101" s="60">
        <f>COUNTIF('Scan to Sheets'!$C$2:$C$825,A101)</f>
        <v>0</v>
      </c>
    </row>
    <row r="102" spans="1:2" ht="15" x14ac:dyDescent="0.2">
      <c r="A102" s="59" t="s">
        <v>237</v>
      </c>
      <c r="B102" s="60">
        <f>COUNTIF('Scan to Sheets'!$C$2:$C$825,A102)</f>
        <v>0</v>
      </c>
    </row>
    <row r="103" spans="1:2" ht="15" x14ac:dyDescent="0.2">
      <c r="A103" s="59" t="s">
        <v>238</v>
      </c>
      <c r="B103" s="60">
        <f>COUNTIF('Scan to Sheets'!$C$2:$C$825,A103)</f>
        <v>0</v>
      </c>
    </row>
    <row r="104" spans="1:2" ht="15" x14ac:dyDescent="0.2">
      <c r="A104" s="59" t="s">
        <v>239</v>
      </c>
      <c r="B104" s="60">
        <f>COUNTIF('Scan to Sheets'!$C$2:$C$825,A104)</f>
        <v>0</v>
      </c>
    </row>
    <row r="105" spans="1:2" ht="15" x14ac:dyDescent="0.2">
      <c r="A105" s="59" t="s">
        <v>240</v>
      </c>
      <c r="B105" s="60">
        <f>COUNTIF('Scan to Sheets'!$C$2:$C$825,A105)</f>
        <v>0</v>
      </c>
    </row>
    <row r="106" spans="1:2" ht="15" x14ac:dyDescent="0.2">
      <c r="A106" s="59" t="s">
        <v>241</v>
      </c>
      <c r="B106" s="60">
        <f>COUNTIF('Scan to Sheets'!$C$2:$C$825,A106)</f>
        <v>0</v>
      </c>
    </row>
    <row r="107" spans="1:2" ht="15" x14ac:dyDescent="0.2">
      <c r="A107" s="59" t="s">
        <v>242</v>
      </c>
      <c r="B107" s="60">
        <f>COUNTIF('Scan to Sheets'!$C$2:$C$825,A107)</f>
        <v>0</v>
      </c>
    </row>
    <row r="108" spans="1:2" ht="15" x14ac:dyDescent="0.2">
      <c r="A108" s="59" t="s">
        <v>243</v>
      </c>
      <c r="B108" s="60">
        <f>COUNTIF('Scan to Sheets'!$C$2:$C$825,A108)</f>
        <v>0</v>
      </c>
    </row>
    <row r="109" spans="1:2" ht="15" x14ac:dyDescent="0.2">
      <c r="A109" s="59" t="s">
        <v>244</v>
      </c>
      <c r="B109" s="60">
        <f>COUNTIF('Scan to Sheets'!$C$2:$C$825,A109)</f>
        <v>0</v>
      </c>
    </row>
    <row r="110" spans="1:2" ht="15" x14ac:dyDescent="0.2">
      <c r="A110" s="59" t="s">
        <v>245</v>
      </c>
      <c r="B110" s="60">
        <f>COUNTIF('Scan to Sheets'!$C$2:$C$825,A110)</f>
        <v>0</v>
      </c>
    </row>
    <row r="111" spans="1:2" ht="15" x14ac:dyDescent="0.2">
      <c r="A111" s="59" t="s">
        <v>246</v>
      </c>
      <c r="B111" s="60">
        <f>COUNTIF('Scan to Sheets'!$C$2:$C$825,A111)</f>
        <v>0</v>
      </c>
    </row>
    <row r="112" spans="1:2" ht="15" x14ac:dyDescent="0.2">
      <c r="A112" s="59" t="s">
        <v>247</v>
      </c>
      <c r="B112" s="60">
        <f>COUNTIF('Scan to Sheets'!$C$2:$C$825,A112)</f>
        <v>0</v>
      </c>
    </row>
    <row r="113" spans="1:2" ht="15" x14ac:dyDescent="0.2">
      <c r="A113" s="59" t="s">
        <v>248</v>
      </c>
      <c r="B113" s="60">
        <f>COUNTIF('Scan to Sheets'!$C$2:$C$825,A113)</f>
        <v>0</v>
      </c>
    </row>
    <row r="114" spans="1:2" ht="15" x14ac:dyDescent="0.2">
      <c r="A114" s="59" t="s">
        <v>249</v>
      </c>
      <c r="B114" s="60">
        <f>COUNTIF('Scan to Sheets'!$C$2:$C$825,A114)</f>
        <v>0</v>
      </c>
    </row>
    <row r="115" spans="1:2" ht="15" x14ac:dyDescent="0.2">
      <c r="A115" s="59" t="s">
        <v>250</v>
      </c>
      <c r="B115" s="60">
        <f>COUNTIF('Scan to Sheets'!$C$2:$C$825,A115)</f>
        <v>0</v>
      </c>
    </row>
    <row r="116" spans="1:2" ht="15" x14ac:dyDescent="0.2">
      <c r="A116" s="59" t="s">
        <v>251</v>
      </c>
      <c r="B116" s="60">
        <f>COUNTIF('Scan to Sheets'!$C$2:$C$825,A116)</f>
        <v>0</v>
      </c>
    </row>
    <row r="117" spans="1:2" ht="15" x14ac:dyDescent="0.2">
      <c r="A117" s="59" t="s">
        <v>252</v>
      </c>
      <c r="B117" s="60">
        <f>COUNTIF('Scan to Sheets'!$C$2:$C$825,A117)</f>
        <v>0</v>
      </c>
    </row>
    <row r="118" spans="1:2" ht="15" x14ac:dyDescent="0.2">
      <c r="A118" s="59" t="s">
        <v>253</v>
      </c>
      <c r="B118" s="60">
        <f>COUNTIF('Scan to Sheets'!$C$2:$C$825,A118)</f>
        <v>0</v>
      </c>
    </row>
    <row r="119" spans="1:2" ht="15" x14ac:dyDescent="0.2">
      <c r="A119" s="59" t="s">
        <v>254</v>
      </c>
      <c r="B119" s="60">
        <f>COUNTIF('Scan to Sheets'!$C$2:$C$825,A119)</f>
        <v>0</v>
      </c>
    </row>
    <row r="120" spans="1:2" ht="15" x14ac:dyDescent="0.2">
      <c r="A120" s="59" t="s">
        <v>255</v>
      </c>
      <c r="B120" s="60">
        <f>COUNTIF('Scan to Sheets'!$C$2:$C$825,A120)</f>
        <v>0</v>
      </c>
    </row>
    <row r="121" spans="1:2" ht="15" x14ac:dyDescent="0.2">
      <c r="A121" s="59" t="s">
        <v>256</v>
      </c>
      <c r="B121" s="60">
        <f>COUNTIF('Scan to Sheets'!$C$2:$C$825,A121)</f>
        <v>0</v>
      </c>
    </row>
    <row r="122" spans="1:2" ht="15" x14ac:dyDescent="0.2">
      <c r="A122" s="59" t="s">
        <v>257</v>
      </c>
      <c r="B122" s="60">
        <f>COUNTIF('Scan to Sheets'!$C$2:$C$825,A122)</f>
        <v>0</v>
      </c>
    </row>
    <row r="123" spans="1:2" ht="15" x14ac:dyDescent="0.2">
      <c r="A123" s="59" t="s">
        <v>258</v>
      </c>
      <c r="B123" s="60">
        <f>COUNTIF('Scan to Sheets'!$C$2:$C$825,A123)</f>
        <v>0</v>
      </c>
    </row>
    <row r="124" spans="1:2" ht="15" x14ac:dyDescent="0.2">
      <c r="A124" s="59" t="s">
        <v>259</v>
      </c>
      <c r="B124" s="60">
        <f>COUNTIF('Scan to Sheets'!$C$2:$C$825,A124)</f>
        <v>0</v>
      </c>
    </row>
    <row r="125" spans="1:2" ht="15" x14ac:dyDescent="0.2">
      <c r="A125" s="59" t="s">
        <v>260</v>
      </c>
      <c r="B125" s="60">
        <f>COUNTIF('Scan to Sheets'!$C$2:$C$825,A125)</f>
        <v>0</v>
      </c>
    </row>
    <row r="126" spans="1:2" ht="15" x14ac:dyDescent="0.2">
      <c r="A126" s="59" t="s">
        <v>261</v>
      </c>
      <c r="B126" s="60">
        <f>COUNTIF('Scan to Sheets'!$C$2:$C$825,A126)</f>
        <v>0</v>
      </c>
    </row>
    <row r="127" spans="1:2" ht="15" x14ac:dyDescent="0.2">
      <c r="A127" s="59" t="s">
        <v>262</v>
      </c>
      <c r="B127" s="60">
        <f>COUNTIF('Scan to Sheets'!$C$2:$C$825,A127)</f>
        <v>0</v>
      </c>
    </row>
    <row r="128" spans="1:2" ht="15" x14ac:dyDescent="0.2">
      <c r="A128" s="59" t="s">
        <v>263</v>
      </c>
      <c r="B128" s="60">
        <f>COUNTIF('Scan to Sheets'!$C$2:$C$825,A128)</f>
        <v>0</v>
      </c>
    </row>
    <row r="129" spans="1:2" ht="15" x14ac:dyDescent="0.2">
      <c r="A129" s="59" t="s">
        <v>264</v>
      </c>
      <c r="B129" s="60">
        <f>COUNTIF('Scan to Sheets'!$C$2:$C$825,A129)</f>
        <v>0</v>
      </c>
    </row>
    <row r="130" spans="1:2" ht="15" x14ac:dyDescent="0.2">
      <c r="A130" s="59" t="s">
        <v>265</v>
      </c>
      <c r="B130" s="60">
        <f>COUNTIF('Scan to Sheets'!$C$2:$C$825,A130)</f>
        <v>0</v>
      </c>
    </row>
    <row r="131" spans="1:2" ht="15" x14ac:dyDescent="0.2">
      <c r="A131" s="59" t="s">
        <v>266</v>
      </c>
      <c r="B131" s="60">
        <f>COUNTIF('Scan to Sheets'!$C$2:$C$825,A131)</f>
        <v>0</v>
      </c>
    </row>
    <row r="132" spans="1:2" ht="15" x14ac:dyDescent="0.2">
      <c r="A132" s="59" t="s">
        <v>267</v>
      </c>
      <c r="B132" s="60">
        <f>COUNTIF('Scan to Sheets'!$C$2:$C$825,A132)</f>
        <v>0</v>
      </c>
    </row>
    <row r="133" spans="1:2" ht="15" x14ac:dyDescent="0.2">
      <c r="A133" s="59" t="s">
        <v>268</v>
      </c>
      <c r="B133" s="60">
        <f>COUNTIF('Scan to Sheets'!$C$2:$C$825,A133)</f>
        <v>0</v>
      </c>
    </row>
    <row r="134" spans="1:2" ht="15" x14ac:dyDescent="0.2">
      <c r="A134" s="59" t="s">
        <v>269</v>
      </c>
      <c r="B134" s="60">
        <f>COUNTIF('Scan to Sheets'!$C$2:$C$825,A134)</f>
        <v>0</v>
      </c>
    </row>
    <row r="135" spans="1:2" ht="15" x14ac:dyDescent="0.2">
      <c r="A135" s="59" t="s">
        <v>270</v>
      </c>
      <c r="B135" s="60">
        <f>COUNTIF('Scan to Sheets'!$C$2:$C$825,A135)</f>
        <v>0</v>
      </c>
    </row>
    <row r="136" spans="1:2" ht="15" x14ac:dyDescent="0.2">
      <c r="A136" s="59" t="s">
        <v>271</v>
      </c>
      <c r="B136" s="60">
        <f>COUNTIF('Scan to Sheets'!$C$2:$C$825,A136)</f>
        <v>0</v>
      </c>
    </row>
    <row r="137" spans="1:2" ht="15" x14ac:dyDescent="0.2">
      <c r="A137" s="59" t="s">
        <v>272</v>
      </c>
      <c r="B137" s="60">
        <f>COUNTIF('Scan to Sheets'!$C$2:$C$825,A137)</f>
        <v>0</v>
      </c>
    </row>
    <row r="138" spans="1:2" ht="15" x14ac:dyDescent="0.2">
      <c r="A138" s="59" t="s">
        <v>273</v>
      </c>
      <c r="B138" s="60">
        <f>COUNTIF('Scan to Sheets'!$C$2:$C$825,A138)</f>
        <v>0</v>
      </c>
    </row>
    <row r="139" spans="1:2" ht="15" x14ac:dyDescent="0.2">
      <c r="A139" s="59" t="s">
        <v>274</v>
      </c>
      <c r="B139" s="60">
        <f>COUNTIF('Scan to Sheets'!$C$2:$C$825,A139)</f>
        <v>0</v>
      </c>
    </row>
    <row r="140" spans="1:2" ht="15" x14ac:dyDescent="0.2">
      <c r="A140" s="59" t="s">
        <v>275</v>
      </c>
      <c r="B140" s="60">
        <f>COUNTIF('Scan to Sheets'!$C$2:$C$825,A140)</f>
        <v>0</v>
      </c>
    </row>
    <row r="141" spans="1:2" ht="15" x14ac:dyDescent="0.2">
      <c r="A141" s="59" t="s">
        <v>276</v>
      </c>
      <c r="B141" s="60">
        <f>COUNTIF('Scan to Sheets'!$C$2:$C$825,A141)</f>
        <v>0</v>
      </c>
    </row>
    <row r="142" spans="1:2" ht="15" x14ac:dyDescent="0.2">
      <c r="A142" s="59" t="s">
        <v>277</v>
      </c>
      <c r="B142" s="60">
        <f>COUNTIF('Scan to Sheets'!$C$2:$C$825,A142)</f>
        <v>0</v>
      </c>
    </row>
    <row r="143" spans="1:2" ht="15" x14ac:dyDescent="0.2">
      <c r="A143" s="59" t="s">
        <v>278</v>
      </c>
      <c r="B143" s="60">
        <f>COUNTIF('Scan to Sheets'!$C$2:$C$825,A143)</f>
        <v>0</v>
      </c>
    </row>
    <row r="144" spans="1:2" ht="15" x14ac:dyDescent="0.2">
      <c r="A144" s="59" t="s">
        <v>279</v>
      </c>
      <c r="B144" s="60">
        <f>COUNTIF('Scan to Sheets'!$C$2:$C$825,A144)</f>
        <v>0</v>
      </c>
    </row>
    <row r="145" spans="1:2" ht="15" x14ac:dyDescent="0.2">
      <c r="A145" s="59" t="s">
        <v>280</v>
      </c>
      <c r="B145" s="60">
        <f>COUNTIF('Scan to Sheets'!$C$2:$C$825,A145)</f>
        <v>0</v>
      </c>
    </row>
    <row r="146" spans="1:2" ht="15" x14ac:dyDescent="0.2">
      <c r="A146" s="59" t="s">
        <v>281</v>
      </c>
      <c r="B146" s="60">
        <f>COUNTIF('Scan to Sheets'!$C$2:$C$825,A146)</f>
        <v>0</v>
      </c>
    </row>
    <row r="147" spans="1:2" ht="15" x14ac:dyDescent="0.2">
      <c r="A147" s="59" t="s">
        <v>282</v>
      </c>
      <c r="B147" s="60">
        <f>COUNTIF('Scan to Sheets'!$C$2:$C$825,A147)</f>
        <v>0</v>
      </c>
    </row>
    <row r="148" spans="1:2" ht="15" x14ac:dyDescent="0.2">
      <c r="A148" s="59" t="s">
        <v>283</v>
      </c>
      <c r="B148" s="60">
        <f>COUNTIF('Scan to Sheets'!$C$2:$C$825,A148)</f>
        <v>0</v>
      </c>
    </row>
    <row r="149" spans="1:2" ht="15" x14ac:dyDescent="0.2">
      <c r="A149" s="59" t="s">
        <v>284</v>
      </c>
      <c r="B149" s="60">
        <f>COUNTIF('Scan to Sheets'!$C$2:$C$825,A149)</f>
        <v>0</v>
      </c>
    </row>
    <row r="150" spans="1:2" ht="15" x14ac:dyDescent="0.2">
      <c r="A150" s="59" t="s">
        <v>285</v>
      </c>
      <c r="B150" s="60">
        <f>COUNTIF('Scan to Sheets'!$C$2:$C$825,A150)</f>
        <v>0</v>
      </c>
    </row>
    <row r="151" spans="1:2" ht="15" x14ac:dyDescent="0.2">
      <c r="A151" s="66" t="s">
        <v>286</v>
      </c>
      <c r="B151" s="60">
        <f>COUNTIF('Scan to Sheets'!$C$2:$C$825,A151)</f>
        <v>0</v>
      </c>
    </row>
    <row r="152" spans="1:2" ht="15" x14ac:dyDescent="0.2">
      <c r="A152" s="59" t="s">
        <v>288</v>
      </c>
      <c r="B152" s="60">
        <f>COUNTIF('Scan to Sheets'!$C$2:$C$825,A152)</f>
        <v>0</v>
      </c>
    </row>
    <row r="153" spans="1:2" ht="15" x14ac:dyDescent="0.2">
      <c r="A153" s="59" t="s">
        <v>289</v>
      </c>
      <c r="B153" s="60">
        <f>COUNTIF('Scan to Sheets'!$C$2:$C$825,A153)</f>
        <v>0</v>
      </c>
    </row>
    <row r="154" spans="1:2" ht="15" x14ac:dyDescent="0.2">
      <c r="A154" s="59" t="s">
        <v>290</v>
      </c>
      <c r="B154" s="60">
        <f>COUNTIF('Scan to Sheets'!$C$2:$C$825,A154)</f>
        <v>0</v>
      </c>
    </row>
    <row r="155" spans="1:2" ht="15" x14ac:dyDescent="0.2">
      <c r="A155" s="59" t="s">
        <v>291</v>
      </c>
      <c r="B155" s="60">
        <f>COUNTIF('Scan to Sheets'!$C$2:$C$825,A155)</f>
        <v>0</v>
      </c>
    </row>
    <row r="156" spans="1:2" ht="15" x14ac:dyDescent="0.2">
      <c r="A156" s="59" t="s">
        <v>292</v>
      </c>
      <c r="B156" s="60">
        <f>COUNTIF('Scan to Sheets'!$C$2:$C$825,A156)</f>
        <v>0</v>
      </c>
    </row>
    <row r="157" spans="1:2" ht="15" x14ac:dyDescent="0.2">
      <c r="A157" s="59" t="s">
        <v>293</v>
      </c>
      <c r="B157" s="60">
        <f>COUNTIF('Scan to Sheets'!$C$2:$C$825,A157)</f>
        <v>0</v>
      </c>
    </row>
    <row r="158" spans="1:2" ht="15" x14ac:dyDescent="0.2">
      <c r="A158" s="59" t="s">
        <v>294</v>
      </c>
      <c r="B158" s="60">
        <f>COUNTIF('Scan to Sheets'!$C$2:$C$825,A158)</f>
        <v>0</v>
      </c>
    </row>
    <row r="159" spans="1:2" ht="15" x14ac:dyDescent="0.2">
      <c r="A159" s="59" t="s">
        <v>295</v>
      </c>
      <c r="B159" s="60">
        <f>COUNTIF('Scan to Sheets'!$C$2:$C$825,A159)</f>
        <v>0</v>
      </c>
    </row>
    <row r="160" spans="1:2" ht="15" x14ac:dyDescent="0.2">
      <c r="A160" s="59" t="s">
        <v>296</v>
      </c>
      <c r="B160" s="60">
        <f>COUNTIF('Scan to Sheets'!$C$2:$C$825,A160)</f>
        <v>0</v>
      </c>
    </row>
    <row r="161" spans="1:2" ht="15" x14ac:dyDescent="0.2">
      <c r="A161" s="59" t="s">
        <v>297</v>
      </c>
      <c r="B161" s="60">
        <f>COUNTIF('Scan to Sheets'!$C$2:$C$825,A161)</f>
        <v>0</v>
      </c>
    </row>
    <row r="162" spans="1:2" ht="15" x14ac:dyDescent="0.2">
      <c r="A162" s="59" t="s">
        <v>298</v>
      </c>
      <c r="B162" s="60">
        <f>COUNTIF('Scan to Sheets'!$C$2:$C$825,A162)</f>
        <v>0</v>
      </c>
    </row>
    <row r="163" spans="1:2" ht="15" x14ac:dyDescent="0.2">
      <c r="A163" s="59" t="s">
        <v>299</v>
      </c>
      <c r="B163" s="60">
        <f>COUNTIF('Scan to Sheets'!$C$2:$C$825,A163)</f>
        <v>0</v>
      </c>
    </row>
    <row r="164" spans="1:2" ht="15" x14ac:dyDescent="0.2">
      <c r="A164" s="66" t="s">
        <v>300</v>
      </c>
      <c r="B164" s="60">
        <f>COUNTIF('Scan to Sheets'!$C$2:$C$825,A164)</f>
        <v>0</v>
      </c>
    </row>
    <row r="165" spans="1:2" ht="15" x14ac:dyDescent="0.2">
      <c r="A165" s="66" t="s">
        <v>301</v>
      </c>
      <c r="B165" s="60">
        <f>COUNTIF('Scan to Sheets'!$C$2:$C$825,A165)</f>
        <v>0</v>
      </c>
    </row>
    <row r="166" spans="1:2" ht="15" x14ac:dyDescent="0.2">
      <c r="A166" s="66" t="s">
        <v>302</v>
      </c>
      <c r="B166" s="60">
        <f>COUNTIF('Scan to Sheets'!$C$2:$C$825,A166)</f>
        <v>0</v>
      </c>
    </row>
    <row r="167" spans="1:2" ht="15" x14ac:dyDescent="0.2">
      <c r="A167" s="66" t="s">
        <v>303</v>
      </c>
      <c r="B167" s="60">
        <f>COUNTIF('Scan to Sheets'!$C$2:$C$825,A167)</f>
        <v>0</v>
      </c>
    </row>
    <row r="168" spans="1:2" ht="15" x14ac:dyDescent="0.2">
      <c r="A168" s="66" t="s">
        <v>304</v>
      </c>
      <c r="B168" s="60">
        <f>COUNTIF('Scan to Sheets'!$C$2:$C$825,A168)</f>
        <v>0</v>
      </c>
    </row>
    <row r="169" spans="1:2" ht="15" x14ac:dyDescent="0.2">
      <c r="A169" s="66" t="s">
        <v>305</v>
      </c>
      <c r="B169" s="60">
        <f>COUNTIF('Scan to Sheets'!$C$2:$C$825,A169)</f>
        <v>0</v>
      </c>
    </row>
    <row r="170" spans="1:2" ht="15" x14ac:dyDescent="0.2">
      <c r="A170" s="59" t="s">
        <v>306</v>
      </c>
      <c r="B170" s="60">
        <f>COUNTIF('Scan to Sheets'!$C$2:$C$825,A170)</f>
        <v>0</v>
      </c>
    </row>
    <row r="171" spans="1:2" ht="15" x14ac:dyDescent="0.2">
      <c r="A171" s="59" t="s">
        <v>307</v>
      </c>
      <c r="B171" s="60">
        <f>COUNTIF('Scan to Sheets'!$C$2:$C$825,A171)</f>
        <v>0</v>
      </c>
    </row>
    <row r="172" spans="1:2" ht="15" x14ac:dyDescent="0.2">
      <c r="A172" s="59" t="s">
        <v>308</v>
      </c>
      <c r="B172" s="60">
        <f>COUNTIF('Scan to Sheets'!$C$2:$C$825,A172)</f>
        <v>0</v>
      </c>
    </row>
    <row r="173" spans="1:2" ht="15" x14ac:dyDescent="0.2">
      <c r="A173" s="59" t="s">
        <v>309</v>
      </c>
      <c r="B173" s="60">
        <f>COUNTIF('Scan to Sheets'!$C$2:$C$825,A173)</f>
        <v>0</v>
      </c>
    </row>
    <row r="174" spans="1:2" ht="15" x14ac:dyDescent="0.2">
      <c r="A174" s="59" t="s">
        <v>310</v>
      </c>
      <c r="B174" s="60">
        <f>COUNTIF('Scan to Sheets'!$C$2:$C$825,A174)</f>
        <v>0</v>
      </c>
    </row>
    <row r="175" spans="1:2" ht="15" x14ac:dyDescent="0.2">
      <c r="A175" s="59" t="s">
        <v>311</v>
      </c>
      <c r="B175" s="60">
        <f>COUNTIF('Scan to Sheets'!$C$2:$C$825,A175)</f>
        <v>0</v>
      </c>
    </row>
    <row r="176" spans="1:2" ht="15" x14ac:dyDescent="0.2">
      <c r="A176" s="59" t="s">
        <v>312</v>
      </c>
      <c r="B176" s="60">
        <f>COUNTIF('Scan to Sheets'!$C$2:$C$825,A176)</f>
        <v>0</v>
      </c>
    </row>
    <row r="177" spans="1:2" ht="15" x14ac:dyDescent="0.2">
      <c r="A177" s="59" t="s">
        <v>313</v>
      </c>
      <c r="B177" s="60">
        <f>COUNTIF('Scan to Sheets'!$C$2:$C$825,A177)</f>
        <v>0</v>
      </c>
    </row>
    <row r="178" spans="1:2" ht="15" x14ac:dyDescent="0.2">
      <c r="A178" s="59" t="s">
        <v>314</v>
      </c>
      <c r="B178" s="60">
        <f>COUNTIF('Scan to Sheets'!$C$2:$C$825,A178)</f>
        <v>0</v>
      </c>
    </row>
    <row r="179" spans="1:2" ht="15" x14ac:dyDescent="0.2">
      <c r="A179" s="59" t="s">
        <v>315</v>
      </c>
      <c r="B179" s="60">
        <f>COUNTIF('Scan to Sheets'!$C$2:$C$825,A179)</f>
        <v>0</v>
      </c>
    </row>
    <row r="180" spans="1:2" ht="15" x14ac:dyDescent="0.2">
      <c r="A180" s="59" t="s">
        <v>316</v>
      </c>
      <c r="B180" s="60">
        <f>COUNTIF('Scan to Sheets'!$C$2:$C$825,A180)</f>
        <v>0</v>
      </c>
    </row>
    <row r="181" spans="1:2" ht="15" x14ac:dyDescent="0.2">
      <c r="A181" s="59" t="s">
        <v>317</v>
      </c>
      <c r="B181" s="60">
        <f>COUNTIF('Scan to Sheets'!$C$2:$C$825,A181)</f>
        <v>0</v>
      </c>
    </row>
    <row r="182" spans="1:2" ht="15" x14ac:dyDescent="0.2">
      <c r="A182" s="59" t="s">
        <v>318</v>
      </c>
      <c r="B182" s="60">
        <f>COUNTIF('Scan to Sheets'!$C$2:$C$825,A182)</f>
        <v>0</v>
      </c>
    </row>
    <row r="183" spans="1:2" ht="15" x14ac:dyDescent="0.2">
      <c r="A183" s="59" t="s">
        <v>319</v>
      </c>
      <c r="B183" s="60">
        <f>COUNTIF('Scan to Sheets'!$C$2:$C$825,A183)</f>
        <v>0</v>
      </c>
    </row>
    <row r="184" spans="1:2" ht="15" x14ac:dyDescent="0.2">
      <c r="A184" s="59" t="s">
        <v>320</v>
      </c>
      <c r="B184" s="60">
        <f>COUNTIF('Scan to Sheets'!$C$2:$C$825,A184)</f>
        <v>0</v>
      </c>
    </row>
    <row r="185" spans="1:2" ht="15" x14ac:dyDescent="0.2">
      <c r="A185" s="59" t="s">
        <v>321</v>
      </c>
      <c r="B185" s="60">
        <f>COUNTIF('Scan to Sheets'!$C$2:$C$825,A185)</f>
        <v>0</v>
      </c>
    </row>
    <row r="186" spans="1:2" ht="15" x14ac:dyDescent="0.2">
      <c r="A186" s="59" t="s">
        <v>322</v>
      </c>
      <c r="B186" s="60">
        <f>COUNTIF('Scan to Sheets'!$C$2:$C$825,A186)</f>
        <v>0</v>
      </c>
    </row>
    <row r="187" spans="1:2" ht="15" x14ac:dyDescent="0.2">
      <c r="A187" s="59" t="s">
        <v>323</v>
      </c>
      <c r="B187" s="60">
        <f>COUNTIF('Scan to Sheets'!$C$2:$C$825,A187)</f>
        <v>0</v>
      </c>
    </row>
    <row r="188" spans="1:2" ht="15" x14ac:dyDescent="0.2">
      <c r="A188" s="59" t="s">
        <v>324</v>
      </c>
      <c r="B188" s="60">
        <f>COUNTIF('Scan to Sheets'!$C$2:$C$825,A188)</f>
        <v>0</v>
      </c>
    </row>
    <row r="189" spans="1:2" ht="15" x14ac:dyDescent="0.2">
      <c r="A189" s="59" t="s">
        <v>325</v>
      </c>
      <c r="B189" s="60">
        <f>COUNTIF('Scan to Sheets'!$C$2:$C$825,A189)</f>
        <v>0</v>
      </c>
    </row>
    <row r="190" spans="1:2" ht="15" x14ac:dyDescent="0.2">
      <c r="A190" s="59" t="s">
        <v>326</v>
      </c>
      <c r="B190" s="60">
        <f>COUNTIF('Scan to Sheets'!$C$2:$C$825,A190)</f>
        <v>0</v>
      </c>
    </row>
    <row r="191" spans="1:2" ht="15" x14ac:dyDescent="0.2">
      <c r="A191" s="59" t="s">
        <v>327</v>
      </c>
      <c r="B191" s="60">
        <f>COUNTIF('Scan to Sheets'!$C$2:$C$825,A191)</f>
        <v>0</v>
      </c>
    </row>
    <row r="192" spans="1:2" ht="15" x14ac:dyDescent="0.2">
      <c r="A192" s="59" t="s">
        <v>328</v>
      </c>
      <c r="B192" s="60">
        <f>COUNTIF('Scan to Sheets'!$C$2:$C$825,A192)</f>
        <v>0</v>
      </c>
    </row>
    <row r="193" spans="1:2" ht="15" x14ac:dyDescent="0.2">
      <c r="A193" s="59" t="s">
        <v>329</v>
      </c>
      <c r="B193" s="60">
        <f>COUNTIF('Scan to Sheets'!$C$2:$C$825,A193)</f>
        <v>0</v>
      </c>
    </row>
    <row r="194" spans="1:2" ht="15" x14ac:dyDescent="0.2">
      <c r="A194" s="59" t="s">
        <v>330</v>
      </c>
      <c r="B194" s="60">
        <f>COUNTIF('Scan to Sheets'!$C$2:$C$825,A194)</f>
        <v>0</v>
      </c>
    </row>
    <row r="195" spans="1:2" ht="15" x14ac:dyDescent="0.2">
      <c r="A195" s="59" t="s">
        <v>331</v>
      </c>
      <c r="B195" s="60">
        <f>COUNTIF('Scan to Sheets'!$C$2:$C$825,A195)</f>
        <v>0</v>
      </c>
    </row>
    <row r="196" spans="1:2" ht="15" x14ac:dyDescent="0.2">
      <c r="A196" s="59" t="s">
        <v>332</v>
      </c>
      <c r="B196" s="60">
        <f>COUNTIF('Scan to Sheets'!$C$2:$C$825,A196)</f>
        <v>0</v>
      </c>
    </row>
    <row r="197" spans="1:2" ht="15" x14ac:dyDescent="0.2">
      <c r="A197" s="59" t="s">
        <v>333</v>
      </c>
      <c r="B197" s="60">
        <f>COUNTIF('Scan to Sheets'!$C$2:$C$825,A197)</f>
        <v>0</v>
      </c>
    </row>
    <row r="198" spans="1:2" ht="15" x14ac:dyDescent="0.2">
      <c r="A198" s="59" t="s">
        <v>334</v>
      </c>
      <c r="B198" s="60">
        <f>COUNTIF('Scan to Sheets'!$C$2:$C$825,A198)</f>
        <v>0</v>
      </c>
    </row>
    <row r="199" spans="1:2" ht="15" x14ac:dyDescent="0.2">
      <c r="A199" s="59" t="s">
        <v>335</v>
      </c>
      <c r="B199" s="60">
        <f>COUNTIF('Scan to Sheets'!$C$2:$C$825,A199)</f>
        <v>0</v>
      </c>
    </row>
    <row r="200" spans="1:2" ht="15" x14ac:dyDescent="0.2">
      <c r="A200" s="59" t="s">
        <v>336</v>
      </c>
      <c r="B200" s="60">
        <f>COUNTIF('Scan to Sheets'!$C$2:$C$825,A200)</f>
        <v>0</v>
      </c>
    </row>
    <row r="201" spans="1:2" ht="15" x14ac:dyDescent="0.2">
      <c r="A201" s="59" t="s">
        <v>337</v>
      </c>
      <c r="B201" s="60">
        <f>COUNTIF('Scan to Sheets'!$C$2:$C$825,A201)</f>
        <v>0</v>
      </c>
    </row>
    <row r="202" spans="1:2" ht="15" x14ac:dyDescent="0.2">
      <c r="A202" s="59" t="s">
        <v>338</v>
      </c>
      <c r="B202" s="60">
        <f>COUNTIF('Scan to Sheets'!$C$2:$C$825,A202)</f>
        <v>0</v>
      </c>
    </row>
    <row r="203" spans="1:2" ht="15" x14ac:dyDescent="0.2">
      <c r="A203" s="59" t="s">
        <v>339</v>
      </c>
      <c r="B203" s="60">
        <f>COUNTIF('Scan to Sheets'!$C$2:$C$825,A203)</f>
        <v>0</v>
      </c>
    </row>
    <row r="204" spans="1:2" ht="15" x14ac:dyDescent="0.2">
      <c r="A204" s="59" t="s">
        <v>340</v>
      </c>
      <c r="B204" s="60">
        <f>COUNTIF('Scan to Sheets'!$C$2:$C$825,A204)</f>
        <v>0</v>
      </c>
    </row>
    <row r="205" spans="1:2" ht="15" x14ac:dyDescent="0.2">
      <c r="A205" s="59" t="s">
        <v>341</v>
      </c>
      <c r="B205" s="60">
        <f>COUNTIF('Scan to Sheets'!$C$2:$C$825,A205)</f>
        <v>0</v>
      </c>
    </row>
    <row r="206" spans="1:2" ht="15" x14ac:dyDescent="0.2">
      <c r="A206" s="59" t="s">
        <v>342</v>
      </c>
      <c r="B206" s="60">
        <f>COUNTIF('Scan to Sheets'!$C$2:$C$825,A206)</f>
        <v>0</v>
      </c>
    </row>
    <row r="207" spans="1:2" ht="15" x14ac:dyDescent="0.2">
      <c r="A207" s="59" t="s">
        <v>343</v>
      </c>
      <c r="B207" s="60">
        <f>COUNTIF('Scan to Sheets'!$C$2:$C$825,A207)</f>
        <v>0</v>
      </c>
    </row>
    <row r="208" spans="1:2" ht="15" x14ac:dyDescent="0.2">
      <c r="A208" s="59" t="s">
        <v>344</v>
      </c>
      <c r="B208" s="60">
        <f>COUNTIF('Scan to Sheets'!$C$2:$C$825,A208)</f>
        <v>0</v>
      </c>
    </row>
    <row r="209" spans="1:2" ht="15" x14ac:dyDescent="0.2">
      <c r="A209" s="59" t="s">
        <v>345</v>
      </c>
      <c r="B209" s="60">
        <f>COUNTIF('Scan to Sheets'!$C$2:$C$825,A209)</f>
        <v>0</v>
      </c>
    </row>
    <row r="210" spans="1:2" ht="15" x14ac:dyDescent="0.2">
      <c r="A210" s="59" t="s">
        <v>346</v>
      </c>
      <c r="B210" s="60">
        <f>COUNTIF('Scan to Sheets'!$C$2:$C$825,A210)</f>
        <v>0</v>
      </c>
    </row>
    <row r="211" spans="1:2" ht="15" x14ac:dyDescent="0.2">
      <c r="A211" s="59" t="s">
        <v>347</v>
      </c>
      <c r="B211" s="60">
        <f>COUNTIF('Scan to Sheets'!$C$2:$C$825,A211)</f>
        <v>0</v>
      </c>
    </row>
    <row r="212" spans="1:2" ht="15" x14ac:dyDescent="0.2">
      <c r="A212" s="59" t="s">
        <v>348</v>
      </c>
      <c r="B212" s="60">
        <f>COUNTIF('Scan to Sheets'!$C$2:$C$825,A212)</f>
        <v>0</v>
      </c>
    </row>
    <row r="213" spans="1:2" ht="15" x14ac:dyDescent="0.2">
      <c r="A213" s="59" t="s">
        <v>349</v>
      </c>
      <c r="B213" s="60">
        <f>COUNTIF('Scan to Sheets'!$C$2:$C$825,A213)</f>
        <v>0</v>
      </c>
    </row>
    <row r="214" spans="1:2" ht="15" x14ac:dyDescent="0.2">
      <c r="A214" s="59" t="s">
        <v>350</v>
      </c>
      <c r="B214" s="60">
        <f>COUNTIF('Scan to Sheets'!$C$2:$C$825,A214)</f>
        <v>0</v>
      </c>
    </row>
    <row r="215" spans="1:2" ht="15" x14ac:dyDescent="0.2">
      <c r="A215" s="59" t="s">
        <v>351</v>
      </c>
      <c r="B215" s="60">
        <f>COUNTIF('Scan to Sheets'!$C$2:$C$825,A215)</f>
        <v>0</v>
      </c>
    </row>
    <row r="216" spans="1:2" ht="15" x14ac:dyDescent="0.2">
      <c r="A216" s="59" t="s">
        <v>352</v>
      </c>
      <c r="B216" s="60">
        <f>COUNTIF('Scan to Sheets'!$C$2:$C$825,A216)</f>
        <v>0</v>
      </c>
    </row>
    <row r="217" spans="1:2" ht="15" x14ac:dyDescent="0.2">
      <c r="A217" s="59" t="s">
        <v>353</v>
      </c>
      <c r="B217" s="60">
        <f>COUNTIF('Scan to Sheets'!$C$2:$C$825,A217)</f>
        <v>0</v>
      </c>
    </row>
    <row r="218" spans="1:2" ht="15" x14ac:dyDescent="0.2">
      <c r="A218" s="59" t="s">
        <v>354</v>
      </c>
      <c r="B218" s="60">
        <f>COUNTIF('Scan to Sheets'!$C$2:$C$825,A218)</f>
        <v>0</v>
      </c>
    </row>
    <row r="219" spans="1:2" ht="15" x14ac:dyDescent="0.2">
      <c r="A219" s="59" t="s">
        <v>355</v>
      </c>
      <c r="B219" s="60">
        <f>COUNTIF('Scan to Sheets'!$C$2:$C$825,A219)</f>
        <v>0</v>
      </c>
    </row>
    <row r="220" spans="1:2" ht="15" x14ac:dyDescent="0.2">
      <c r="A220" s="59" t="s">
        <v>356</v>
      </c>
      <c r="B220" s="60">
        <f>COUNTIF('Scan to Sheets'!$C$2:$C$825,A220)</f>
        <v>0</v>
      </c>
    </row>
    <row r="221" spans="1:2" ht="15" x14ac:dyDescent="0.2">
      <c r="A221" s="59" t="s">
        <v>357</v>
      </c>
      <c r="B221" s="60">
        <f>COUNTIF('Scan to Sheets'!$C$2:$C$825,A221)</f>
        <v>0</v>
      </c>
    </row>
    <row r="222" spans="1:2" ht="15" x14ac:dyDescent="0.2">
      <c r="A222" s="59" t="s">
        <v>358</v>
      </c>
      <c r="B222" s="60">
        <f>COUNTIF('Scan to Sheets'!$C$2:$C$825,A222)</f>
        <v>0</v>
      </c>
    </row>
    <row r="223" spans="1:2" ht="15" x14ac:dyDescent="0.2">
      <c r="A223" s="59" t="s">
        <v>359</v>
      </c>
      <c r="B223" s="60">
        <f>COUNTIF('Scan to Sheets'!$C$2:$C$825,A223)</f>
        <v>0</v>
      </c>
    </row>
    <row r="224" spans="1:2" ht="15" x14ac:dyDescent="0.2">
      <c r="A224" s="59" t="s">
        <v>360</v>
      </c>
      <c r="B224" s="60">
        <f>COUNTIF('Scan to Sheets'!$C$2:$C$825,A224)</f>
        <v>0</v>
      </c>
    </row>
    <row r="225" spans="1:2" ht="15" x14ac:dyDescent="0.2">
      <c r="A225" s="59" t="s">
        <v>361</v>
      </c>
      <c r="B225" s="60">
        <f>COUNTIF('Scan to Sheets'!$C$2:$C$825,A225)</f>
        <v>0</v>
      </c>
    </row>
    <row r="226" spans="1:2" ht="15" x14ac:dyDescent="0.2">
      <c r="A226" s="59" t="s">
        <v>362</v>
      </c>
      <c r="B226" s="60">
        <f>COUNTIF('Scan to Sheets'!$C$2:$C$825,A226)</f>
        <v>0</v>
      </c>
    </row>
    <row r="227" spans="1:2" ht="15" x14ac:dyDescent="0.2">
      <c r="A227" s="59" t="s">
        <v>363</v>
      </c>
      <c r="B227" s="60">
        <f>COUNTIF('Scan to Sheets'!$C$2:$C$825,A227)</f>
        <v>0</v>
      </c>
    </row>
    <row r="228" spans="1:2" ht="15" x14ac:dyDescent="0.2">
      <c r="A228" s="59" t="s">
        <v>364</v>
      </c>
      <c r="B228" s="60">
        <f>COUNTIF('Scan to Sheets'!$C$2:$C$825,A228)</f>
        <v>0</v>
      </c>
    </row>
    <row r="229" spans="1:2" ht="15" x14ac:dyDescent="0.2">
      <c r="A229" s="59" t="s">
        <v>365</v>
      </c>
      <c r="B229" s="60">
        <f>COUNTIF('Scan to Sheets'!$C$2:$C$825,A229)</f>
        <v>0</v>
      </c>
    </row>
    <row r="230" spans="1:2" ht="15" x14ac:dyDescent="0.2">
      <c r="A230" s="59" t="s">
        <v>366</v>
      </c>
      <c r="B230" s="60">
        <f>COUNTIF('Scan to Sheets'!$C$2:$C$825,A230)</f>
        <v>0</v>
      </c>
    </row>
    <row r="231" spans="1:2" ht="15" x14ac:dyDescent="0.2">
      <c r="A231" s="59" t="s">
        <v>367</v>
      </c>
      <c r="B231" s="60">
        <f>COUNTIF('Scan to Sheets'!$C$2:$C$825,A231)</f>
        <v>0</v>
      </c>
    </row>
    <row r="232" spans="1:2" ht="15" x14ac:dyDescent="0.2">
      <c r="A232" s="59" t="s">
        <v>368</v>
      </c>
      <c r="B232" s="60">
        <f>COUNTIF('Scan to Sheets'!$C$2:$C$825,A232)</f>
        <v>0</v>
      </c>
    </row>
    <row r="233" spans="1:2" ht="15" x14ac:dyDescent="0.2">
      <c r="A233" s="59" t="s">
        <v>369</v>
      </c>
      <c r="B233" s="60">
        <f>COUNTIF('Scan to Sheets'!$C$2:$C$825,A233)</f>
        <v>0</v>
      </c>
    </row>
    <row r="234" spans="1:2" ht="15" x14ac:dyDescent="0.2">
      <c r="A234" s="59" t="s">
        <v>370</v>
      </c>
      <c r="B234" s="60">
        <f>COUNTIF('Scan to Sheets'!$C$2:$C$825,A234)</f>
        <v>0</v>
      </c>
    </row>
    <row r="235" spans="1:2" ht="15" x14ac:dyDescent="0.2">
      <c r="A235" s="59" t="s">
        <v>371</v>
      </c>
      <c r="B235" s="60">
        <f>COUNTIF('Scan to Sheets'!$C$2:$C$825,A235)</f>
        <v>0</v>
      </c>
    </row>
    <row r="236" spans="1:2" ht="15" x14ac:dyDescent="0.2">
      <c r="A236" s="59" t="s">
        <v>372</v>
      </c>
      <c r="B236" s="60">
        <f>COUNTIF('Scan to Sheets'!$C$2:$C$825,A236)</f>
        <v>0</v>
      </c>
    </row>
    <row r="237" spans="1:2" ht="15" x14ac:dyDescent="0.2">
      <c r="A237" s="59" t="s">
        <v>373</v>
      </c>
      <c r="B237" s="60">
        <f>COUNTIF('Scan to Sheets'!$C$2:$C$825,A237)</f>
        <v>0</v>
      </c>
    </row>
    <row r="238" spans="1:2" ht="15" x14ac:dyDescent="0.2">
      <c r="A238" s="59" t="s">
        <v>374</v>
      </c>
      <c r="B238" s="60">
        <f>COUNTIF('Scan to Sheets'!$C$2:$C$825,A238)</f>
        <v>0</v>
      </c>
    </row>
    <row r="239" spans="1:2" ht="15" x14ac:dyDescent="0.2">
      <c r="A239" s="59" t="s">
        <v>375</v>
      </c>
      <c r="B239" s="60">
        <f>COUNTIF('Scan to Sheets'!$C$2:$C$825,A239)</f>
        <v>0</v>
      </c>
    </row>
    <row r="240" spans="1:2" ht="15" x14ac:dyDescent="0.2">
      <c r="A240" s="59" t="s">
        <v>376</v>
      </c>
      <c r="B240" s="60">
        <f>COUNTIF('Scan to Sheets'!$C$2:$C$825,A240)</f>
        <v>0</v>
      </c>
    </row>
    <row r="241" spans="1:2" ht="15" x14ac:dyDescent="0.2">
      <c r="A241" s="59" t="s">
        <v>377</v>
      </c>
      <c r="B241" s="60">
        <f>COUNTIF('Scan to Sheets'!$C$2:$C$825,A241)</f>
        <v>0</v>
      </c>
    </row>
    <row r="242" spans="1:2" ht="15" x14ac:dyDescent="0.2">
      <c r="A242" s="59" t="s">
        <v>378</v>
      </c>
      <c r="B242" s="60">
        <f>COUNTIF('Scan to Sheets'!$C$2:$C$825,A242)</f>
        <v>0</v>
      </c>
    </row>
    <row r="243" spans="1:2" ht="15" x14ac:dyDescent="0.2">
      <c r="A243" s="59" t="s">
        <v>379</v>
      </c>
      <c r="B243" s="60">
        <f>COUNTIF('Scan to Sheets'!$C$2:$C$825,A243)</f>
        <v>0</v>
      </c>
    </row>
    <row r="244" spans="1:2" ht="15" x14ac:dyDescent="0.2">
      <c r="A244" s="59" t="s">
        <v>380</v>
      </c>
      <c r="B244" s="60">
        <f>COUNTIF('Scan to Sheets'!$C$2:$C$825,A244)</f>
        <v>0</v>
      </c>
    </row>
    <row r="245" spans="1:2" ht="15" x14ac:dyDescent="0.2">
      <c r="A245" s="59" t="s">
        <v>381</v>
      </c>
      <c r="B245" s="60">
        <f>COUNTIF('Scan to Sheets'!$C$2:$C$825,A245)</f>
        <v>0</v>
      </c>
    </row>
    <row r="246" spans="1:2" ht="15" x14ac:dyDescent="0.2">
      <c r="A246" s="59" t="s">
        <v>382</v>
      </c>
      <c r="B246" s="60">
        <f>COUNTIF('Scan to Sheets'!$C$2:$C$825,A246)</f>
        <v>0</v>
      </c>
    </row>
    <row r="247" spans="1:2" ht="15" x14ac:dyDescent="0.2">
      <c r="A247" s="59" t="s">
        <v>383</v>
      </c>
      <c r="B247" s="60">
        <f>COUNTIF('Scan to Sheets'!$C$2:$C$825,A247)</f>
        <v>0</v>
      </c>
    </row>
    <row r="248" spans="1:2" ht="15" x14ac:dyDescent="0.2">
      <c r="A248" s="59" t="s">
        <v>384</v>
      </c>
      <c r="B248" s="60">
        <f>COUNTIF('Scan to Sheets'!$C$2:$C$825,A248)</f>
        <v>0</v>
      </c>
    </row>
    <row r="249" spans="1:2" ht="15" x14ac:dyDescent="0.2">
      <c r="A249" s="59" t="s">
        <v>385</v>
      </c>
      <c r="B249" s="60">
        <f>COUNTIF('Scan to Sheets'!$C$2:$C$825,A249)</f>
        <v>0</v>
      </c>
    </row>
    <row r="250" spans="1:2" ht="15" x14ac:dyDescent="0.2">
      <c r="A250" s="59" t="s">
        <v>386</v>
      </c>
      <c r="B250" s="60">
        <f>COUNTIF('Scan to Sheets'!$C$2:$C$825,A250)</f>
        <v>0</v>
      </c>
    </row>
    <row r="251" spans="1:2" ht="15" x14ac:dyDescent="0.2">
      <c r="A251" s="59" t="s">
        <v>387</v>
      </c>
      <c r="B251" s="60">
        <f>COUNTIF('Scan to Sheets'!$C$2:$C$825,A251)</f>
        <v>0</v>
      </c>
    </row>
    <row r="252" spans="1:2" ht="15" x14ac:dyDescent="0.2">
      <c r="A252" s="59" t="s">
        <v>388</v>
      </c>
      <c r="B252" s="60">
        <f>COUNTIF('Scan to Sheets'!$C$2:$C$825,A252)</f>
        <v>0</v>
      </c>
    </row>
    <row r="253" spans="1:2" ht="15" x14ac:dyDescent="0.2">
      <c r="A253" s="59" t="s">
        <v>389</v>
      </c>
      <c r="B253" s="60">
        <f>COUNTIF('Scan to Sheets'!$C$2:$C$825,A253)</f>
        <v>0</v>
      </c>
    </row>
    <row r="254" spans="1:2" ht="15" x14ac:dyDescent="0.2">
      <c r="A254" s="59" t="s">
        <v>390</v>
      </c>
      <c r="B254" s="60">
        <f>COUNTIF('Scan to Sheets'!$C$2:$C$825,A254)</f>
        <v>0</v>
      </c>
    </row>
    <row r="255" spans="1:2" ht="15" x14ac:dyDescent="0.2">
      <c r="A255" s="59" t="s">
        <v>391</v>
      </c>
      <c r="B255" s="60">
        <f>COUNTIF('Scan to Sheets'!$C$2:$C$825,A255)</f>
        <v>0</v>
      </c>
    </row>
    <row r="256" spans="1:2" ht="15" x14ac:dyDescent="0.2">
      <c r="A256" s="59" t="s">
        <v>392</v>
      </c>
      <c r="B256" s="60">
        <f>COUNTIF('Scan to Sheets'!$C$2:$C$825,A256)</f>
        <v>0</v>
      </c>
    </row>
    <row r="257" spans="1:2" ht="15" x14ac:dyDescent="0.2">
      <c r="A257" s="59" t="s">
        <v>393</v>
      </c>
      <c r="B257" s="60">
        <f>COUNTIF('Scan to Sheets'!$C$2:$C$825,A257)</f>
        <v>0</v>
      </c>
    </row>
    <row r="258" spans="1:2" ht="15" x14ac:dyDescent="0.2">
      <c r="A258" s="59" t="s">
        <v>394</v>
      </c>
      <c r="B258" s="60">
        <f>COUNTIF('Scan to Sheets'!$C$2:$C$825,A258)</f>
        <v>0</v>
      </c>
    </row>
    <row r="259" spans="1:2" ht="15" x14ac:dyDescent="0.2">
      <c r="A259" s="59" t="s">
        <v>395</v>
      </c>
      <c r="B259" s="60">
        <f>COUNTIF('Scan to Sheets'!$C$2:$C$825,A259)</f>
        <v>0</v>
      </c>
    </row>
    <row r="260" spans="1:2" ht="15" x14ac:dyDescent="0.2">
      <c r="A260" s="59" t="s">
        <v>396</v>
      </c>
      <c r="B260" s="60">
        <f>COUNTIF('Scan to Sheets'!$C$2:$C$825,A260)</f>
        <v>0</v>
      </c>
    </row>
    <row r="261" spans="1:2" ht="15" x14ac:dyDescent="0.2">
      <c r="A261" s="59" t="s">
        <v>397</v>
      </c>
      <c r="B261" s="60">
        <f>COUNTIF('Scan to Sheets'!$C$2:$C$825,A261)</f>
        <v>0</v>
      </c>
    </row>
    <row r="262" spans="1:2" ht="15" x14ac:dyDescent="0.2">
      <c r="A262" s="59" t="s">
        <v>398</v>
      </c>
      <c r="B262" s="60">
        <f>COUNTIF('Scan to Sheets'!$C$2:$C$825,A262)</f>
        <v>0</v>
      </c>
    </row>
    <row r="263" spans="1:2" ht="15" x14ac:dyDescent="0.2">
      <c r="A263" s="59" t="s">
        <v>399</v>
      </c>
      <c r="B263" s="60">
        <f>COUNTIF('Scan to Sheets'!$C$2:$C$825,A263)</f>
        <v>0</v>
      </c>
    </row>
    <row r="264" spans="1:2" ht="15" x14ac:dyDescent="0.2">
      <c r="A264" s="59" t="s">
        <v>400</v>
      </c>
      <c r="B264" s="60">
        <f>COUNTIF('Scan to Sheets'!$C$2:$C$825,A264)</f>
        <v>0</v>
      </c>
    </row>
    <row r="265" spans="1:2" ht="15" x14ac:dyDescent="0.2">
      <c r="A265" s="59" t="s">
        <v>401</v>
      </c>
      <c r="B265" s="60">
        <f>COUNTIF('Scan to Sheets'!$C$2:$C$825,A265)</f>
        <v>0</v>
      </c>
    </row>
    <row r="266" spans="1:2" ht="15" x14ac:dyDescent="0.2">
      <c r="A266" s="59" t="s">
        <v>402</v>
      </c>
      <c r="B266" s="60">
        <f>COUNTIF('Scan to Sheets'!$C$2:$C$825,A266)</f>
        <v>0</v>
      </c>
    </row>
    <row r="267" spans="1:2" ht="15" x14ac:dyDescent="0.2">
      <c r="A267" s="59" t="s">
        <v>403</v>
      </c>
      <c r="B267" s="60">
        <f>COUNTIF('Scan to Sheets'!$C$2:$C$825,A267)</f>
        <v>0</v>
      </c>
    </row>
    <row r="268" spans="1:2" ht="15" x14ac:dyDescent="0.2">
      <c r="A268" s="59" t="s">
        <v>404</v>
      </c>
      <c r="B268" s="60">
        <f>COUNTIF('Scan to Sheets'!$C$2:$C$825,A268)</f>
        <v>0</v>
      </c>
    </row>
    <row r="269" spans="1:2" ht="15" x14ac:dyDescent="0.2">
      <c r="A269" s="59" t="s">
        <v>405</v>
      </c>
      <c r="B269" s="60">
        <f>COUNTIF('Scan to Sheets'!$C$2:$C$825,A269)</f>
        <v>0</v>
      </c>
    </row>
    <row r="270" spans="1:2" ht="15" x14ac:dyDescent="0.2">
      <c r="A270" s="59" t="s">
        <v>406</v>
      </c>
      <c r="B270" s="60">
        <f>COUNTIF('Scan to Sheets'!$C$2:$C$825,A270)</f>
        <v>0</v>
      </c>
    </row>
    <row r="271" spans="1:2" ht="15" x14ac:dyDescent="0.2">
      <c r="A271" s="59" t="s">
        <v>407</v>
      </c>
      <c r="B271" s="60">
        <f>COUNTIF('Scan to Sheets'!$C$2:$C$825,A271)</f>
        <v>0</v>
      </c>
    </row>
    <row r="272" spans="1:2" ht="15" x14ac:dyDescent="0.2">
      <c r="A272" s="59" t="s">
        <v>408</v>
      </c>
      <c r="B272" s="60">
        <f>COUNTIF('Scan to Sheets'!$C$2:$C$825,A272)</f>
        <v>0</v>
      </c>
    </row>
    <row r="273" spans="1:2" ht="15" x14ac:dyDescent="0.2">
      <c r="A273" s="59" t="s">
        <v>409</v>
      </c>
      <c r="B273" s="60">
        <f>COUNTIF('Scan to Sheets'!$C$2:$C$825,A273)</f>
        <v>0</v>
      </c>
    </row>
    <row r="274" spans="1:2" ht="15" x14ac:dyDescent="0.2">
      <c r="A274" s="59" t="s">
        <v>410</v>
      </c>
      <c r="B274" s="60">
        <f>COUNTIF('Scan to Sheets'!$C$2:$C$825,A274)</f>
        <v>0</v>
      </c>
    </row>
    <row r="275" spans="1:2" ht="15" x14ac:dyDescent="0.2">
      <c r="A275" s="59" t="s">
        <v>411</v>
      </c>
      <c r="B275" s="60">
        <f>COUNTIF('Scan to Sheets'!$C$2:$C$825,A275)</f>
        <v>0</v>
      </c>
    </row>
    <row r="276" spans="1:2" ht="15" x14ac:dyDescent="0.2">
      <c r="A276" s="59" t="s">
        <v>412</v>
      </c>
      <c r="B276" s="60">
        <f>COUNTIF('Scan to Sheets'!$C$2:$C$825,A276)</f>
        <v>0</v>
      </c>
    </row>
    <row r="277" spans="1:2" ht="15" x14ac:dyDescent="0.2">
      <c r="A277" s="59" t="s">
        <v>413</v>
      </c>
      <c r="B277" s="60">
        <f>COUNTIF('Scan to Sheets'!$C$2:$C$825,A277)</f>
        <v>0</v>
      </c>
    </row>
    <row r="278" spans="1:2" ht="15" x14ac:dyDescent="0.2">
      <c r="A278" s="59" t="s">
        <v>414</v>
      </c>
      <c r="B278" s="60">
        <f>COUNTIF('Scan to Sheets'!$C$2:$C$825,A278)</f>
        <v>0</v>
      </c>
    </row>
    <row r="279" spans="1:2" ht="15" x14ac:dyDescent="0.2">
      <c r="A279" s="59" t="s">
        <v>415</v>
      </c>
      <c r="B279" s="60">
        <f>COUNTIF('Scan to Sheets'!$C$2:$C$825,A279)</f>
        <v>0</v>
      </c>
    </row>
    <row r="280" spans="1:2" ht="15" x14ac:dyDescent="0.2">
      <c r="A280" s="59" t="s">
        <v>416</v>
      </c>
      <c r="B280" s="60">
        <f>COUNTIF('Scan to Sheets'!$C$2:$C$825,A280)</f>
        <v>0</v>
      </c>
    </row>
    <row r="281" spans="1:2" ht="15" x14ac:dyDescent="0.2">
      <c r="A281" s="59" t="s">
        <v>417</v>
      </c>
      <c r="B281" s="60">
        <f>COUNTIF('Scan to Sheets'!$C$2:$C$825,A281)</f>
        <v>0</v>
      </c>
    </row>
    <row r="282" spans="1:2" ht="15" x14ac:dyDescent="0.2">
      <c r="A282" s="59" t="s">
        <v>418</v>
      </c>
      <c r="B282" s="60">
        <f>COUNTIF('Scan to Sheets'!$C$2:$C$825,A282)</f>
        <v>0</v>
      </c>
    </row>
    <row r="283" spans="1:2" ht="15" x14ac:dyDescent="0.2">
      <c r="A283" s="59" t="s">
        <v>419</v>
      </c>
      <c r="B283" s="60">
        <f>COUNTIF('Scan to Sheets'!$C$2:$C$825,A283)</f>
        <v>0</v>
      </c>
    </row>
    <row r="284" spans="1:2" ht="15" x14ac:dyDescent="0.2">
      <c r="A284" s="67" t="s">
        <v>420</v>
      </c>
      <c r="B284" s="68">
        <f>COUNTIF('Scan to Sheets'!$C$2:$C$825,A284)</f>
        <v>0</v>
      </c>
    </row>
  </sheetData>
  <autoFilter ref="A2:B284" xr:uid="{00000000-0009-0000-0000-000006000000}"/>
  <mergeCells count="3">
    <mergeCell ref="A1:B1"/>
    <mergeCell ref="D1:E1"/>
    <mergeCell ref="D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Scan to Sheets</vt:lpstr>
      <vt:lpstr>Cod_Gen</vt:lpstr>
      <vt:lpstr>Cod_Ind</vt:lpstr>
      <vt:lpstr>Inventario</vt:lpstr>
      <vt:lpstr>Registro_Histo</vt:lpstr>
      <vt:lpstr>Inv_Clasif</vt:lpstr>
      <vt:lpstr>Estadisticas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2026-01-04T11:41:28Z</dcterms:modified>
</cp:coreProperties>
</file>